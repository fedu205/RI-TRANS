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ackup\RI-TRANS\Docs\Претензии\"/>
    </mc:Choice>
  </mc:AlternateContent>
  <bookViews>
    <workbookView xWindow="-120" yWindow="-120" windowWidth="29040" windowHeight="15840"/>
  </bookViews>
  <sheets>
    <sheet name="вх. РИ-ИНВЕСТ претензии" sheetId="2" r:id="rId1"/>
    <sheet name="исх. претензии РИ-ИНВЕСТ" sheetId="7" r:id="rId2"/>
  </sheets>
  <definedNames>
    <definedName name="_xlnm._FilterDatabase" localSheetId="0" hidden="1">'вх. РИ-ИНВЕСТ претензии'!$A$1:$BDB$1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2" l="1"/>
  <c r="G36" i="2"/>
</calcChain>
</file>

<file path=xl/sharedStrings.xml><?xml version="1.0" encoding="utf-8"?>
<sst xmlns="http://schemas.openxmlformats.org/spreadsheetml/2006/main" count="435" uniqueCount="141">
  <si>
    <t>выгрузка</t>
  </si>
  <si>
    <t>№п/п</t>
  </si>
  <si>
    <t>погрузка/выгрузка</t>
  </si>
  <si>
    <t>Урегулировано мирным путем</t>
  </si>
  <si>
    <t>Сумма требований</t>
  </si>
  <si>
    <t>Договор (номер, дата)</t>
  </si>
  <si>
    <t>АО "НефтеТрансСервис"</t>
  </si>
  <si>
    <t>№1-06-2-НТС/21 от 20.09.2021</t>
  </si>
  <si>
    <t>Примечание</t>
  </si>
  <si>
    <t>№ претензии</t>
  </si>
  <si>
    <t>Дата</t>
  </si>
  <si>
    <t xml:space="preserve">№115 </t>
  </si>
  <si>
    <t>№ договора</t>
  </si>
  <si>
    <t>Подрядчик</t>
  </si>
  <si>
    <t>Собственная</t>
  </si>
  <si>
    <t>Сумма</t>
  </si>
  <si>
    <t>ООО "Сибсульфур"</t>
  </si>
  <si>
    <t>РИ-ИНВЕСТ</t>
  </si>
  <si>
    <t>№1/09-2023 от 06.09.2023</t>
  </si>
  <si>
    <t>ООО "Трансойл"</t>
  </si>
  <si>
    <t>Начало периода</t>
  </si>
  <si>
    <t>Конец периода</t>
  </si>
  <si>
    <t>-</t>
  </si>
  <si>
    <t>01.01.2024</t>
  </si>
  <si>
    <t>01.03.2024</t>
  </si>
  <si>
    <t>01.04.2024</t>
  </si>
  <si>
    <t>Неочистка, устранение коммерческой неисправности</t>
  </si>
  <si>
    <t>01.02.2024</t>
  </si>
  <si>
    <t xml:space="preserve">Неочистка, устранение коммерческой неисправности </t>
  </si>
  <si>
    <t>№ДРК/9052 от 13.11.2025 (о корректировке)</t>
  </si>
  <si>
    <t>01.05.2024</t>
  </si>
  <si>
    <t>Ущерб в связи с выявлением вмятины</t>
  </si>
  <si>
    <t>06.2023</t>
  </si>
  <si>
    <t>01.06.2024</t>
  </si>
  <si>
    <t>01.07.2024</t>
  </si>
  <si>
    <t>01.01.2025</t>
  </si>
  <si>
    <t>01.02.2025</t>
  </si>
  <si>
    <t>01.03.2025</t>
  </si>
  <si>
    <t>01.04.2025</t>
  </si>
  <si>
    <t>01.10.2024</t>
  </si>
  <si>
    <t>01.08.2024</t>
  </si>
  <si>
    <t>Место простоя</t>
  </si>
  <si>
    <t>погрузка</t>
  </si>
  <si>
    <t>01.05.2025</t>
  </si>
  <si>
    <t>Претензия + корректировка по претензии, итоговая сумма: 1 010 100,00 руб.</t>
  </si>
  <si>
    <t xml:space="preserve"> №69СЕ21 от 20.09.2021 </t>
  </si>
  <si>
    <t xml:space="preserve"> №69СЕ21 от 20.09.2022</t>
  </si>
  <si>
    <t xml:space="preserve"> №69СЕ21 от 20.09.2023</t>
  </si>
  <si>
    <t xml:space="preserve">№ ДРК/2866 </t>
  </si>
  <si>
    <t>№ ДРК/4037</t>
  </si>
  <si>
    <t>№ ДРК/5037</t>
  </si>
  <si>
    <t>№ 2023-ЮД</t>
  </si>
  <si>
    <t xml:space="preserve"> № 2026-ЮД </t>
  </si>
  <si>
    <t xml:space="preserve">№ ДРК/6080 </t>
  </si>
  <si>
    <t xml:space="preserve">№1411/1-ЮД </t>
  </si>
  <si>
    <t xml:space="preserve">№ДРК/7222 </t>
  </si>
  <si>
    <t>№ДРК/8073</t>
  </si>
  <si>
    <t>№ДРК/2866</t>
  </si>
  <si>
    <t xml:space="preserve">№ДРК/4037 </t>
  </si>
  <si>
    <t xml:space="preserve">№ДРК/5037 </t>
  </si>
  <si>
    <t>№ДРК/11280</t>
  </si>
  <si>
    <t>№ДРК/10367</t>
  </si>
  <si>
    <t>№ДРК/2488</t>
  </si>
  <si>
    <t xml:space="preserve">№ДРК/2786 </t>
  </si>
  <si>
    <t>№ДРК/2812</t>
  </si>
  <si>
    <t xml:space="preserve">№ДРК/3719 </t>
  </si>
  <si>
    <t>№ДРК/3805</t>
  </si>
  <si>
    <t xml:space="preserve">№ДРК/4341 </t>
  </si>
  <si>
    <t xml:space="preserve">№ДРК/4608 </t>
  </si>
  <si>
    <t xml:space="preserve">№ДРК/5130 </t>
  </si>
  <si>
    <t xml:space="preserve">№ДРК/5410 </t>
  </si>
  <si>
    <t>№ДРК/7028</t>
  </si>
  <si>
    <t>№ДРК/7027</t>
  </si>
  <si>
    <t>№ДРК/7445</t>
  </si>
  <si>
    <t>№ДРК/8080</t>
  </si>
  <si>
    <t xml:space="preserve">№ДРК/8148 </t>
  </si>
  <si>
    <t xml:space="preserve">№ДРК/8428 </t>
  </si>
  <si>
    <t xml:space="preserve">№ДРК/9010 </t>
  </si>
  <si>
    <t xml:space="preserve">№ДРК/9374 </t>
  </si>
  <si>
    <t xml:space="preserve">№ДРК/324 </t>
  </si>
  <si>
    <t xml:space="preserve">№ДРК/325 </t>
  </si>
  <si>
    <t xml:space="preserve">№ДРК/1110 </t>
  </si>
  <si>
    <t xml:space="preserve">№ДРК/1704 </t>
  </si>
  <si>
    <t xml:space="preserve">№2471/ИП-НТС </t>
  </si>
  <si>
    <t xml:space="preserve">№11724 </t>
  </si>
  <si>
    <t xml:space="preserve">№11390 </t>
  </si>
  <si>
    <t xml:space="preserve">№12068 </t>
  </si>
  <si>
    <t xml:space="preserve">№11940 </t>
  </si>
  <si>
    <t>№12073</t>
  </si>
  <si>
    <t xml:space="preserve">№12074 </t>
  </si>
  <si>
    <t xml:space="preserve">№236 </t>
  </si>
  <si>
    <t>№12336</t>
  </si>
  <si>
    <t>ин.тер.</t>
  </si>
  <si>
    <t>выгрузка/ин.тер.</t>
  </si>
  <si>
    <t>акт №РЛ1536/06.24</t>
  </si>
  <si>
    <t>акт №РЛ1537/06.24</t>
  </si>
  <si>
    <t xml:space="preserve">акт №РЛ1538/06.24 </t>
  </si>
  <si>
    <t>акт №РЛ1533/06.24</t>
  </si>
  <si>
    <t xml:space="preserve">акт №РЛ1534/06.24 </t>
  </si>
  <si>
    <t>акт №РЛ1535/06.24</t>
  </si>
  <si>
    <t xml:space="preserve">акт №РЛ1532/06.24 </t>
  </si>
  <si>
    <t xml:space="preserve">акт №РЛ1531/06.24 </t>
  </si>
  <si>
    <t xml:space="preserve">№УЛ-П/125/2024 </t>
  </si>
  <si>
    <t xml:space="preserve">№УЛ-П/96/2024 </t>
  </si>
  <si>
    <t xml:space="preserve">№УЛ-П/124/2025  </t>
  </si>
  <si>
    <t xml:space="preserve">№УЛ-П/131/2025 </t>
  </si>
  <si>
    <t xml:space="preserve">№УЛ-П/125/2025 </t>
  </si>
  <si>
    <t xml:space="preserve">№УЛ-П/49/2025 </t>
  </si>
  <si>
    <t xml:space="preserve">№УЛ-П/108/2025 </t>
  </si>
  <si>
    <t xml:space="preserve">№УЛ-П/53/2025 </t>
  </si>
  <si>
    <t xml:space="preserve">№УЛ-П/14/2025 </t>
  </si>
  <si>
    <t xml:space="preserve">№УЛ-П/13/2025 </t>
  </si>
  <si>
    <t xml:space="preserve">№УЛ-П/145/2024 </t>
  </si>
  <si>
    <t>07.2025</t>
  </si>
  <si>
    <t>31.08.2024</t>
  </si>
  <si>
    <t>01.09.2024</t>
  </si>
  <si>
    <t>30.09.2024</t>
  </si>
  <si>
    <t>31.01.2025</t>
  </si>
  <si>
    <t>31.03.2025</t>
  </si>
  <si>
    <t>выгрузка/погрузка/ин.тер.</t>
  </si>
  <si>
    <t>№ 397/2024 от 18.03.2024</t>
  </si>
  <si>
    <t>ООО "Урал Логистика"</t>
  </si>
  <si>
    <t>ООО "Эктохим"</t>
  </si>
  <si>
    <t>27.10.2024</t>
  </si>
  <si>
    <t>31.10.2024</t>
  </si>
  <si>
    <t xml:space="preserve">№402 </t>
  </si>
  <si>
    <t>№ЭК-35/2024 от 01.10.2024</t>
  </si>
  <si>
    <t>Корреспондент</t>
  </si>
  <si>
    <t>Адресат</t>
  </si>
  <si>
    <t xml:space="preserve">№530 </t>
  </si>
  <si>
    <t>Номер претензии</t>
  </si>
  <si>
    <t>Дата претензии</t>
  </si>
  <si>
    <t>01.20.2024</t>
  </si>
  <si>
    <t>01.11.2024</t>
  </si>
  <si>
    <t>31.05.2024</t>
  </si>
  <si>
    <t>30.06.2024</t>
  </si>
  <si>
    <t>31.07.2024</t>
  </si>
  <si>
    <t>30.04.2024</t>
  </si>
  <si>
    <t>30.11.2024</t>
  </si>
  <si>
    <t>31.12.2024</t>
  </si>
  <si>
    <t>28.02.2025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</si>
</sst>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_₽"/>
    <numFmt numFmtId="165" formatCode="#,##0.00\ &quot;₽&quot;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165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2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left" wrapText="1"/>
    </xf>
    <xf numFmtId="49" fontId="0" fillId="0" borderId="1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left" wrapText="1"/>
    </xf>
    <xf numFmtId="0" fontId="0" fillId="0" borderId="3" xfId="0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7" fillId="2" borderId="3" xfId="2" applyFont="1" applyFill="1" applyBorder="1" applyAlignment="1">
      <alignment horizontal="left" wrapText="1"/>
    </xf>
    <xf numFmtId="0" fontId="7" fillId="2" borderId="4" xfId="2" applyFont="1" applyFill="1" applyBorder="1" applyAlignment="1">
      <alignment horizontal="left" wrapText="1"/>
    </xf>
    <xf numFmtId="0" fontId="7" fillId="2" borderId="2" xfId="2" applyFont="1" applyFill="1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3">
    <cellStyle name="Normal" xfId="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X68"/>
  <sheetViews>
    <sheetView tabSelected="1" zoomScale="85" zoomScaleNormal="85" workbookViewId="0">
      <pane ySplit="1" topLeftCell="A2" activePane="bottomLeft" state="frozen"/>
      <selection pane="bottomLeft" activeCell="I1" sqref="I1"/>
    </sheetView>
  </sheetViews>
  <sheetFormatPr defaultRowHeight="14.25" x14ac:dyDescent="0.45"/>
  <cols>
    <col min="1" max="1" width="5.59765625" style="1" customWidth="1"/>
    <col min="2" max="3" width="16.86328125" customWidth="1"/>
    <col min="4" max="4" width="18.59765625" style="1" customWidth="1"/>
    <col min="5" max="5" width="20.59765625" style="1" customWidth="1"/>
    <col min="6" max="7" width="15.73046875" style="1" customWidth="1"/>
    <col min="8" max="8" width="18.86328125" style="3" customWidth="1"/>
    <col min="9" max="9" width="31" customWidth="1"/>
    <col min="10" max="10" width="20.59765625" style="3" customWidth="1"/>
    <col min="11" max="11" width="34.86328125" style="2" customWidth="1"/>
    <col min="12" max="1454" width="9.1328125" style="2"/>
  </cols>
  <sheetData>
    <row r="1" spans="1:11 1454:1454" ht="61.5" customHeight="1" x14ac:dyDescent="0.45">
      <c r="A1" s="18"/>
      <c r="B1" s="18" t="s">
        <v>9</v>
      </c>
      <c r="C1" s="18" t="s">
        <v>10</v>
      </c>
      <c r="D1" s="18" t="s">
        <v>12</v>
      </c>
      <c r="E1" s="18" t="s">
        <v>13</v>
      </c>
      <c r="F1" s="18" t="s">
        <v>14</v>
      </c>
      <c r="G1" s="18" t="s">
        <v>15</v>
      </c>
      <c r="H1" s="19" t="s">
        <v>20</v>
      </c>
      <c r="I1" s="18" t="s">
        <v>21</v>
      </c>
      <c r="J1" s="19" t="s">
        <v>41</v>
      </c>
      <c r="K1" s="20" t="s">
        <v>8</v>
      </c>
      <c r="BCX1"/>
    </row>
    <row r="2" spans="1:11 1454:1454" ht="50.25" customHeight="1" x14ac:dyDescent="0.45">
      <c r="A2" s="7">
        <v>1</v>
      </c>
      <c r="B2" s="7" t="s">
        <v>11</v>
      </c>
      <c r="C2" s="8">
        <v>45385</v>
      </c>
      <c r="D2" s="7" t="s">
        <v>18</v>
      </c>
      <c r="E2" s="7" t="s">
        <v>16</v>
      </c>
      <c r="F2" s="7" t="s">
        <v>17</v>
      </c>
      <c r="G2" s="21">
        <v>111600</v>
      </c>
      <c r="H2" s="21" t="s">
        <v>22</v>
      </c>
      <c r="I2" s="7" t="s">
        <v>22</v>
      </c>
      <c r="J2" s="10" t="s">
        <v>22</v>
      </c>
      <c r="K2" s="17"/>
      <c r="BCX2"/>
    </row>
    <row r="3" spans="1:11 1454:1454" ht="61.5" customHeight="1" x14ac:dyDescent="0.45">
      <c r="A3" s="7">
        <v>1</v>
      </c>
      <c r="B3" s="7" t="s">
        <v>48</v>
      </c>
      <c r="C3" s="8">
        <v>45373</v>
      </c>
      <c r="D3" s="7" t="s">
        <v>45</v>
      </c>
      <c r="E3" s="7" t="s">
        <v>19</v>
      </c>
      <c r="F3" s="7" t="s">
        <v>17</v>
      </c>
      <c r="G3" s="21">
        <v>1978200</v>
      </c>
      <c r="H3" s="27" t="s">
        <v>23</v>
      </c>
      <c r="I3" s="40">
        <v>45351</v>
      </c>
      <c r="J3" s="10" t="s">
        <v>22</v>
      </c>
      <c r="K3" s="16"/>
      <c r="BCX3"/>
    </row>
    <row r="4" spans="1:11 1454:1454" ht="61.5" customHeight="1" x14ac:dyDescent="0.45">
      <c r="A4" s="7">
        <v>2</v>
      </c>
      <c r="B4" s="7" t="s">
        <v>49</v>
      </c>
      <c r="C4" s="8">
        <v>45407</v>
      </c>
      <c r="D4" s="7" t="s">
        <v>46</v>
      </c>
      <c r="E4" s="7" t="s">
        <v>19</v>
      </c>
      <c r="F4" s="7" t="s">
        <v>17</v>
      </c>
      <c r="G4" s="21">
        <v>1270500</v>
      </c>
      <c r="H4" s="27" t="s">
        <v>24</v>
      </c>
      <c r="I4" s="40">
        <v>45382</v>
      </c>
      <c r="J4" s="10" t="s">
        <v>22</v>
      </c>
      <c r="K4" s="16"/>
      <c r="BCX4"/>
    </row>
    <row r="5" spans="1:11 1454:1454" ht="61.5" customHeight="1" x14ac:dyDescent="0.45">
      <c r="A5" s="7">
        <v>3</v>
      </c>
      <c r="B5" s="7" t="s">
        <v>50</v>
      </c>
      <c r="C5" s="8">
        <v>45439</v>
      </c>
      <c r="D5" s="7" t="s">
        <v>47</v>
      </c>
      <c r="E5" s="7" t="s">
        <v>19</v>
      </c>
      <c r="F5" s="7" t="s">
        <v>17</v>
      </c>
      <c r="G5" s="21">
        <v>1898400</v>
      </c>
      <c r="H5" s="27" t="s">
        <v>25</v>
      </c>
      <c r="I5" s="40">
        <v>45412</v>
      </c>
      <c r="J5" s="10" t="s">
        <v>22</v>
      </c>
      <c r="K5" s="16"/>
      <c r="BCX5"/>
    </row>
    <row r="6" spans="1:11 1454:1454" ht="81" customHeight="1" x14ac:dyDescent="0.45">
      <c r="A6" s="7">
        <v>4</v>
      </c>
      <c r="B6" s="7" t="s">
        <v>51</v>
      </c>
      <c r="C6" s="8">
        <v>45415</v>
      </c>
      <c r="D6" s="7" t="s">
        <v>47</v>
      </c>
      <c r="E6" s="7" t="s">
        <v>19</v>
      </c>
      <c r="F6" s="7" t="s">
        <v>17</v>
      </c>
      <c r="G6" s="11">
        <v>1188747.33</v>
      </c>
      <c r="H6" s="27" t="s">
        <v>23</v>
      </c>
      <c r="I6" s="25" t="s">
        <v>22</v>
      </c>
      <c r="J6" s="10" t="s">
        <v>22</v>
      </c>
      <c r="K6" s="41" t="s">
        <v>26</v>
      </c>
      <c r="BCX6"/>
    </row>
    <row r="7" spans="1:11 1454:1454" ht="84.75" customHeight="1" x14ac:dyDescent="0.45">
      <c r="A7" s="7">
        <v>5</v>
      </c>
      <c r="B7" s="7" t="s">
        <v>52</v>
      </c>
      <c r="C7" s="8">
        <v>45415</v>
      </c>
      <c r="D7" s="7" t="s">
        <v>47</v>
      </c>
      <c r="E7" s="7" t="s">
        <v>19</v>
      </c>
      <c r="F7" s="7" t="s">
        <v>17</v>
      </c>
      <c r="G7" s="21">
        <v>392307.38</v>
      </c>
      <c r="H7" s="27" t="s">
        <v>27</v>
      </c>
      <c r="I7" s="24" t="s">
        <v>22</v>
      </c>
      <c r="J7" s="10" t="s">
        <v>22</v>
      </c>
      <c r="K7" s="9" t="s">
        <v>28</v>
      </c>
      <c r="BCX7"/>
    </row>
    <row r="8" spans="1:11 1454:1454" ht="48.75" customHeight="1" x14ac:dyDescent="0.45">
      <c r="A8" s="7">
        <v>6</v>
      </c>
      <c r="B8" s="4" t="s">
        <v>53</v>
      </c>
      <c r="C8" s="5">
        <v>45469</v>
      </c>
      <c r="D8" s="7" t="s">
        <v>47</v>
      </c>
      <c r="E8" s="7" t="s">
        <v>19</v>
      </c>
      <c r="F8" s="7" t="s">
        <v>17</v>
      </c>
      <c r="G8" s="11">
        <v>3664500</v>
      </c>
      <c r="H8" s="27" t="s">
        <v>30</v>
      </c>
      <c r="I8" s="45">
        <v>45443</v>
      </c>
      <c r="J8" s="10" t="s">
        <v>22</v>
      </c>
      <c r="K8" s="29" t="s">
        <v>3</v>
      </c>
      <c r="BCX8"/>
    </row>
    <row r="9" spans="1:11 1454:1454" ht="45.75" customHeight="1" x14ac:dyDescent="0.45">
      <c r="A9" s="7">
        <v>7</v>
      </c>
      <c r="B9" s="4" t="s">
        <v>54</v>
      </c>
      <c r="C9" s="5">
        <v>45489</v>
      </c>
      <c r="D9" s="7" t="s">
        <v>47</v>
      </c>
      <c r="E9" s="7" t="s">
        <v>19</v>
      </c>
      <c r="F9" s="7" t="s">
        <v>17</v>
      </c>
      <c r="G9" s="11">
        <v>170722.4</v>
      </c>
      <c r="H9" s="27" t="s">
        <v>32</v>
      </c>
      <c r="I9" s="5" t="s">
        <v>22</v>
      </c>
      <c r="J9" s="10" t="s">
        <v>22</v>
      </c>
      <c r="K9" s="9" t="s">
        <v>31</v>
      </c>
      <c r="BCX9"/>
    </row>
    <row r="10" spans="1:11 1454:1454" ht="30" customHeight="1" x14ac:dyDescent="0.45">
      <c r="A10" s="7">
        <v>8</v>
      </c>
      <c r="B10" s="4" t="s">
        <v>55</v>
      </c>
      <c r="C10" s="5">
        <v>45502</v>
      </c>
      <c r="D10" s="7" t="s">
        <v>47</v>
      </c>
      <c r="E10" s="7" t="s">
        <v>19</v>
      </c>
      <c r="F10" s="7" t="s">
        <v>17</v>
      </c>
      <c r="G10" s="11">
        <v>3294900</v>
      </c>
      <c r="H10" s="27" t="s">
        <v>33</v>
      </c>
      <c r="I10" s="5">
        <v>45473</v>
      </c>
      <c r="J10" s="10" t="s">
        <v>22</v>
      </c>
      <c r="K10" s="29" t="s">
        <v>3</v>
      </c>
      <c r="BCX10"/>
    </row>
    <row r="11" spans="1:11 1454:1454" ht="30.75" customHeight="1" x14ac:dyDescent="0.45">
      <c r="A11" s="7">
        <v>9</v>
      </c>
      <c r="B11" s="4" t="s">
        <v>56</v>
      </c>
      <c r="C11" s="5">
        <v>45527</v>
      </c>
      <c r="D11" s="7" t="s">
        <v>47</v>
      </c>
      <c r="E11" s="7" t="s">
        <v>19</v>
      </c>
      <c r="F11" s="7" t="s">
        <v>17</v>
      </c>
      <c r="G11" s="11">
        <v>3236100</v>
      </c>
      <c r="H11" s="27" t="s">
        <v>34</v>
      </c>
      <c r="I11" s="5">
        <v>45504</v>
      </c>
      <c r="J11" s="10" t="s">
        <v>22</v>
      </c>
      <c r="K11" s="29" t="s">
        <v>3</v>
      </c>
      <c r="BCX11"/>
    </row>
    <row r="12" spans="1:11 1454:1454" ht="35.25" customHeight="1" x14ac:dyDescent="0.45">
      <c r="A12" s="7">
        <v>10</v>
      </c>
      <c r="B12" s="4" t="s">
        <v>57</v>
      </c>
      <c r="C12" s="5">
        <v>45373</v>
      </c>
      <c r="D12" s="7" t="s">
        <v>47</v>
      </c>
      <c r="E12" s="7" t="s">
        <v>19</v>
      </c>
      <c r="F12" s="7" t="s">
        <v>17</v>
      </c>
      <c r="G12" s="11">
        <v>1978200</v>
      </c>
      <c r="H12" s="27" t="s">
        <v>23</v>
      </c>
      <c r="I12" s="5">
        <v>45351</v>
      </c>
      <c r="J12" s="10" t="s">
        <v>22</v>
      </c>
      <c r="K12" s="29" t="s">
        <v>3</v>
      </c>
      <c r="BCX12"/>
    </row>
    <row r="13" spans="1:11 1454:1454" ht="36" customHeight="1" x14ac:dyDescent="0.45">
      <c r="A13" s="7">
        <v>11</v>
      </c>
      <c r="B13" s="4" t="s">
        <v>58</v>
      </c>
      <c r="C13" s="5">
        <v>45407</v>
      </c>
      <c r="D13" s="7" t="s">
        <v>47</v>
      </c>
      <c r="E13" s="7" t="s">
        <v>19</v>
      </c>
      <c r="F13" s="7" t="s">
        <v>17</v>
      </c>
      <c r="G13" s="11">
        <v>1270500</v>
      </c>
      <c r="H13" s="27" t="s">
        <v>24</v>
      </c>
      <c r="I13" s="5">
        <v>45382</v>
      </c>
      <c r="J13" s="10" t="s">
        <v>22</v>
      </c>
      <c r="K13" s="29" t="s">
        <v>3</v>
      </c>
      <c r="BCX13"/>
    </row>
    <row r="14" spans="1:11 1454:1454" ht="25.5" customHeight="1" x14ac:dyDescent="0.45">
      <c r="A14" s="7">
        <v>12</v>
      </c>
      <c r="B14" s="4" t="s">
        <v>59</v>
      </c>
      <c r="C14" s="5">
        <v>45439</v>
      </c>
      <c r="D14" s="7" t="s">
        <v>47</v>
      </c>
      <c r="E14" s="7" t="s">
        <v>19</v>
      </c>
      <c r="F14" s="7" t="s">
        <v>17</v>
      </c>
      <c r="G14" s="11">
        <v>1898400</v>
      </c>
      <c r="H14" s="27" t="s">
        <v>25</v>
      </c>
      <c r="I14" s="5">
        <v>45412</v>
      </c>
      <c r="J14" s="10" t="s">
        <v>22</v>
      </c>
      <c r="K14" s="29" t="s">
        <v>3</v>
      </c>
      <c r="BCX14"/>
    </row>
    <row r="15" spans="1:11 1454:1454" ht="28.5" customHeight="1" x14ac:dyDescent="0.45">
      <c r="A15" s="7">
        <v>13</v>
      </c>
      <c r="B15" s="4" t="s">
        <v>60</v>
      </c>
      <c r="C15" s="5">
        <v>45617</v>
      </c>
      <c r="D15" s="7" t="s">
        <v>47</v>
      </c>
      <c r="E15" s="7" t="s">
        <v>19</v>
      </c>
      <c r="F15" s="7" t="s">
        <v>17</v>
      </c>
      <c r="G15" s="11">
        <v>1100400</v>
      </c>
      <c r="H15" s="27" t="s">
        <v>39</v>
      </c>
      <c r="I15" s="5">
        <v>45596</v>
      </c>
      <c r="J15" s="10" t="s">
        <v>22</v>
      </c>
      <c r="K15" s="29" t="s">
        <v>3</v>
      </c>
      <c r="BCX15"/>
    </row>
    <row r="16" spans="1:11 1454:1454" ht="28.5" customHeight="1" x14ac:dyDescent="0.45">
      <c r="A16" s="7">
        <v>14</v>
      </c>
      <c r="B16" s="4" t="s">
        <v>61</v>
      </c>
      <c r="C16" s="5">
        <v>45593</v>
      </c>
      <c r="D16" s="7" t="s">
        <v>47</v>
      </c>
      <c r="E16" s="7" t="s">
        <v>19</v>
      </c>
      <c r="F16" s="7" t="s">
        <v>17</v>
      </c>
      <c r="G16" s="11">
        <v>5623800</v>
      </c>
      <c r="H16" s="27" t="s">
        <v>40</v>
      </c>
      <c r="I16" s="5">
        <v>45565</v>
      </c>
      <c r="J16" s="10" t="s">
        <v>22</v>
      </c>
      <c r="K16" s="29" t="s">
        <v>3</v>
      </c>
      <c r="BCX16"/>
    </row>
    <row r="17" spans="1:11 1454:1454" ht="28.5" customHeight="1" x14ac:dyDescent="0.45">
      <c r="A17" s="4">
        <v>15</v>
      </c>
      <c r="B17" s="4" t="s">
        <v>62</v>
      </c>
      <c r="C17" s="5">
        <v>45740</v>
      </c>
      <c r="D17" s="7" t="s">
        <v>47</v>
      </c>
      <c r="E17" s="7" t="s">
        <v>19</v>
      </c>
      <c r="F17" s="7" t="s">
        <v>17</v>
      </c>
      <c r="G17" s="11">
        <v>4399500</v>
      </c>
      <c r="H17" s="5">
        <v>45658</v>
      </c>
      <c r="I17" s="46">
        <v>45688</v>
      </c>
      <c r="J17" s="10" t="s">
        <v>0</v>
      </c>
      <c r="K17" s="16"/>
      <c r="BCX17"/>
    </row>
    <row r="18" spans="1:11 1454:1454" ht="28.5" customHeight="1" x14ac:dyDescent="0.45">
      <c r="A18" s="4">
        <v>16</v>
      </c>
      <c r="B18" s="4" t="s">
        <v>63</v>
      </c>
      <c r="C18" s="5">
        <v>45748</v>
      </c>
      <c r="D18" s="7" t="s">
        <v>47</v>
      </c>
      <c r="E18" s="7" t="s">
        <v>19</v>
      </c>
      <c r="F18" s="7" t="s">
        <v>17</v>
      </c>
      <c r="G18" s="11">
        <v>5993400</v>
      </c>
      <c r="H18" s="27" t="s">
        <v>36</v>
      </c>
      <c r="I18" s="5">
        <v>45716</v>
      </c>
      <c r="J18" s="10" t="s">
        <v>42</v>
      </c>
      <c r="K18" s="16"/>
      <c r="BCX18"/>
    </row>
    <row r="19" spans="1:11 1454:1454" ht="28.5" customHeight="1" x14ac:dyDescent="0.45">
      <c r="A19" s="4">
        <v>17</v>
      </c>
      <c r="B19" s="4" t="s">
        <v>64</v>
      </c>
      <c r="C19" s="5">
        <v>45749</v>
      </c>
      <c r="D19" s="7" t="s">
        <v>47</v>
      </c>
      <c r="E19" s="7" t="s">
        <v>19</v>
      </c>
      <c r="F19" s="7" t="s">
        <v>17</v>
      </c>
      <c r="G19" s="11">
        <v>4105500</v>
      </c>
      <c r="H19" s="27" t="s">
        <v>36</v>
      </c>
      <c r="I19" s="5">
        <v>45716</v>
      </c>
      <c r="J19" s="10" t="s">
        <v>0</v>
      </c>
      <c r="K19" s="16"/>
      <c r="BCX19"/>
    </row>
    <row r="20" spans="1:11 1454:1454" ht="28.5" customHeight="1" x14ac:dyDescent="0.45">
      <c r="A20" s="4">
        <v>18</v>
      </c>
      <c r="B20" s="4" t="s">
        <v>65</v>
      </c>
      <c r="C20" s="5">
        <v>45775</v>
      </c>
      <c r="D20" s="7" t="s">
        <v>47</v>
      </c>
      <c r="E20" s="7" t="s">
        <v>19</v>
      </c>
      <c r="F20" s="7" t="s">
        <v>17</v>
      </c>
      <c r="G20" s="11">
        <v>1862700</v>
      </c>
      <c r="H20" s="27" t="s">
        <v>37</v>
      </c>
      <c r="I20" s="5">
        <v>45747</v>
      </c>
      <c r="J20" s="10" t="s">
        <v>42</v>
      </c>
      <c r="K20" s="16"/>
      <c r="BCX20"/>
    </row>
    <row r="21" spans="1:11 1454:1454" ht="28.5" customHeight="1" x14ac:dyDescent="0.45">
      <c r="A21" s="4">
        <v>19</v>
      </c>
      <c r="B21" s="4" t="s">
        <v>66</v>
      </c>
      <c r="C21" s="5">
        <v>45777</v>
      </c>
      <c r="D21" s="7" t="s">
        <v>47</v>
      </c>
      <c r="E21" s="7" t="s">
        <v>19</v>
      </c>
      <c r="F21" s="7" t="s">
        <v>17</v>
      </c>
      <c r="G21" s="11">
        <v>3347400</v>
      </c>
      <c r="H21" s="27" t="s">
        <v>37</v>
      </c>
      <c r="I21" s="5">
        <v>45747</v>
      </c>
      <c r="J21" s="10" t="s">
        <v>0</v>
      </c>
      <c r="K21" s="16"/>
      <c r="BCX21"/>
    </row>
    <row r="22" spans="1:11 1454:1454" ht="28.5" customHeight="1" x14ac:dyDescent="0.45">
      <c r="A22" s="4">
        <v>20</v>
      </c>
      <c r="B22" s="4" t="s">
        <v>67</v>
      </c>
      <c r="C22" s="5">
        <v>45767</v>
      </c>
      <c r="D22" s="7" t="s">
        <v>47</v>
      </c>
      <c r="E22" s="7" t="s">
        <v>19</v>
      </c>
      <c r="F22" s="7" t="s">
        <v>17</v>
      </c>
      <c r="G22" s="11">
        <v>2444400</v>
      </c>
      <c r="H22" s="27" t="s">
        <v>38</v>
      </c>
      <c r="I22" s="5">
        <v>45777</v>
      </c>
      <c r="J22" s="10" t="s">
        <v>42</v>
      </c>
      <c r="K22" s="16"/>
      <c r="BCX22"/>
    </row>
    <row r="23" spans="1:11 1454:1454" ht="28.5" customHeight="1" x14ac:dyDescent="0.45">
      <c r="A23" s="4">
        <v>21</v>
      </c>
      <c r="B23" s="4" t="s">
        <v>68</v>
      </c>
      <c r="C23" s="5">
        <v>45806</v>
      </c>
      <c r="D23" s="7" t="s">
        <v>47</v>
      </c>
      <c r="E23" s="7" t="s">
        <v>19</v>
      </c>
      <c r="F23" s="7" t="s">
        <v>17</v>
      </c>
      <c r="G23" s="11">
        <v>1430100</v>
      </c>
      <c r="H23" s="27" t="s">
        <v>38</v>
      </c>
      <c r="I23" s="5">
        <v>45777</v>
      </c>
      <c r="J23" s="10" t="s">
        <v>0</v>
      </c>
      <c r="K23" s="16"/>
      <c r="BCX23"/>
    </row>
    <row r="24" spans="1:11 1454:1454" ht="28.5" customHeight="1" x14ac:dyDescent="0.45">
      <c r="A24" s="4">
        <v>22</v>
      </c>
      <c r="B24" s="33" t="s">
        <v>69</v>
      </c>
      <c r="C24" s="42">
        <v>45827</v>
      </c>
      <c r="D24" s="7" t="s">
        <v>47</v>
      </c>
      <c r="E24" s="7" t="s">
        <v>19</v>
      </c>
      <c r="F24" s="7" t="s">
        <v>17</v>
      </c>
      <c r="G24" s="37">
        <v>1845900</v>
      </c>
      <c r="H24" s="27" t="s">
        <v>43</v>
      </c>
      <c r="I24" s="5">
        <v>45808</v>
      </c>
      <c r="J24" s="10" t="s">
        <v>42</v>
      </c>
      <c r="K24" s="16"/>
      <c r="BCX24"/>
    </row>
    <row r="25" spans="1:11 1454:1454" ht="28.5" customHeight="1" x14ac:dyDescent="0.45">
      <c r="A25" s="4">
        <v>23</v>
      </c>
      <c r="B25" s="33" t="s">
        <v>70</v>
      </c>
      <c r="C25" s="42">
        <v>45839</v>
      </c>
      <c r="D25" s="7" t="s">
        <v>47</v>
      </c>
      <c r="E25" s="7" t="s">
        <v>19</v>
      </c>
      <c r="F25" s="7" t="s">
        <v>17</v>
      </c>
      <c r="G25" s="37">
        <v>604800</v>
      </c>
      <c r="H25" s="5">
        <v>45778</v>
      </c>
      <c r="I25" s="5">
        <v>45808</v>
      </c>
      <c r="J25" s="14" t="s">
        <v>0</v>
      </c>
      <c r="K25" s="16"/>
      <c r="BCX25"/>
    </row>
    <row r="26" spans="1:11 1454:1454" ht="79.5" customHeight="1" x14ac:dyDescent="0.45">
      <c r="A26" s="44">
        <v>24</v>
      </c>
      <c r="B26" s="33" t="s">
        <v>71</v>
      </c>
      <c r="C26" s="42">
        <v>45901</v>
      </c>
      <c r="D26" s="7" t="s">
        <v>47</v>
      </c>
      <c r="E26" s="7" t="s">
        <v>19</v>
      </c>
      <c r="F26" s="7" t="s">
        <v>17</v>
      </c>
      <c r="G26" s="14">
        <v>7068600</v>
      </c>
      <c r="H26" s="5">
        <v>45809</v>
      </c>
      <c r="I26" s="5">
        <v>45869</v>
      </c>
      <c r="J26" s="10" t="s">
        <v>42</v>
      </c>
      <c r="K26" s="43" t="s">
        <v>44</v>
      </c>
      <c r="BCX26"/>
    </row>
    <row r="27" spans="1:11 1454:1454" ht="79.5" customHeight="1" x14ac:dyDescent="0.45">
      <c r="A27" s="44"/>
      <c r="B27" s="33" t="s">
        <v>29</v>
      </c>
      <c r="C27" s="42">
        <v>45974</v>
      </c>
      <c r="D27" s="7" t="s">
        <v>47</v>
      </c>
      <c r="E27" s="7" t="s">
        <v>19</v>
      </c>
      <c r="F27" s="7" t="s">
        <v>17</v>
      </c>
      <c r="G27" s="37">
        <v>1010100</v>
      </c>
      <c r="H27" s="5">
        <v>45809</v>
      </c>
      <c r="I27" s="5">
        <v>45869</v>
      </c>
      <c r="J27" s="10" t="s">
        <v>42</v>
      </c>
      <c r="K27" s="43" t="s">
        <v>44</v>
      </c>
      <c r="BCX27"/>
    </row>
    <row r="28" spans="1:11 1454:1454" ht="28.5" customHeight="1" x14ac:dyDescent="0.45">
      <c r="A28" s="4">
        <v>25</v>
      </c>
      <c r="B28" s="33" t="s">
        <v>72</v>
      </c>
      <c r="C28" s="42">
        <v>45901</v>
      </c>
      <c r="D28" s="7" t="s">
        <v>47</v>
      </c>
      <c r="E28" s="7" t="s">
        <v>19</v>
      </c>
      <c r="F28" s="7" t="s">
        <v>17</v>
      </c>
      <c r="G28" s="37">
        <v>8208900</v>
      </c>
      <c r="H28" s="5">
        <v>45809</v>
      </c>
      <c r="I28" s="5">
        <v>45869</v>
      </c>
      <c r="J28" s="10" t="s">
        <v>42</v>
      </c>
      <c r="K28" s="16"/>
      <c r="BCX28"/>
    </row>
    <row r="29" spans="1:11 1454:1454" ht="28.5" customHeight="1" x14ac:dyDescent="0.45">
      <c r="A29" s="4">
        <v>26</v>
      </c>
      <c r="B29" s="33" t="s">
        <v>73</v>
      </c>
      <c r="C29" s="42">
        <v>45916</v>
      </c>
      <c r="D29" s="7" t="s">
        <v>47</v>
      </c>
      <c r="E29" s="7" t="s">
        <v>19</v>
      </c>
      <c r="F29" s="7" t="s">
        <v>17</v>
      </c>
      <c r="G29" s="37">
        <v>2835000</v>
      </c>
      <c r="H29" s="5">
        <v>45870</v>
      </c>
      <c r="I29" s="5">
        <v>45900</v>
      </c>
      <c r="J29" s="14" t="s">
        <v>0</v>
      </c>
      <c r="K29" s="16"/>
      <c r="BCX29"/>
    </row>
    <row r="30" spans="1:11 1454:1454" ht="28.5" customHeight="1" x14ac:dyDescent="0.45">
      <c r="A30" s="4">
        <v>27</v>
      </c>
      <c r="B30" s="33" t="s">
        <v>74</v>
      </c>
      <c r="C30" s="42">
        <v>45938</v>
      </c>
      <c r="D30" s="7" t="s">
        <v>47</v>
      </c>
      <c r="E30" s="7" t="s">
        <v>19</v>
      </c>
      <c r="F30" s="7" t="s">
        <v>17</v>
      </c>
      <c r="G30" s="37">
        <v>4428900</v>
      </c>
      <c r="H30" s="5">
        <v>45870</v>
      </c>
      <c r="I30" s="5">
        <v>45900</v>
      </c>
      <c r="J30" s="10" t="s">
        <v>42</v>
      </c>
      <c r="K30" s="16"/>
      <c r="BCX30"/>
    </row>
    <row r="31" spans="1:11 1454:1454" ht="35.25" customHeight="1" x14ac:dyDescent="0.45">
      <c r="A31" s="4">
        <v>28</v>
      </c>
      <c r="B31" s="33" t="s">
        <v>75</v>
      </c>
      <c r="C31" s="42">
        <v>45940</v>
      </c>
      <c r="D31" s="7" t="s">
        <v>47</v>
      </c>
      <c r="E31" s="7" t="s">
        <v>19</v>
      </c>
      <c r="F31" s="7" t="s">
        <v>17</v>
      </c>
      <c r="G31" s="37">
        <v>680400</v>
      </c>
      <c r="H31" s="5">
        <v>45901</v>
      </c>
      <c r="I31" s="5">
        <v>45930</v>
      </c>
      <c r="J31" s="10" t="s">
        <v>42</v>
      </c>
      <c r="K31" s="16"/>
      <c r="BCX31"/>
    </row>
    <row r="32" spans="1:11 1454:1454" ht="51.75" customHeight="1" x14ac:dyDescent="0.45">
      <c r="A32" s="4">
        <v>29</v>
      </c>
      <c r="B32" s="33" t="s">
        <v>76</v>
      </c>
      <c r="C32" s="42">
        <v>45951</v>
      </c>
      <c r="D32" s="7" t="s">
        <v>47</v>
      </c>
      <c r="E32" s="7" t="s">
        <v>19</v>
      </c>
      <c r="F32" s="7" t="s">
        <v>17</v>
      </c>
      <c r="G32" s="37">
        <v>4235700</v>
      </c>
      <c r="H32" s="5">
        <v>45901</v>
      </c>
      <c r="I32" s="5">
        <v>45930</v>
      </c>
      <c r="J32" s="14" t="s">
        <v>0</v>
      </c>
      <c r="K32" s="16"/>
      <c r="BCX32"/>
    </row>
    <row r="33" spans="1:11 1454:1454" ht="28.5" customHeight="1" x14ac:dyDescent="0.45">
      <c r="A33" s="4">
        <v>30</v>
      </c>
      <c r="B33" s="33" t="s">
        <v>77</v>
      </c>
      <c r="C33" s="42">
        <v>45973</v>
      </c>
      <c r="D33" s="7" t="s">
        <v>47</v>
      </c>
      <c r="E33" s="7" t="s">
        <v>19</v>
      </c>
      <c r="F33" s="7" t="s">
        <v>17</v>
      </c>
      <c r="G33" s="37">
        <v>3061800</v>
      </c>
      <c r="H33" s="5">
        <v>45931</v>
      </c>
      <c r="I33" s="5">
        <v>45961</v>
      </c>
      <c r="J33" s="10" t="s">
        <v>42</v>
      </c>
      <c r="K33" s="16"/>
      <c r="BCX33"/>
    </row>
    <row r="34" spans="1:11 1454:1454" ht="46.5" customHeight="1" x14ac:dyDescent="0.45">
      <c r="A34" s="4">
        <v>31</v>
      </c>
      <c r="B34" s="33" t="s">
        <v>78</v>
      </c>
      <c r="C34" s="42">
        <v>45985</v>
      </c>
      <c r="D34" s="7" t="s">
        <v>47</v>
      </c>
      <c r="E34" s="7" t="s">
        <v>19</v>
      </c>
      <c r="F34" s="7" t="s">
        <v>17</v>
      </c>
      <c r="G34" s="37">
        <v>3647700</v>
      </c>
      <c r="H34" s="5">
        <v>45931</v>
      </c>
      <c r="I34" s="5">
        <v>45961</v>
      </c>
      <c r="J34" s="14" t="s">
        <v>0</v>
      </c>
      <c r="K34" s="16"/>
      <c r="BCX34"/>
    </row>
    <row r="35" spans="1:11 1454:1454" ht="47.25" customHeight="1" x14ac:dyDescent="0.45">
      <c r="A35" s="4">
        <v>32</v>
      </c>
      <c r="B35" s="33" t="s">
        <v>79</v>
      </c>
      <c r="C35" s="42">
        <v>46041</v>
      </c>
      <c r="D35" s="7" t="s">
        <v>47</v>
      </c>
      <c r="E35" s="7" t="s">
        <v>19</v>
      </c>
      <c r="F35" s="7" t="s">
        <v>17</v>
      </c>
      <c r="G35" s="37">
        <v>2969400</v>
      </c>
      <c r="H35" s="5">
        <v>45962</v>
      </c>
      <c r="I35" s="5">
        <v>45991</v>
      </c>
      <c r="J35" s="10" t="s">
        <v>42</v>
      </c>
      <c r="K35" s="16"/>
      <c r="BCX35"/>
    </row>
    <row r="36" spans="1:11 1454:1454" ht="47.25" customHeight="1" x14ac:dyDescent="0.45">
      <c r="A36" s="4">
        <v>33</v>
      </c>
      <c r="B36" s="33" t="s">
        <v>80</v>
      </c>
      <c r="C36" s="42">
        <v>46041</v>
      </c>
      <c r="D36" s="7" t="s">
        <v>47</v>
      </c>
      <c r="E36" s="7" t="s">
        <v>19</v>
      </c>
      <c r="F36" s="7" t="s">
        <v>17</v>
      </c>
      <c r="G36" s="37">
        <f>5342400+29400</f>
        <v>5371800</v>
      </c>
      <c r="H36" s="5">
        <v>45962</v>
      </c>
      <c r="I36" s="5">
        <v>45991</v>
      </c>
      <c r="J36" s="14" t="s">
        <v>0</v>
      </c>
      <c r="K36" s="16"/>
      <c r="BCX36"/>
    </row>
    <row r="37" spans="1:11 1454:1454" ht="47.25" customHeight="1" x14ac:dyDescent="0.45">
      <c r="A37" s="4">
        <v>34</v>
      </c>
      <c r="B37" s="33" t="s">
        <v>81</v>
      </c>
      <c r="C37" s="42">
        <v>46065</v>
      </c>
      <c r="D37" s="7" t="s">
        <v>47</v>
      </c>
      <c r="E37" s="7" t="s">
        <v>19</v>
      </c>
      <c r="F37" s="7" t="s">
        <v>17</v>
      </c>
      <c r="G37" s="37">
        <v>12035100</v>
      </c>
      <c r="H37" s="5">
        <v>45992</v>
      </c>
      <c r="I37" s="5">
        <v>46022</v>
      </c>
      <c r="J37" s="14" t="s">
        <v>0</v>
      </c>
      <c r="K37" s="16"/>
      <c r="BCX37"/>
    </row>
    <row r="38" spans="1:11 1454:1454" ht="47.25" customHeight="1" x14ac:dyDescent="0.45">
      <c r="A38" s="4">
        <v>35</v>
      </c>
      <c r="B38" s="33" t="s">
        <v>82</v>
      </c>
      <c r="C38" s="42">
        <v>46086</v>
      </c>
      <c r="D38" s="7" t="s">
        <v>47</v>
      </c>
      <c r="E38" s="7" t="s">
        <v>19</v>
      </c>
      <c r="F38" s="7" t="s">
        <v>17</v>
      </c>
      <c r="G38" s="37">
        <v>6207600</v>
      </c>
      <c r="H38" s="5">
        <v>45658</v>
      </c>
      <c r="I38" s="5">
        <v>46053</v>
      </c>
      <c r="J38" s="14" t="s">
        <v>0</v>
      </c>
      <c r="K38" s="16"/>
      <c r="BCX38"/>
    </row>
    <row r="39" spans="1:11 1454:1454" ht="45.75" customHeight="1" x14ac:dyDescent="0.45">
      <c r="A39" s="39">
        <v>1</v>
      </c>
      <c r="B39" s="49" t="s">
        <v>83</v>
      </c>
      <c r="C39" s="47">
        <v>45469</v>
      </c>
      <c r="D39" s="15" t="s">
        <v>7</v>
      </c>
      <c r="E39" s="28" t="s">
        <v>6</v>
      </c>
      <c r="F39" s="13" t="s">
        <v>17</v>
      </c>
      <c r="G39" s="14">
        <v>108650</v>
      </c>
      <c r="H39" s="5">
        <v>45383</v>
      </c>
      <c r="I39" s="5">
        <v>45412</v>
      </c>
      <c r="J39" s="14" t="s">
        <v>0</v>
      </c>
      <c r="K39" s="38"/>
    </row>
    <row r="40" spans="1:11 1454:1454" ht="40.5" customHeight="1" x14ac:dyDescent="0.45">
      <c r="A40" s="13">
        <v>2</v>
      </c>
      <c r="B40" s="49" t="s">
        <v>84</v>
      </c>
      <c r="C40" s="47">
        <v>45594</v>
      </c>
      <c r="D40" s="15" t="s">
        <v>7</v>
      </c>
      <c r="E40" s="31" t="s">
        <v>6</v>
      </c>
      <c r="F40" s="13" t="s">
        <v>17</v>
      </c>
      <c r="G40" s="14">
        <v>1699450</v>
      </c>
      <c r="H40" s="5">
        <v>45444</v>
      </c>
      <c r="I40" s="5">
        <v>45535</v>
      </c>
      <c r="J40" s="14" t="s">
        <v>0</v>
      </c>
      <c r="K40" s="12"/>
    </row>
    <row r="41" spans="1:11 1454:1454" ht="41.25" customHeight="1" x14ac:dyDescent="0.45">
      <c r="A41" s="59">
        <v>3</v>
      </c>
      <c r="B41" s="57" t="s">
        <v>85</v>
      </c>
      <c r="C41" s="61">
        <v>45520</v>
      </c>
      <c r="D41" s="63" t="s">
        <v>7</v>
      </c>
      <c r="E41" s="57" t="s">
        <v>6</v>
      </c>
      <c r="F41" s="59" t="s">
        <v>17</v>
      </c>
      <c r="G41" s="14">
        <v>945050</v>
      </c>
      <c r="H41" s="5">
        <v>45292</v>
      </c>
      <c r="I41" s="5">
        <v>45412</v>
      </c>
      <c r="J41" s="14" t="s">
        <v>92</v>
      </c>
      <c r="K41" s="12"/>
    </row>
    <row r="42" spans="1:11 1454:1454" ht="36" customHeight="1" x14ac:dyDescent="0.45">
      <c r="A42" s="60"/>
      <c r="B42" s="58"/>
      <c r="C42" s="62"/>
      <c r="D42" s="64"/>
      <c r="E42" s="58"/>
      <c r="F42" s="60"/>
      <c r="G42" s="14">
        <f>3503450+945050</f>
        <v>4448500</v>
      </c>
      <c r="H42" s="5">
        <v>45292</v>
      </c>
      <c r="I42" s="5">
        <v>45443</v>
      </c>
      <c r="J42" s="14" t="s">
        <v>0</v>
      </c>
      <c r="K42" s="12"/>
    </row>
    <row r="43" spans="1:11 1454:1454" ht="40.5" customHeight="1" x14ac:dyDescent="0.45">
      <c r="A43" s="13">
        <v>4</v>
      </c>
      <c r="B43" s="48" t="s">
        <v>86</v>
      </c>
      <c r="C43" s="50">
        <v>45700</v>
      </c>
      <c r="D43" s="15" t="s">
        <v>7</v>
      </c>
      <c r="E43" s="31" t="s">
        <v>6</v>
      </c>
      <c r="F43" s="13" t="s">
        <v>17</v>
      </c>
      <c r="G43" s="14">
        <v>13220450</v>
      </c>
      <c r="H43" s="5">
        <v>45292</v>
      </c>
      <c r="I43" s="5">
        <v>45657</v>
      </c>
      <c r="J43" s="14" t="s">
        <v>0</v>
      </c>
      <c r="K43" s="12"/>
    </row>
    <row r="44" spans="1:11 1454:1454" ht="46.5" customHeight="1" x14ac:dyDescent="0.45">
      <c r="A44" s="13">
        <v>5</v>
      </c>
      <c r="B44" s="31" t="s">
        <v>87</v>
      </c>
      <c r="C44" s="51">
        <v>45667</v>
      </c>
      <c r="D44" s="15" t="s">
        <v>7</v>
      </c>
      <c r="E44" s="31" t="s">
        <v>6</v>
      </c>
      <c r="F44" s="13" t="s">
        <v>17</v>
      </c>
      <c r="G44" s="14">
        <v>2418000</v>
      </c>
      <c r="H44" s="5">
        <v>45536</v>
      </c>
      <c r="I44" s="5">
        <v>45595</v>
      </c>
      <c r="J44" s="14" t="s">
        <v>0</v>
      </c>
      <c r="K44" s="12"/>
    </row>
    <row r="45" spans="1:11 1454:1454" ht="41.25" customHeight="1" x14ac:dyDescent="0.45">
      <c r="A45" s="13">
        <v>6</v>
      </c>
      <c r="B45" s="31" t="s">
        <v>88</v>
      </c>
      <c r="C45" s="51">
        <v>45702</v>
      </c>
      <c r="D45" s="15" t="s">
        <v>7</v>
      </c>
      <c r="E45" s="31" t="s">
        <v>6</v>
      </c>
      <c r="F45" s="13" t="s">
        <v>17</v>
      </c>
      <c r="G45" s="14">
        <v>10342725</v>
      </c>
      <c r="H45" s="5">
        <v>45658</v>
      </c>
      <c r="I45" s="5">
        <v>45688</v>
      </c>
      <c r="J45" s="14" t="s">
        <v>22</v>
      </c>
      <c r="K45" s="12"/>
    </row>
    <row r="46" spans="1:11 1454:1454" ht="39.75" customHeight="1" x14ac:dyDescent="0.45">
      <c r="A46" s="13">
        <v>7</v>
      </c>
      <c r="B46" s="31" t="s">
        <v>89</v>
      </c>
      <c r="C46" s="51">
        <v>45705</v>
      </c>
      <c r="D46" s="15" t="s">
        <v>7</v>
      </c>
      <c r="E46" s="31" t="s">
        <v>6</v>
      </c>
      <c r="F46" s="13" t="s">
        <v>17</v>
      </c>
      <c r="G46" s="14">
        <v>443251</v>
      </c>
      <c r="H46" s="5">
        <v>45627</v>
      </c>
      <c r="I46" s="5">
        <v>45657</v>
      </c>
      <c r="J46" s="14" t="s">
        <v>93</v>
      </c>
      <c r="K46" s="12"/>
    </row>
    <row r="47" spans="1:11 1454:1454" ht="42" customHeight="1" x14ac:dyDescent="0.45">
      <c r="A47" s="13">
        <v>8</v>
      </c>
      <c r="B47" s="31" t="s">
        <v>90</v>
      </c>
      <c r="C47" s="51">
        <v>45722</v>
      </c>
      <c r="D47" s="15" t="s">
        <v>7</v>
      </c>
      <c r="E47" s="31" t="s">
        <v>6</v>
      </c>
      <c r="F47" s="13" t="s">
        <v>17</v>
      </c>
      <c r="G47" s="14">
        <v>342936.3</v>
      </c>
      <c r="H47" s="5">
        <v>45658</v>
      </c>
      <c r="I47" s="5">
        <v>46022</v>
      </c>
      <c r="J47" s="14" t="s">
        <v>22</v>
      </c>
      <c r="K47" s="12"/>
    </row>
    <row r="48" spans="1:11 1454:1454" ht="42" customHeight="1" x14ac:dyDescent="0.45">
      <c r="A48" s="13">
        <v>9</v>
      </c>
      <c r="B48" s="31" t="s">
        <v>91</v>
      </c>
      <c r="C48" s="51">
        <v>45751</v>
      </c>
      <c r="D48" s="15" t="s">
        <v>7</v>
      </c>
      <c r="E48" s="31" t="s">
        <v>6</v>
      </c>
      <c r="F48" s="13" t="s">
        <v>17</v>
      </c>
      <c r="G48" s="14">
        <v>4796442.4000000004</v>
      </c>
      <c r="H48" s="5">
        <v>45689</v>
      </c>
      <c r="I48" s="5">
        <v>45716</v>
      </c>
      <c r="J48" s="14" t="s">
        <v>22</v>
      </c>
      <c r="K48" s="12"/>
    </row>
    <row r="49" spans="1:11" ht="33" customHeight="1" x14ac:dyDescent="0.45">
      <c r="A49" s="13">
        <v>1</v>
      </c>
      <c r="B49" s="31" t="s">
        <v>94</v>
      </c>
      <c r="C49" s="51">
        <v>45473</v>
      </c>
      <c r="D49" s="15" t="s">
        <v>120</v>
      </c>
      <c r="E49" s="15" t="s">
        <v>121</v>
      </c>
      <c r="F49" s="22" t="s">
        <v>17</v>
      </c>
      <c r="G49" s="23">
        <v>833800</v>
      </c>
      <c r="H49" s="6" t="s">
        <v>25</v>
      </c>
      <c r="I49" s="6" t="s">
        <v>134</v>
      </c>
      <c r="J49" s="14" t="s">
        <v>92</v>
      </c>
      <c r="K49" s="54"/>
    </row>
    <row r="50" spans="1:11" ht="33" customHeight="1" x14ac:dyDescent="0.45">
      <c r="A50" s="13">
        <v>2</v>
      </c>
      <c r="B50" s="31" t="s">
        <v>95</v>
      </c>
      <c r="C50" s="51">
        <v>45473</v>
      </c>
      <c r="D50" s="15" t="s">
        <v>120</v>
      </c>
      <c r="E50" s="15" t="s">
        <v>121</v>
      </c>
      <c r="F50" s="22" t="s">
        <v>17</v>
      </c>
      <c r="G50" s="23">
        <v>7084000</v>
      </c>
      <c r="H50" s="6" t="s">
        <v>25</v>
      </c>
      <c r="I50" s="6" t="s">
        <v>135</v>
      </c>
      <c r="J50" s="14" t="s">
        <v>92</v>
      </c>
      <c r="K50" s="55"/>
    </row>
    <row r="51" spans="1:11" ht="33" customHeight="1" x14ac:dyDescent="0.45">
      <c r="A51" s="13">
        <v>3</v>
      </c>
      <c r="B51" s="31" t="s">
        <v>96</v>
      </c>
      <c r="C51" s="51">
        <v>45473</v>
      </c>
      <c r="D51" s="15" t="s">
        <v>120</v>
      </c>
      <c r="E51" s="15" t="s">
        <v>121</v>
      </c>
      <c r="F51" s="22" t="s">
        <v>17</v>
      </c>
      <c r="G51" s="23">
        <v>1808400</v>
      </c>
      <c r="H51" s="6" t="s">
        <v>33</v>
      </c>
      <c r="I51" s="6" t="s">
        <v>136</v>
      </c>
      <c r="J51" s="14" t="s">
        <v>92</v>
      </c>
      <c r="K51" s="56"/>
    </row>
    <row r="52" spans="1:11" ht="33" customHeight="1" x14ac:dyDescent="0.45">
      <c r="A52" s="13">
        <v>4</v>
      </c>
      <c r="B52" s="31" t="s">
        <v>97</v>
      </c>
      <c r="C52" s="51">
        <v>45473</v>
      </c>
      <c r="D52" s="15" t="s">
        <v>120</v>
      </c>
      <c r="E52" s="15" t="s">
        <v>121</v>
      </c>
      <c r="F52" s="22" t="s">
        <v>17</v>
      </c>
      <c r="G52" s="23">
        <v>2197800</v>
      </c>
      <c r="H52" s="6" t="s">
        <v>25</v>
      </c>
      <c r="I52" s="6" t="s">
        <v>134</v>
      </c>
      <c r="J52" s="14" t="s">
        <v>0</v>
      </c>
      <c r="K52" s="26"/>
    </row>
    <row r="53" spans="1:11" ht="33" customHeight="1" x14ac:dyDescent="0.45">
      <c r="A53" s="13">
        <v>5</v>
      </c>
      <c r="B53" s="31" t="s">
        <v>98</v>
      </c>
      <c r="C53" s="51">
        <v>45473</v>
      </c>
      <c r="D53" s="15" t="s">
        <v>120</v>
      </c>
      <c r="E53" s="15" t="s">
        <v>121</v>
      </c>
      <c r="F53" s="22" t="s">
        <v>17</v>
      </c>
      <c r="G53" s="23">
        <v>215600</v>
      </c>
      <c r="H53" s="6" t="s">
        <v>30</v>
      </c>
      <c r="I53" s="6" t="s">
        <v>135</v>
      </c>
      <c r="J53" s="14" t="s">
        <v>0</v>
      </c>
      <c r="K53" s="26"/>
    </row>
    <row r="54" spans="1:11" ht="33" customHeight="1" x14ac:dyDescent="0.45">
      <c r="A54" s="13">
        <v>6</v>
      </c>
      <c r="B54" s="31" t="s">
        <v>99</v>
      </c>
      <c r="C54" s="51">
        <v>45473</v>
      </c>
      <c r="D54" s="15" t="s">
        <v>120</v>
      </c>
      <c r="E54" s="15" t="s">
        <v>121</v>
      </c>
      <c r="F54" s="22" t="s">
        <v>17</v>
      </c>
      <c r="G54" s="23">
        <v>314600</v>
      </c>
      <c r="H54" s="6" t="s">
        <v>25</v>
      </c>
      <c r="I54" s="6" t="s">
        <v>135</v>
      </c>
      <c r="J54" s="14" t="s">
        <v>0</v>
      </c>
      <c r="K54" s="26"/>
    </row>
    <row r="55" spans="1:11" ht="33" customHeight="1" x14ac:dyDescent="0.45">
      <c r="A55" s="13">
        <v>7</v>
      </c>
      <c r="B55" s="31" t="s">
        <v>100</v>
      </c>
      <c r="C55" s="51">
        <v>45473</v>
      </c>
      <c r="D55" s="15" t="s">
        <v>120</v>
      </c>
      <c r="E55" s="15" t="s">
        <v>121</v>
      </c>
      <c r="F55" s="22" t="s">
        <v>17</v>
      </c>
      <c r="G55" s="23">
        <v>770000</v>
      </c>
      <c r="H55" s="6" t="s">
        <v>25</v>
      </c>
      <c r="I55" s="6" t="s">
        <v>134</v>
      </c>
      <c r="J55" s="14" t="s">
        <v>42</v>
      </c>
      <c r="K55" s="26"/>
    </row>
    <row r="56" spans="1:11" ht="33" customHeight="1" x14ac:dyDescent="0.45">
      <c r="A56" s="13">
        <v>8</v>
      </c>
      <c r="B56" s="31" t="s">
        <v>101</v>
      </c>
      <c r="C56" s="51">
        <v>45473</v>
      </c>
      <c r="D56" s="22" t="s">
        <v>120</v>
      </c>
      <c r="E56" s="15" t="s">
        <v>121</v>
      </c>
      <c r="F56" s="22" t="s">
        <v>17</v>
      </c>
      <c r="G56" s="23">
        <v>796400</v>
      </c>
      <c r="H56" s="6" t="s">
        <v>24</v>
      </c>
      <c r="I56" s="6" t="s">
        <v>137</v>
      </c>
      <c r="J56" s="14" t="s">
        <v>42</v>
      </c>
      <c r="K56" s="26"/>
    </row>
    <row r="57" spans="1:11" ht="33" customHeight="1" x14ac:dyDescent="0.45">
      <c r="A57" s="13">
        <v>9</v>
      </c>
      <c r="B57" s="31" t="s">
        <v>102</v>
      </c>
      <c r="C57" s="51">
        <v>45583</v>
      </c>
      <c r="D57" s="13" t="s">
        <v>120</v>
      </c>
      <c r="E57" s="15" t="s">
        <v>121</v>
      </c>
      <c r="F57" s="22" t="s">
        <v>17</v>
      </c>
      <c r="G57" s="23">
        <v>1553200</v>
      </c>
      <c r="H57" s="6" t="s">
        <v>40</v>
      </c>
      <c r="I57" s="6" t="s">
        <v>114</v>
      </c>
      <c r="J57" s="14" t="s">
        <v>0</v>
      </c>
      <c r="K57" s="12"/>
    </row>
    <row r="58" spans="1:11" ht="33" customHeight="1" x14ac:dyDescent="0.45">
      <c r="A58" s="13">
        <v>10</v>
      </c>
      <c r="B58" s="31" t="s">
        <v>103</v>
      </c>
      <c r="C58" s="51">
        <v>45544</v>
      </c>
      <c r="D58" s="15" t="s">
        <v>120</v>
      </c>
      <c r="E58" s="15" t="s">
        <v>121</v>
      </c>
      <c r="F58" s="22" t="s">
        <v>17</v>
      </c>
      <c r="G58" s="23">
        <v>2160400</v>
      </c>
      <c r="H58" s="6" t="s">
        <v>33</v>
      </c>
      <c r="I58" s="6" t="s">
        <v>136</v>
      </c>
      <c r="J58" s="14" t="s">
        <v>0</v>
      </c>
      <c r="K58" s="12"/>
    </row>
    <row r="59" spans="1:11" ht="33" customHeight="1" x14ac:dyDescent="0.45">
      <c r="A59" s="13">
        <v>11</v>
      </c>
      <c r="B59" s="31" t="s">
        <v>112</v>
      </c>
      <c r="C59" s="51">
        <v>45631</v>
      </c>
      <c r="D59" s="15" t="s">
        <v>120</v>
      </c>
      <c r="E59" s="15" t="s">
        <v>121</v>
      </c>
      <c r="F59" s="22" t="s">
        <v>17</v>
      </c>
      <c r="G59" s="23">
        <v>2160400</v>
      </c>
      <c r="H59" s="6" t="s">
        <v>115</v>
      </c>
      <c r="I59" s="6" t="s">
        <v>116</v>
      </c>
      <c r="J59" s="14" t="s">
        <v>0</v>
      </c>
      <c r="K59" s="12"/>
    </row>
    <row r="60" spans="1:11" ht="33" customHeight="1" x14ac:dyDescent="0.45">
      <c r="A60" s="13">
        <v>12</v>
      </c>
      <c r="B60" s="31" t="s">
        <v>111</v>
      </c>
      <c r="C60" s="51">
        <v>45679</v>
      </c>
      <c r="D60" s="15" t="s">
        <v>120</v>
      </c>
      <c r="E60" s="15" t="s">
        <v>121</v>
      </c>
      <c r="F60" s="22" t="s">
        <v>17</v>
      </c>
      <c r="G60" s="23">
        <v>2721400</v>
      </c>
      <c r="H60" s="6" t="s">
        <v>34</v>
      </c>
      <c r="I60" s="6" t="s">
        <v>124</v>
      </c>
      <c r="J60" s="32" t="s">
        <v>119</v>
      </c>
      <c r="K60" s="12"/>
    </row>
    <row r="61" spans="1:11" ht="33" customHeight="1" x14ac:dyDescent="0.45">
      <c r="A61" s="13">
        <v>13</v>
      </c>
      <c r="B61" s="31" t="s">
        <v>110</v>
      </c>
      <c r="C61" s="51">
        <v>45679</v>
      </c>
      <c r="D61" s="15" t="s">
        <v>120</v>
      </c>
      <c r="E61" s="15" t="s">
        <v>121</v>
      </c>
      <c r="F61" s="22" t="s">
        <v>17</v>
      </c>
      <c r="G61" s="23">
        <v>6149000</v>
      </c>
      <c r="H61" s="6" t="s">
        <v>39</v>
      </c>
      <c r="I61" s="6" t="s">
        <v>138</v>
      </c>
      <c r="J61" s="32" t="s">
        <v>119</v>
      </c>
      <c r="K61" s="12"/>
    </row>
    <row r="62" spans="1:11" ht="33" customHeight="1" x14ac:dyDescent="0.45">
      <c r="A62" s="13">
        <v>14</v>
      </c>
      <c r="B62" s="31" t="s">
        <v>109</v>
      </c>
      <c r="C62" s="51">
        <v>45769</v>
      </c>
      <c r="D62" s="15" t="s">
        <v>120</v>
      </c>
      <c r="E62" s="15" t="s">
        <v>121</v>
      </c>
      <c r="F62" s="22" t="s">
        <v>17</v>
      </c>
      <c r="G62" s="23">
        <v>5357000</v>
      </c>
      <c r="H62" s="6" t="s">
        <v>133</v>
      </c>
      <c r="I62" s="6" t="s">
        <v>139</v>
      </c>
      <c r="J62" s="14" t="s">
        <v>93</v>
      </c>
      <c r="K62" s="12"/>
    </row>
    <row r="63" spans="1:11" ht="33" customHeight="1" x14ac:dyDescent="0.45">
      <c r="A63" s="13">
        <v>15</v>
      </c>
      <c r="B63" s="31" t="s">
        <v>108</v>
      </c>
      <c r="C63" s="51">
        <v>45832</v>
      </c>
      <c r="D63" s="15" t="s">
        <v>120</v>
      </c>
      <c r="E63" s="15" t="s">
        <v>121</v>
      </c>
      <c r="F63" s="22" t="s">
        <v>17</v>
      </c>
      <c r="G63" s="23">
        <v>6708450</v>
      </c>
      <c r="H63" s="6" t="s">
        <v>27</v>
      </c>
      <c r="I63" s="6" t="s">
        <v>140</v>
      </c>
      <c r="J63" s="14" t="s">
        <v>93</v>
      </c>
      <c r="K63" s="12"/>
    </row>
    <row r="64" spans="1:11" ht="33" customHeight="1" x14ac:dyDescent="0.45">
      <c r="A64" s="34">
        <v>16</v>
      </c>
      <c r="B64" s="31" t="s">
        <v>107</v>
      </c>
      <c r="C64" s="51">
        <v>45761</v>
      </c>
      <c r="D64" s="35" t="s">
        <v>120</v>
      </c>
      <c r="E64" s="15" t="s">
        <v>121</v>
      </c>
      <c r="F64" s="22" t="s">
        <v>17</v>
      </c>
      <c r="G64" s="23">
        <v>6216200</v>
      </c>
      <c r="H64" s="6" t="s">
        <v>35</v>
      </c>
      <c r="I64" s="6" t="s">
        <v>117</v>
      </c>
      <c r="J64" s="14" t="s">
        <v>93</v>
      </c>
      <c r="K64" s="12"/>
    </row>
    <row r="65" spans="1:11" ht="33" customHeight="1" x14ac:dyDescent="0.45">
      <c r="A65" s="13">
        <v>17</v>
      </c>
      <c r="B65" s="35" t="s">
        <v>106</v>
      </c>
      <c r="C65" s="52">
        <v>45862</v>
      </c>
      <c r="D65" s="35" t="s">
        <v>120</v>
      </c>
      <c r="E65" s="15" t="s">
        <v>121</v>
      </c>
      <c r="F65" s="22" t="s">
        <v>17</v>
      </c>
      <c r="G65" s="36">
        <v>6696550</v>
      </c>
      <c r="H65" s="6" t="s">
        <v>37</v>
      </c>
      <c r="I65" s="6" t="s">
        <v>118</v>
      </c>
      <c r="J65" s="14" t="s">
        <v>93</v>
      </c>
      <c r="K65" s="12"/>
    </row>
    <row r="66" spans="1:11" ht="33" customHeight="1" x14ac:dyDescent="0.45">
      <c r="A66" s="13">
        <v>18</v>
      </c>
      <c r="B66" s="35" t="s">
        <v>105</v>
      </c>
      <c r="C66" s="52">
        <v>45867</v>
      </c>
      <c r="D66" s="35" t="s">
        <v>120</v>
      </c>
      <c r="E66" s="15" t="s">
        <v>121</v>
      </c>
      <c r="F66" s="22" t="s">
        <v>17</v>
      </c>
      <c r="G66" s="36">
        <v>596200</v>
      </c>
      <c r="H66" s="6" t="s">
        <v>132</v>
      </c>
      <c r="I66" s="6" t="s">
        <v>113</v>
      </c>
      <c r="J66" s="14" t="s">
        <v>0</v>
      </c>
      <c r="K66" s="12"/>
    </row>
    <row r="67" spans="1:11" ht="33" customHeight="1" x14ac:dyDescent="0.45">
      <c r="A67" s="13">
        <v>19</v>
      </c>
      <c r="B67" s="35" t="s">
        <v>104</v>
      </c>
      <c r="C67" s="52">
        <v>45862</v>
      </c>
      <c r="D67" s="35" t="s">
        <v>120</v>
      </c>
      <c r="E67" s="15" t="s">
        <v>121</v>
      </c>
      <c r="F67" s="22" t="s">
        <v>17</v>
      </c>
      <c r="G67" s="36">
        <v>10318450</v>
      </c>
      <c r="H67" s="6" t="s">
        <v>37</v>
      </c>
      <c r="I67" s="6" t="s">
        <v>118</v>
      </c>
      <c r="J67" s="14" t="s">
        <v>93</v>
      </c>
      <c r="K67" s="12"/>
    </row>
    <row r="68" spans="1:11" ht="30" customHeight="1" x14ac:dyDescent="0.45">
      <c r="A68" s="31">
        <v>1</v>
      </c>
      <c r="B68" s="31" t="s">
        <v>125</v>
      </c>
      <c r="C68" s="51">
        <v>45768</v>
      </c>
      <c r="D68" s="31" t="s">
        <v>126</v>
      </c>
      <c r="E68" s="31" t="s">
        <v>122</v>
      </c>
      <c r="F68" s="31" t="s">
        <v>17</v>
      </c>
      <c r="G68" s="36">
        <v>6400</v>
      </c>
      <c r="H68" s="6" t="s">
        <v>123</v>
      </c>
      <c r="I68" s="6" t="s">
        <v>124</v>
      </c>
      <c r="J68" s="32" t="s">
        <v>2</v>
      </c>
      <c r="K68" s="33"/>
    </row>
  </sheetData>
  <autoFilter ref="A1:BDB1"/>
  <mergeCells count="7">
    <mergeCell ref="K49:K51"/>
    <mergeCell ref="B41:B42"/>
    <mergeCell ref="A41:A42"/>
    <mergeCell ref="C41:C42"/>
    <mergeCell ref="D41:D42"/>
    <mergeCell ref="E41:E42"/>
    <mergeCell ref="F41:F42"/>
  </mergeCells>
  <phoneticPr fontId="11" type="noConversion"/>
  <pageMargins left="0.7" right="0.7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3" sqref="I3"/>
    </sheetView>
  </sheetViews>
  <sheetFormatPr defaultRowHeight="14.25" x14ac:dyDescent="0.45"/>
  <cols>
    <col min="1" max="1" width="7.265625" customWidth="1"/>
    <col min="2" max="3" width="24.59765625" customWidth="1"/>
    <col min="4" max="5" width="20.1328125" customWidth="1"/>
    <col min="6" max="6" width="19.265625" customWidth="1"/>
    <col min="7" max="9" width="18.3984375" customWidth="1"/>
  </cols>
  <sheetData>
    <row r="1" spans="1:9" ht="30.75" customHeight="1" x14ac:dyDescent="0.45">
      <c r="A1" s="30" t="s">
        <v>1</v>
      </c>
      <c r="B1" s="30" t="s">
        <v>127</v>
      </c>
      <c r="C1" s="30" t="s">
        <v>128</v>
      </c>
      <c r="D1" s="30" t="s">
        <v>130</v>
      </c>
      <c r="E1" s="30" t="s">
        <v>131</v>
      </c>
      <c r="F1" s="30" t="s">
        <v>4</v>
      </c>
      <c r="G1" s="30" t="s">
        <v>5</v>
      </c>
      <c r="H1" s="30" t="s">
        <v>20</v>
      </c>
      <c r="I1" s="30" t="s">
        <v>21</v>
      </c>
    </row>
    <row r="2" spans="1:9" ht="28.5" x14ac:dyDescent="0.45">
      <c r="A2" s="31">
        <v>1</v>
      </c>
      <c r="B2" s="13" t="s">
        <v>17</v>
      </c>
      <c r="C2" s="31" t="s">
        <v>6</v>
      </c>
      <c r="D2" s="31" t="s">
        <v>129</v>
      </c>
      <c r="E2" s="51">
        <v>45761</v>
      </c>
      <c r="F2" s="32">
        <v>65253802</v>
      </c>
      <c r="G2" s="31" t="s">
        <v>7</v>
      </c>
      <c r="H2" s="53" t="s">
        <v>23</v>
      </c>
      <c r="I2" s="5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вх. РИ-ИНВЕСТ претензии</vt:lpstr>
      <vt:lpstr>исх. претензии РИ-ИНВЕСТ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Красильникова Наталья Константиновна</dc:creator>
  <cp:lastModifiedBy>fedu</cp:lastModifiedBy>
  <cp:lastPrinted>2025-03-07T09:11:33Z</cp:lastPrinted>
  <dcterms:created xsi:type="dcterms:W3CDTF">2015-06-05T18:19:34Z</dcterms:created>
  <dcterms:modified xsi:type="dcterms:W3CDTF">2026-04-15T16:21:34Z</dcterms:modified>
</cp:coreProperties>
</file>