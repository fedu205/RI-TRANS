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2.Коммерческая служба\2.Отдел взаиморасчетов с клиентами и подрядчиками\Гусева Екатерина Сергеевна\КЛИЕНТЫ\РИ-ТРАНС\простои\февраль25\"/>
    </mc:Choice>
  </mc:AlternateContent>
  <xr:revisionPtr revIDLastSave="0" documentId="8_{7C55F8E0-9EA5-4F4D-87E0-84DBE1EB9C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ерхнорматив" sheetId="8" r:id="rId1"/>
  </sheets>
  <definedNames>
    <definedName name="_xlnm._FilterDatabase" localSheetId="0" hidden="1">сверхнорматив!$A$8:$N$136</definedName>
    <definedName name="lines_0_1" localSheetId="0">сверхнорматив!#REF!</definedName>
    <definedName name="_xlnm.Print_Area" localSheetId="0">сверхнорматив!$A$1:$M$148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6" i="8" l="1"/>
  <c r="I136" i="8"/>
  <c r="K13" i="8"/>
  <c r="M13" i="8" s="1"/>
  <c r="K12" i="8"/>
  <c r="M12" i="8" s="1"/>
  <c r="K11" i="8"/>
  <c r="M11" i="8" s="1"/>
  <c r="K10" i="8"/>
  <c r="M10" i="8" s="1"/>
  <c r="K9" i="8"/>
  <c r="M9" i="8" s="1"/>
  <c r="K136" i="8" l="1"/>
</calcChain>
</file>

<file path=xl/sharedStrings.xml><?xml version="1.0" encoding="utf-8"?>
<sst xmlns="http://schemas.openxmlformats.org/spreadsheetml/2006/main" count="1034" uniqueCount="315">
  <si>
    <t xml:space="preserve">Расчет времени простоя вагонов  на станциях выгрузки.
по Договору № 494/2024 от  23.08.2024.
между ООО "Урал Логистика" и ООО "РИ-ТРАНС".
</t>
  </si>
  <si>
    <t>Станция отправления</t>
  </si>
  <si>
    <t>№ накладной</t>
  </si>
  <si>
    <t xml:space="preserve">Дата отправления со ст. погрузки </t>
  </si>
  <si>
    <t>Дата прибытия на ст. выгрузки</t>
  </si>
  <si>
    <t>Дата отправления со ст. выгрузки</t>
  </si>
  <si>
    <t xml:space="preserve">Накладная на порожний рейс </t>
  </si>
  <si>
    <t xml:space="preserve">Номер вагона </t>
  </si>
  <si>
    <t>Станция выгрузки(простоя)</t>
  </si>
  <si>
    <t xml:space="preserve">Количество суток простоя на станции выгрузки </t>
  </si>
  <si>
    <t>Норматив суток простоя</t>
  </si>
  <si>
    <t xml:space="preserve">Количество суток сверхнормативного простоя на станции выгрузки </t>
  </si>
  <si>
    <t xml:space="preserve">Стоимость простоя за сутки , руб/ваг. </t>
  </si>
  <si>
    <t>ВОЙНОВКА</t>
  </si>
  <si>
    <t>ЭП093368</t>
  </si>
  <si>
    <t>05.02.2025</t>
  </si>
  <si>
    <t>10.02.2025</t>
  </si>
  <si>
    <t>23.02.2025</t>
  </si>
  <si>
    <t>ЛУЖСКАЯ (ЭКСП.)</t>
  </si>
  <si>
    <t>ЭР973000</t>
  </si>
  <si>
    <t>50686864</t>
  </si>
  <si>
    <t>ЭП833457</t>
  </si>
  <si>
    <t>51044444</t>
  </si>
  <si>
    <t>ЭР721777</t>
  </si>
  <si>
    <t>51483956</t>
  </si>
  <si>
    <t>ЭП836650</t>
  </si>
  <si>
    <t>54092473</t>
  </si>
  <si>
    <t>ЭР721607</t>
  </si>
  <si>
    <t>54256250</t>
  </si>
  <si>
    <t>55922488</t>
  </si>
  <si>
    <t>ЭР721755</t>
  </si>
  <si>
    <t>73106700</t>
  </si>
  <si>
    <t>ЭР721781</t>
  </si>
  <si>
    <t>73108136</t>
  </si>
  <si>
    <t>ЭП833581</t>
  </si>
  <si>
    <t>73278582</t>
  </si>
  <si>
    <t>ЭР721689</t>
  </si>
  <si>
    <t>76710391</t>
  </si>
  <si>
    <t>ЭП833449</t>
  </si>
  <si>
    <t>54077250</t>
  </si>
  <si>
    <t>ЭР371035</t>
  </si>
  <si>
    <t>54088067</t>
  </si>
  <si>
    <t>ЭР607854</t>
  </si>
  <si>
    <t>54744883</t>
  </si>
  <si>
    <t>ЭР721396</t>
  </si>
  <si>
    <t>73050338</t>
  </si>
  <si>
    <t>ЭР250035</t>
  </si>
  <si>
    <t>73050932</t>
  </si>
  <si>
    <t>ЭР589634</t>
  </si>
  <si>
    <t>73055212</t>
  </si>
  <si>
    <t>ЭР589391</t>
  </si>
  <si>
    <t>73089062</t>
  </si>
  <si>
    <t>ЭР721700</t>
  </si>
  <si>
    <t>73104937</t>
  </si>
  <si>
    <t>ЭР590327</t>
  </si>
  <si>
    <t>73110884</t>
  </si>
  <si>
    <t>ЭП833433</t>
  </si>
  <si>
    <t>73131211</t>
  </si>
  <si>
    <t>ЭР721401</t>
  </si>
  <si>
    <t>73132359</t>
  </si>
  <si>
    <t>ЭР721705</t>
  </si>
  <si>
    <t>73133118</t>
  </si>
  <si>
    <t>ЭР721070</t>
  </si>
  <si>
    <t>73146979</t>
  </si>
  <si>
    <t>ЭР721390</t>
  </si>
  <si>
    <t>73157810</t>
  </si>
  <si>
    <t>ЭР721381</t>
  </si>
  <si>
    <t>73168437</t>
  </si>
  <si>
    <t>ЭР720841</t>
  </si>
  <si>
    <t>73169211</t>
  </si>
  <si>
    <t>ЭР721800</t>
  </si>
  <si>
    <t>73171712</t>
  </si>
  <si>
    <t>ЭР721073</t>
  </si>
  <si>
    <t>73185456</t>
  </si>
  <si>
    <t>ЭР721140</t>
  </si>
  <si>
    <t>73185563</t>
  </si>
  <si>
    <t>ЭР721373</t>
  </si>
  <si>
    <t>73185662</t>
  </si>
  <si>
    <t>ЭР721375</t>
  </si>
  <si>
    <t>73192650</t>
  </si>
  <si>
    <t>ЭР721064</t>
  </si>
  <si>
    <t>73192973</t>
  </si>
  <si>
    <t>ЭР721721</t>
  </si>
  <si>
    <t>73192981</t>
  </si>
  <si>
    <t>ЭР590017</t>
  </si>
  <si>
    <t>73193450</t>
  </si>
  <si>
    <t>ЭР721815</t>
  </si>
  <si>
    <t>73197543</t>
  </si>
  <si>
    <t>ЭР720308</t>
  </si>
  <si>
    <t>73199416</t>
  </si>
  <si>
    <t>ЭР720305</t>
  </si>
  <si>
    <t>73199671</t>
  </si>
  <si>
    <t>ЭР720612</t>
  </si>
  <si>
    <t>73203887</t>
  </si>
  <si>
    <t>ЭР721625</t>
  </si>
  <si>
    <t>73204471</t>
  </si>
  <si>
    <t>ЭР721649</t>
  </si>
  <si>
    <t>73204489</t>
  </si>
  <si>
    <t>ЭР721667</t>
  </si>
  <si>
    <t>73204505</t>
  </si>
  <si>
    <t>ЭР590089</t>
  </si>
  <si>
    <t>73997116</t>
  </si>
  <si>
    <t>ЭР721612</t>
  </si>
  <si>
    <t>75493098</t>
  </si>
  <si>
    <t>ЭР721807</t>
  </si>
  <si>
    <t>76839398</t>
  </si>
  <si>
    <t>ЭР721736</t>
  </si>
  <si>
    <t>76874999</t>
  </si>
  <si>
    <t>ЭР589463</t>
  </si>
  <si>
    <t>76073097</t>
  </si>
  <si>
    <t>ЭР589506</t>
  </si>
  <si>
    <t>73156234</t>
  </si>
  <si>
    <t>ЭР590381</t>
  </si>
  <si>
    <t>73176265</t>
  </si>
  <si>
    <t>ЭП836608</t>
  </si>
  <si>
    <t>73168726</t>
  </si>
  <si>
    <t>53952412</t>
  </si>
  <si>
    <t>ЭП711679</t>
  </si>
  <si>
    <t>14.02.2025</t>
  </si>
  <si>
    <t>24.02.2025</t>
  </si>
  <si>
    <t>ЭР166329</t>
  </si>
  <si>
    <t>53952339</t>
  </si>
  <si>
    <t>ЭР887313</t>
  </si>
  <si>
    <t>73145567</t>
  </si>
  <si>
    <t>ЭР983566</t>
  </si>
  <si>
    <t>73192361</t>
  </si>
  <si>
    <t>ЭР895552</t>
  </si>
  <si>
    <t>73189961</t>
  </si>
  <si>
    <t>ЭР935232</t>
  </si>
  <si>
    <t>52071099</t>
  </si>
  <si>
    <t>ЭР895537</t>
  </si>
  <si>
    <t>73136947</t>
  </si>
  <si>
    <t>73109084</t>
  </si>
  <si>
    <t>ЭР212932</t>
  </si>
  <si>
    <t>15.02.2025</t>
  </si>
  <si>
    <t>19.02.2025</t>
  </si>
  <si>
    <t>25.02.2025</t>
  </si>
  <si>
    <t>ЭР605170</t>
  </si>
  <si>
    <t>54070727</t>
  </si>
  <si>
    <t>ЭС017692</t>
  </si>
  <si>
    <t>73204984</t>
  </si>
  <si>
    <t>ЭР820598</t>
  </si>
  <si>
    <t>73205007</t>
  </si>
  <si>
    <t>ЭС017685</t>
  </si>
  <si>
    <t>73205866</t>
  </si>
  <si>
    <t>ЭР955856</t>
  </si>
  <si>
    <t>73143620</t>
  </si>
  <si>
    <t>ЭР955894</t>
  </si>
  <si>
    <t>73181877</t>
  </si>
  <si>
    <t>ЭС017679</t>
  </si>
  <si>
    <t>76923291</t>
  </si>
  <si>
    <t>ЭР891989</t>
  </si>
  <si>
    <t>51462513</t>
  </si>
  <si>
    <t>ИТОГО</t>
  </si>
  <si>
    <t>Экспедитор</t>
  </si>
  <si>
    <t>ООО «Урал Логистика»</t>
  </si>
  <si>
    <t>Итого сумма</t>
  </si>
  <si>
    <t>НУЖЬЯЛЫ</t>
  </si>
  <si>
    <t>ЭЛ696672</t>
  </si>
  <si>
    <t>27.12.2024</t>
  </si>
  <si>
    <t>02.01.2025</t>
  </si>
  <si>
    <t>06.02.2025</t>
  </si>
  <si>
    <t>ЭП164724</t>
  </si>
  <si>
    <t>51484418</t>
  </si>
  <si>
    <t>НИКЕЛЬ</t>
  </si>
  <si>
    <t>ЭЛ759809</t>
  </si>
  <si>
    <t>01.01.2025</t>
  </si>
  <si>
    <t>09.02.2025</t>
  </si>
  <si>
    <t>ЭП672694</t>
  </si>
  <si>
    <t>74974239</t>
  </si>
  <si>
    <t>ЗЕЛЕЦИНО</t>
  </si>
  <si>
    <t>ЭЛ785687</t>
  </si>
  <si>
    <t>28.12.2024</t>
  </si>
  <si>
    <t>04.01.2025</t>
  </si>
  <si>
    <t>03.02.2025</t>
  </si>
  <si>
    <t>ЭМ763979</t>
  </si>
  <si>
    <t>51296721</t>
  </si>
  <si>
    <t>ЭП863334</t>
  </si>
  <si>
    <t>51182228</t>
  </si>
  <si>
    <t>ЭЛ846091</t>
  </si>
  <si>
    <t>ЭО863569</t>
  </si>
  <si>
    <t>50490218</t>
  </si>
  <si>
    <t>ЭМ702100</t>
  </si>
  <si>
    <t>10.01.2025</t>
  </si>
  <si>
    <t>14.01.2025</t>
  </si>
  <si>
    <t>ЭН757937</t>
  </si>
  <si>
    <t>75400994</t>
  </si>
  <si>
    <t>ТЮМЕНЬ-СЕВЕР</t>
  </si>
  <si>
    <t>ЭН513766</t>
  </si>
  <si>
    <t>18.01.2025</t>
  </si>
  <si>
    <t>23.01.2025</t>
  </si>
  <si>
    <t>37335659</t>
  </si>
  <si>
    <t>50496132</t>
  </si>
  <si>
    <t>ЭП193156</t>
  </si>
  <si>
    <t>73138059</t>
  </si>
  <si>
    <t>ЭН556421</t>
  </si>
  <si>
    <t>19.01.2025</t>
  </si>
  <si>
    <t>02.02.2025</t>
  </si>
  <si>
    <t>ЭО680950</t>
  </si>
  <si>
    <t>51529071</t>
  </si>
  <si>
    <t>ЭО679918</t>
  </si>
  <si>
    <t>50914365</t>
  </si>
  <si>
    <t>ЭО775810</t>
  </si>
  <si>
    <t>51378933</t>
  </si>
  <si>
    <t>ЭО977070</t>
  </si>
  <si>
    <t>54071550</t>
  </si>
  <si>
    <t>ЭО680068</t>
  </si>
  <si>
    <t>51528800</t>
  </si>
  <si>
    <t>37370142</t>
  </si>
  <si>
    <t>51368157</t>
  </si>
  <si>
    <t>37370135</t>
  </si>
  <si>
    <t>51296556</t>
  </si>
  <si>
    <t>73117525</t>
  </si>
  <si>
    <t>ЭО680991</t>
  </si>
  <si>
    <t>57431892</t>
  </si>
  <si>
    <t>ЭО680984</t>
  </si>
  <si>
    <t>53914438</t>
  </si>
  <si>
    <t>ЭО680196</t>
  </si>
  <si>
    <t>51553725</t>
  </si>
  <si>
    <t>ЭО977181</t>
  </si>
  <si>
    <t>73084568</t>
  </si>
  <si>
    <t>37329314</t>
  </si>
  <si>
    <t>50754977</t>
  </si>
  <si>
    <t>ЭО680997</t>
  </si>
  <si>
    <t>51484020</t>
  </si>
  <si>
    <t>37370122</t>
  </si>
  <si>
    <t>73083677</t>
  </si>
  <si>
    <t>ЭО894207</t>
  </si>
  <si>
    <t>73005688</t>
  </si>
  <si>
    <t>ЭО893642</t>
  </si>
  <si>
    <t>54072111</t>
  </si>
  <si>
    <t>ЭО778272</t>
  </si>
  <si>
    <t>73181372</t>
  </si>
  <si>
    <t>ЭО977622</t>
  </si>
  <si>
    <t>73167983</t>
  </si>
  <si>
    <t>ЭО976828</t>
  </si>
  <si>
    <t>50361872</t>
  </si>
  <si>
    <t>ЭО679970</t>
  </si>
  <si>
    <t>50054568</t>
  </si>
  <si>
    <t>ЭО778216</t>
  </si>
  <si>
    <t>73168106</t>
  </si>
  <si>
    <t>ЭО977271</t>
  </si>
  <si>
    <t>73139537</t>
  </si>
  <si>
    <t>ЭО778135</t>
  </si>
  <si>
    <t>73150054</t>
  </si>
  <si>
    <t>ЭО977307</t>
  </si>
  <si>
    <t>73143513</t>
  </si>
  <si>
    <t>ЭО777376</t>
  </si>
  <si>
    <t>51699890</t>
  </si>
  <si>
    <t>37370151</t>
  </si>
  <si>
    <t>73197964</t>
  </si>
  <si>
    <t>73198111</t>
  </si>
  <si>
    <t>ЭО778188</t>
  </si>
  <si>
    <t>73198533</t>
  </si>
  <si>
    <t>ЭО778185</t>
  </si>
  <si>
    <t>73198525</t>
  </si>
  <si>
    <t>ЭО778165</t>
  </si>
  <si>
    <t>73198475</t>
  </si>
  <si>
    <t>73172413</t>
  </si>
  <si>
    <t>ЭО778137</t>
  </si>
  <si>
    <t>73126625</t>
  </si>
  <si>
    <t>ЭО680554</t>
  </si>
  <si>
    <t>53950705</t>
  </si>
  <si>
    <t>ЭО778435</t>
  </si>
  <si>
    <t>73182768</t>
  </si>
  <si>
    <t>ЭО778415</t>
  </si>
  <si>
    <t>73147316</t>
  </si>
  <si>
    <t>ЭО778153</t>
  </si>
  <si>
    <t>50779214</t>
  </si>
  <si>
    <t>ЭО778149</t>
  </si>
  <si>
    <t>50770304</t>
  </si>
  <si>
    <t>ЭО778395</t>
  </si>
  <si>
    <t>73104010</t>
  </si>
  <si>
    <t>ЭО680173</t>
  </si>
  <si>
    <t>54679477</t>
  </si>
  <si>
    <t>ЭО680153</t>
  </si>
  <si>
    <t>54680954</t>
  </si>
  <si>
    <t>ЭО975283</t>
  </si>
  <si>
    <t>53950622</t>
  </si>
  <si>
    <t>ЭО778291</t>
  </si>
  <si>
    <t>73098907</t>
  </si>
  <si>
    <t>ЭО778159</t>
  </si>
  <si>
    <t>51699981</t>
  </si>
  <si>
    <t>37370129</t>
  </si>
  <si>
    <t>73184376</t>
  </si>
  <si>
    <t>ЭО680493</t>
  </si>
  <si>
    <t>50497130</t>
  </si>
  <si>
    <t>ЭО680438</t>
  </si>
  <si>
    <t>57016156</t>
  </si>
  <si>
    <t>37368520</t>
  </si>
  <si>
    <t>74887183</t>
  </si>
  <si>
    <t>ЭН992704</t>
  </si>
  <si>
    <t>31.01.2025</t>
  </si>
  <si>
    <t>ЭП241037</t>
  </si>
  <si>
    <t>74975251</t>
  </si>
  <si>
    <t>ТЮМЕНЬ-СЕВЕРНАЯ</t>
  </si>
  <si>
    <t>04.02.2025</t>
  </si>
  <si>
    <t>ЭП154386</t>
  </si>
  <si>
    <t>50032366</t>
  </si>
  <si>
    <t>ЭН995928</t>
  </si>
  <si>
    <t>24.01.2025</t>
  </si>
  <si>
    <t>30.01.2025</t>
  </si>
  <si>
    <t>08.02.2025</t>
  </si>
  <si>
    <t>ЭП148933</t>
  </si>
  <si>
    <t>57432890</t>
  </si>
  <si>
    <t>37402746</t>
  </si>
  <si>
    <t>50685874</t>
  </si>
  <si>
    <t>ЭО150873</t>
  </si>
  <si>
    <t>25.01.2025</t>
  </si>
  <si>
    <t>ЭП154481</t>
  </si>
  <si>
    <t>54077375</t>
  </si>
  <si>
    <t>ЭО144191</t>
  </si>
  <si>
    <t>ЭП336514</t>
  </si>
  <si>
    <t>76921790</t>
  </si>
  <si>
    <t>Итого подлежит оплате за сверхнормативный простой вагонов: 2 919 850,00 руб. (Два миллиона девятьсот девятнадцать тысяч восемьсот пятьдесят  рублей 00 коп. ), НДС не облагается.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</si>
</sst>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dd\.mm\.yyyy"/>
    <numFmt numFmtId="166" formatCode="#,##0.000"/>
    <numFmt numFmtId="167" formatCode="_-* #,##0.00_р_._-;\-* #,##0.00_р_._-;_-* &quot;-&quot;??_р_.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44444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</borders>
  <cellStyleXfs count="15">
    <xf numFmtId="0" fontId="0" fillId="0" borderId="0"/>
    <xf numFmtId="164" fontId="13" fillId="0" borderId="0" applyFont="0" applyFill="0" applyBorder="0" applyAlignment="0" applyProtection="0"/>
    <xf numFmtId="164" fontId="13" fillId="0" borderId="6" applyFont="0" applyFill="0" applyBorder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167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6" applyFont="0" applyFill="0" applyBorder="0" applyAlignment="0" applyProtection="0"/>
    <xf numFmtId="164" fontId="13" fillId="0" borderId="6" applyFont="0" applyFill="0" applyBorder="0" applyAlignment="0" applyProtection="0"/>
    <xf numFmtId="0" fontId="14" fillId="0" borderId="6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165" fontId="6" fillId="0" borderId="1" xfId="0" applyNumberFormat="1" applyFont="1" applyBorder="1" applyAlignment="1">
      <alignment horizontal="center" vertical="center" wrapText="1" shrinkToFit="1"/>
    </xf>
    <xf numFmtId="165" fontId="7" fillId="0" borderId="1" xfId="0" applyNumberFormat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4" xfId="2" applyNumberFormat="1" applyFont="1" applyBorder="1" applyAlignment="1">
      <alignment horizontal="center" vertical="center" wrapText="1" shrinkToFit="1"/>
    </xf>
    <xf numFmtId="49" fontId="9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left" vertical="top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11" fillId="0" borderId="6" xfId="0" applyNumberFormat="1" applyFont="1" applyBorder="1" applyAlignment="1">
      <alignment horizontal="left" vertical="top"/>
    </xf>
    <xf numFmtId="3" fontId="2" fillId="0" borderId="6" xfId="0" applyNumberFormat="1" applyFont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5">
    <cellStyle name="Normal" xfId="14" xr:uid="{1E1AE5F7-F2C1-4213-922A-ADE723181AF7}"/>
    <cellStyle name="Style 2" xfId="2" xr:uid="{00000000-0005-0000-0000-000002000000}"/>
    <cellStyle name="Style 3" xfId="12" xr:uid="{00000000-0005-0000-0000-00000C000000}"/>
    <cellStyle name="Style 4" xfId="13" xr:uid="{00000000-0005-0000-0000-00000D000000}"/>
    <cellStyle name="Обычный" xfId="0" builtinId="0"/>
    <cellStyle name="Обычный 2" xfId="3" xr:uid="{00000000-0005-0000-0000-000003000000}"/>
    <cellStyle name="Обычный 2 2" xfId="4" xr:uid="{00000000-0005-0000-0000-000004000000}"/>
    <cellStyle name="Обычный 3" xfId="5" xr:uid="{00000000-0005-0000-0000-000005000000}"/>
    <cellStyle name="Обычный 4" xfId="6" xr:uid="{00000000-0005-0000-0000-000006000000}"/>
    <cellStyle name="Обычный 8" xfId="7" xr:uid="{00000000-0005-0000-0000-000007000000}"/>
    <cellStyle name="Финансовый" xfId="1" builtinId="3"/>
    <cellStyle name="Финансовый 2" xfId="8" xr:uid="{00000000-0005-0000-0000-000008000000}"/>
    <cellStyle name="Финансовый 2 2" xfId="9" xr:uid="{00000000-0005-0000-0000-000009000000}"/>
    <cellStyle name="Финансовый 3" xfId="10" xr:uid="{00000000-0005-0000-0000-00000A000000}"/>
    <cellStyle name="Финансовый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8"/>
  <sheetViews>
    <sheetView tabSelected="1" zoomScale="85" zoomScaleNormal="85" zoomScaleSheetLayoutView="100" workbookViewId="0">
      <pane ySplit="8" topLeftCell="A132" activePane="bottomLeft" state="frozen"/>
      <selection pane="bottomLeft" activeCell="F146" sqref="F146"/>
    </sheetView>
  </sheetViews>
  <sheetFormatPr defaultColWidth="15.85546875" defaultRowHeight="15" x14ac:dyDescent="0.25"/>
  <cols>
    <col min="1" max="1" width="39.140625" style="1" customWidth="1"/>
    <col min="2" max="6" width="15.85546875" style="1"/>
    <col min="7" max="7" width="14.85546875" style="1" customWidth="1"/>
    <col min="8" max="8" width="36.7109375" style="1" customWidth="1"/>
    <col min="9" max="9" width="15.85546875" style="2"/>
    <col min="10" max="10" width="12" style="2" customWidth="1"/>
    <col min="11" max="11" width="17.5703125" style="2" customWidth="1"/>
    <col min="12" max="12" width="17.42578125" style="1" customWidth="1"/>
    <col min="13" max="13" width="15" style="3" customWidth="1"/>
    <col min="14" max="16384" width="15.85546875" style="1"/>
  </cols>
  <sheetData>
    <row r="1" spans="1:14" ht="1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4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x14ac:dyDescent="0.25">
      <c r="A5" s="4"/>
      <c r="B5" s="4"/>
      <c r="C5" s="4"/>
      <c r="D5" s="4"/>
      <c r="E5" s="4"/>
      <c r="F5" s="4"/>
      <c r="G5" s="4"/>
      <c r="H5" s="4"/>
      <c r="I5" s="5"/>
      <c r="J5" s="5"/>
      <c r="K5" s="5"/>
      <c r="L5" s="4"/>
      <c r="M5" s="6"/>
    </row>
    <row r="6" spans="1:14" ht="15" customHeight="1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4" ht="102" customHeight="1" x14ac:dyDescent="0.25">
      <c r="A8" s="7" t="s">
        <v>1</v>
      </c>
      <c r="B8" s="7" t="s">
        <v>2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8" t="s">
        <v>9</v>
      </c>
      <c r="J8" s="8" t="s">
        <v>10</v>
      </c>
      <c r="K8" s="8" t="s">
        <v>11</v>
      </c>
      <c r="L8" s="7" t="s">
        <v>12</v>
      </c>
      <c r="M8" s="9" t="s">
        <v>156</v>
      </c>
    </row>
    <row r="9" spans="1:14" s="41" customFormat="1" ht="15.75" customHeight="1" x14ac:dyDescent="0.25">
      <c r="A9" s="10" t="s">
        <v>157</v>
      </c>
      <c r="B9" s="10" t="s">
        <v>158</v>
      </c>
      <c r="C9" s="11" t="s">
        <v>159</v>
      </c>
      <c r="D9" s="11" t="s">
        <v>160</v>
      </c>
      <c r="E9" s="11" t="s">
        <v>161</v>
      </c>
      <c r="F9" s="10" t="s">
        <v>162</v>
      </c>
      <c r="G9" s="10" t="s">
        <v>163</v>
      </c>
      <c r="H9" s="10" t="s">
        <v>164</v>
      </c>
      <c r="I9" s="13">
        <v>35</v>
      </c>
      <c r="J9" s="14">
        <v>3</v>
      </c>
      <c r="K9" s="15">
        <f>I9-J9</f>
        <v>32</v>
      </c>
      <c r="L9" s="16">
        <v>2200</v>
      </c>
      <c r="M9" s="17">
        <f>K9*L9</f>
        <v>70400</v>
      </c>
    </row>
    <row r="10" spans="1:14" s="41" customFormat="1" ht="15.75" customHeight="1" x14ac:dyDescent="0.25">
      <c r="A10" s="10" t="s">
        <v>157</v>
      </c>
      <c r="B10" s="10" t="s">
        <v>165</v>
      </c>
      <c r="C10" s="11" t="s">
        <v>159</v>
      </c>
      <c r="D10" s="11" t="s">
        <v>166</v>
      </c>
      <c r="E10" s="11" t="s">
        <v>167</v>
      </c>
      <c r="F10" s="10" t="s">
        <v>168</v>
      </c>
      <c r="G10" s="10" t="s">
        <v>169</v>
      </c>
      <c r="H10" s="10" t="s">
        <v>170</v>
      </c>
      <c r="I10" s="13">
        <v>39</v>
      </c>
      <c r="J10" s="14">
        <v>3</v>
      </c>
      <c r="K10" s="15">
        <f t="shared" ref="K10:K13" si="0">I10-J10</f>
        <v>36</v>
      </c>
      <c r="L10" s="16">
        <v>2200</v>
      </c>
      <c r="M10" s="17">
        <f t="shared" ref="M10:M13" si="1">K10*L10</f>
        <v>79200</v>
      </c>
    </row>
    <row r="11" spans="1:14" s="41" customFormat="1" ht="15.75" customHeight="1" x14ac:dyDescent="0.25">
      <c r="A11" s="10" t="s">
        <v>157</v>
      </c>
      <c r="B11" s="10" t="s">
        <v>171</v>
      </c>
      <c r="C11" s="11" t="s">
        <v>172</v>
      </c>
      <c r="D11" s="11" t="s">
        <v>173</v>
      </c>
      <c r="E11" s="11" t="s">
        <v>174</v>
      </c>
      <c r="F11" s="10" t="s">
        <v>175</v>
      </c>
      <c r="G11" s="10" t="s">
        <v>176</v>
      </c>
      <c r="H11" s="10" t="s">
        <v>164</v>
      </c>
      <c r="I11" s="13">
        <v>30</v>
      </c>
      <c r="J11" s="14">
        <v>3</v>
      </c>
      <c r="K11" s="15">
        <f t="shared" si="0"/>
        <v>27</v>
      </c>
      <c r="L11" s="16">
        <v>2200</v>
      </c>
      <c r="M11" s="17">
        <f t="shared" si="1"/>
        <v>59400</v>
      </c>
    </row>
    <row r="12" spans="1:14" s="41" customFormat="1" ht="19.5" customHeight="1" x14ac:dyDescent="0.25">
      <c r="A12" s="10" t="s">
        <v>157</v>
      </c>
      <c r="B12" s="10" t="s">
        <v>171</v>
      </c>
      <c r="C12" s="11" t="s">
        <v>172</v>
      </c>
      <c r="D12" s="11" t="s">
        <v>173</v>
      </c>
      <c r="E12" s="11" t="s">
        <v>118</v>
      </c>
      <c r="F12" s="10" t="s">
        <v>177</v>
      </c>
      <c r="G12" s="10" t="s">
        <v>178</v>
      </c>
      <c r="H12" s="10" t="s">
        <v>164</v>
      </c>
      <c r="I12" s="13">
        <v>41</v>
      </c>
      <c r="J12" s="14">
        <v>3</v>
      </c>
      <c r="K12" s="15">
        <f t="shared" si="0"/>
        <v>38</v>
      </c>
      <c r="L12" s="16">
        <v>2200</v>
      </c>
      <c r="M12" s="17">
        <f t="shared" si="1"/>
        <v>83600</v>
      </c>
    </row>
    <row r="13" spans="1:14" ht="18" customHeight="1" x14ac:dyDescent="0.25">
      <c r="A13" s="10" t="s">
        <v>157</v>
      </c>
      <c r="B13" s="10" t="s">
        <v>179</v>
      </c>
      <c r="C13" s="11" t="s">
        <v>172</v>
      </c>
      <c r="D13" s="11" t="s">
        <v>173</v>
      </c>
      <c r="E13" s="11" t="s">
        <v>174</v>
      </c>
      <c r="F13" s="10" t="s">
        <v>180</v>
      </c>
      <c r="G13" s="10" t="s">
        <v>181</v>
      </c>
      <c r="H13" s="10" t="s">
        <v>164</v>
      </c>
      <c r="I13" s="13">
        <v>30</v>
      </c>
      <c r="J13" s="14">
        <v>3</v>
      </c>
      <c r="K13" s="15">
        <f t="shared" si="0"/>
        <v>27</v>
      </c>
      <c r="L13" s="16">
        <v>2200</v>
      </c>
      <c r="M13" s="17">
        <f t="shared" si="1"/>
        <v>59400</v>
      </c>
      <c r="N13" s="41"/>
    </row>
    <row r="14" spans="1:14" s="41" customFormat="1" ht="18" customHeight="1" x14ac:dyDescent="0.25">
      <c r="A14" s="10" t="s">
        <v>157</v>
      </c>
      <c r="B14" s="10" t="s">
        <v>182</v>
      </c>
      <c r="C14" s="11" t="s">
        <v>183</v>
      </c>
      <c r="D14" s="11" t="s">
        <v>184</v>
      </c>
      <c r="E14" s="11" t="s">
        <v>15</v>
      </c>
      <c r="F14" s="10" t="s">
        <v>185</v>
      </c>
      <c r="G14" s="10" t="s">
        <v>186</v>
      </c>
      <c r="H14" s="10" t="s">
        <v>170</v>
      </c>
      <c r="I14" s="13">
        <v>22</v>
      </c>
      <c r="J14" s="14">
        <v>3</v>
      </c>
      <c r="K14" s="15">
        <v>19</v>
      </c>
      <c r="L14" s="16">
        <v>2650</v>
      </c>
      <c r="M14" s="17">
        <v>50350</v>
      </c>
    </row>
    <row r="15" spans="1:14" s="41" customFormat="1" ht="18" customHeight="1" x14ac:dyDescent="0.25">
      <c r="A15" s="10" t="s">
        <v>187</v>
      </c>
      <c r="B15" s="10" t="s">
        <v>188</v>
      </c>
      <c r="C15" s="11" t="s">
        <v>189</v>
      </c>
      <c r="D15" s="11" t="s">
        <v>190</v>
      </c>
      <c r="E15" s="11" t="s">
        <v>15</v>
      </c>
      <c r="F15" s="10" t="s">
        <v>191</v>
      </c>
      <c r="G15" s="10" t="s">
        <v>192</v>
      </c>
      <c r="H15" s="10" t="s">
        <v>18</v>
      </c>
      <c r="I15" s="13">
        <v>13</v>
      </c>
      <c r="J15" s="14">
        <v>3</v>
      </c>
      <c r="K15" s="15">
        <v>10</v>
      </c>
      <c r="L15" s="16">
        <v>2650</v>
      </c>
      <c r="M15" s="17">
        <v>26500</v>
      </c>
    </row>
    <row r="16" spans="1:14" s="41" customFormat="1" ht="18" customHeight="1" x14ac:dyDescent="0.25">
      <c r="A16" s="10" t="s">
        <v>187</v>
      </c>
      <c r="B16" s="10" t="s">
        <v>188</v>
      </c>
      <c r="C16" s="11" t="s">
        <v>189</v>
      </c>
      <c r="D16" s="11" t="s">
        <v>190</v>
      </c>
      <c r="E16" s="11" t="s">
        <v>15</v>
      </c>
      <c r="F16" s="10" t="s">
        <v>193</v>
      </c>
      <c r="G16" s="10" t="s">
        <v>194</v>
      </c>
      <c r="H16" s="10" t="s">
        <v>18</v>
      </c>
      <c r="I16" s="13">
        <v>13</v>
      </c>
      <c r="J16" s="14">
        <v>3</v>
      </c>
      <c r="K16" s="15">
        <v>10</v>
      </c>
      <c r="L16" s="16">
        <v>2650</v>
      </c>
      <c r="M16" s="17">
        <v>26500</v>
      </c>
    </row>
    <row r="17" spans="1:13" s="41" customFormat="1" ht="18" customHeight="1" x14ac:dyDescent="0.25">
      <c r="A17" s="10" t="s">
        <v>187</v>
      </c>
      <c r="B17" s="10" t="s">
        <v>195</v>
      </c>
      <c r="C17" s="11" t="s">
        <v>196</v>
      </c>
      <c r="D17" s="11" t="s">
        <v>190</v>
      </c>
      <c r="E17" s="11" t="s">
        <v>197</v>
      </c>
      <c r="F17" s="10" t="s">
        <v>198</v>
      </c>
      <c r="G17" s="10" t="s">
        <v>199</v>
      </c>
      <c r="H17" s="10" t="s">
        <v>18</v>
      </c>
      <c r="I17" s="13">
        <v>10</v>
      </c>
      <c r="J17" s="14">
        <v>3</v>
      </c>
      <c r="K17" s="15">
        <v>7</v>
      </c>
      <c r="L17" s="16">
        <v>2650</v>
      </c>
      <c r="M17" s="17">
        <v>18550</v>
      </c>
    </row>
    <row r="18" spans="1:13" s="41" customFormat="1" ht="18" customHeight="1" x14ac:dyDescent="0.25">
      <c r="A18" s="10" t="s">
        <v>187</v>
      </c>
      <c r="B18" s="10" t="s">
        <v>195</v>
      </c>
      <c r="C18" s="11" t="s">
        <v>196</v>
      </c>
      <c r="D18" s="11" t="s">
        <v>190</v>
      </c>
      <c r="E18" s="11" t="s">
        <v>197</v>
      </c>
      <c r="F18" s="10" t="s">
        <v>200</v>
      </c>
      <c r="G18" s="10" t="s">
        <v>201</v>
      </c>
      <c r="H18" s="10" t="s">
        <v>18</v>
      </c>
      <c r="I18" s="13">
        <v>10</v>
      </c>
      <c r="J18" s="14">
        <v>3</v>
      </c>
      <c r="K18" s="15">
        <v>7</v>
      </c>
      <c r="L18" s="16">
        <v>2650</v>
      </c>
      <c r="M18" s="17">
        <v>18550</v>
      </c>
    </row>
    <row r="19" spans="1:13" s="41" customFormat="1" ht="18" customHeight="1" x14ac:dyDescent="0.25">
      <c r="A19" s="10" t="s">
        <v>187</v>
      </c>
      <c r="B19" s="10" t="s">
        <v>195</v>
      </c>
      <c r="C19" s="11" t="s">
        <v>196</v>
      </c>
      <c r="D19" s="11" t="s">
        <v>190</v>
      </c>
      <c r="E19" s="11" t="s">
        <v>197</v>
      </c>
      <c r="F19" s="10" t="s">
        <v>202</v>
      </c>
      <c r="G19" s="10" t="s">
        <v>203</v>
      </c>
      <c r="H19" s="10" t="s">
        <v>18</v>
      </c>
      <c r="I19" s="13">
        <v>10</v>
      </c>
      <c r="J19" s="14">
        <v>3</v>
      </c>
      <c r="K19" s="15">
        <v>7</v>
      </c>
      <c r="L19" s="16">
        <v>2650</v>
      </c>
      <c r="M19" s="17">
        <v>18550</v>
      </c>
    </row>
    <row r="20" spans="1:13" s="41" customFormat="1" ht="18" customHeight="1" x14ac:dyDescent="0.25">
      <c r="A20" s="10" t="s">
        <v>187</v>
      </c>
      <c r="B20" s="10" t="s">
        <v>195</v>
      </c>
      <c r="C20" s="11" t="s">
        <v>196</v>
      </c>
      <c r="D20" s="11" t="s">
        <v>190</v>
      </c>
      <c r="E20" s="11" t="s">
        <v>197</v>
      </c>
      <c r="F20" s="10" t="s">
        <v>204</v>
      </c>
      <c r="G20" s="10" t="s">
        <v>205</v>
      </c>
      <c r="H20" s="10" t="s">
        <v>18</v>
      </c>
      <c r="I20" s="13">
        <v>10</v>
      </c>
      <c r="J20" s="14">
        <v>3</v>
      </c>
      <c r="K20" s="15">
        <v>7</v>
      </c>
      <c r="L20" s="16">
        <v>2650</v>
      </c>
      <c r="M20" s="17">
        <v>18550</v>
      </c>
    </row>
    <row r="21" spans="1:13" s="41" customFormat="1" ht="18" customHeight="1" x14ac:dyDescent="0.25">
      <c r="A21" s="10" t="s">
        <v>187</v>
      </c>
      <c r="B21" s="10" t="s">
        <v>195</v>
      </c>
      <c r="C21" s="11" t="s">
        <v>196</v>
      </c>
      <c r="D21" s="11" t="s">
        <v>190</v>
      </c>
      <c r="E21" s="11" t="s">
        <v>197</v>
      </c>
      <c r="F21" s="10" t="s">
        <v>206</v>
      </c>
      <c r="G21" s="10" t="s">
        <v>207</v>
      </c>
      <c r="H21" s="10" t="s">
        <v>18</v>
      </c>
      <c r="I21" s="13">
        <v>10</v>
      </c>
      <c r="J21" s="14">
        <v>3</v>
      </c>
      <c r="K21" s="15">
        <v>7</v>
      </c>
      <c r="L21" s="16">
        <v>2650</v>
      </c>
      <c r="M21" s="17">
        <v>18550</v>
      </c>
    </row>
    <row r="22" spans="1:13" s="41" customFormat="1" ht="18" customHeight="1" x14ac:dyDescent="0.25">
      <c r="A22" s="10" t="s">
        <v>187</v>
      </c>
      <c r="B22" s="10" t="s">
        <v>195</v>
      </c>
      <c r="C22" s="11" t="s">
        <v>196</v>
      </c>
      <c r="D22" s="11" t="s">
        <v>190</v>
      </c>
      <c r="E22" s="11" t="s">
        <v>197</v>
      </c>
      <c r="F22" s="10" t="s">
        <v>208</v>
      </c>
      <c r="G22" s="10" t="s">
        <v>209</v>
      </c>
      <c r="H22" s="10" t="s">
        <v>18</v>
      </c>
      <c r="I22" s="13">
        <v>10</v>
      </c>
      <c r="J22" s="14">
        <v>3</v>
      </c>
      <c r="K22" s="15">
        <v>7</v>
      </c>
      <c r="L22" s="16">
        <v>2650</v>
      </c>
      <c r="M22" s="17">
        <v>18550</v>
      </c>
    </row>
    <row r="23" spans="1:13" s="41" customFormat="1" ht="18" customHeight="1" x14ac:dyDescent="0.25">
      <c r="A23" s="10" t="s">
        <v>187</v>
      </c>
      <c r="B23" s="10" t="s">
        <v>195</v>
      </c>
      <c r="C23" s="11" t="s">
        <v>196</v>
      </c>
      <c r="D23" s="11" t="s">
        <v>190</v>
      </c>
      <c r="E23" s="11" t="s">
        <v>197</v>
      </c>
      <c r="F23" s="10" t="s">
        <v>210</v>
      </c>
      <c r="G23" s="10" t="s">
        <v>211</v>
      </c>
      <c r="H23" s="10" t="s">
        <v>18</v>
      </c>
      <c r="I23" s="13">
        <v>10</v>
      </c>
      <c r="J23" s="14">
        <v>3</v>
      </c>
      <c r="K23" s="15">
        <v>7</v>
      </c>
      <c r="L23" s="16">
        <v>2650</v>
      </c>
      <c r="M23" s="17">
        <v>18550</v>
      </c>
    </row>
    <row r="24" spans="1:13" s="41" customFormat="1" ht="18" customHeight="1" x14ac:dyDescent="0.25">
      <c r="A24" s="10" t="s">
        <v>187</v>
      </c>
      <c r="B24" s="10" t="s">
        <v>195</v>
      </c>
      <c r="C24" s="11" t="s">
        <v>196</v>
      </c>
      <c r="D24" s="11" t="s">
        <v>190</v>
      </c>
      <c r="E24" s="11" t="s">
        <v>197</v>
      </c>
      <c r="F24" s="10" t="s">
        <v>210</v>
      </c>
      <c r="G24" s="10" t="s">
        <v>212</v>
      </c>
      <c r="H24" s="10" t="s">
        <v>18</v>
      </c>
      <c r="I24" s="13">
        <v>10</v>
      </c>
      <c r="J24" s="14">
        <v>3</v>
      </c>
      <c r="K24" s="15">
        <v>7</v>
      </c>
      <c r="L24" s="16">
        <v>2650</v>
      </c>
      <c r="M24" s="17">
        <v>18550</v>
      </c>
    </row>
    <row r="25" spans="1:13" s="41" customFormat="1" ht="18" customHeight="1" x14ac:dyDescent="0.25">
      <c r="A25" s="10" t="s">
        <v>187</v>
      </c>
      <c r="B25" s="10" t="s">
        <v>195</v>
      </c>
      <c r="C25" s="11" t="s">
        <v>196</v>
      </c>
      <c r="D25" s="11" t="s">
        <v>190</v>
      </c>
      <c r="E25" s="11" t="s">
        <v>197</v>
      </c>
      <c r="F25" s="10" t="s">
        <v>213</v>
      </c>
      <c r="G25" s="10" t="s">
        <v>214</v>
      </c>
      <c r="H25" s="10" t="s">
        <v>18</v>
      </c>
      <c r="I25" s="13">
        <v>10</v>
      </c>
      <c r="J25" s="14">
        <v>3</v>
      </c>
      <c r="K25" s="15">
        <v>7</v>
      </c>
      <c r="L25" s="16">
        <v>2650</v>
      </c>
      <c r="M25" s="17">
        <v>18550</v>
      </c>
    </row>
    <row r="26" spans="1:13" s="41" customFormat="1" ht="18" customHeight="1" x14ac:dyDescent="0.25">
      <c r="A26" s="10" t="s">
        <v>187</v>
      </c>
      <c r="B26" s="10" t="s">
        <v>195</v>
      </c>
      <c r="C26" s="11" t="s">
        <v>196</v>
      </c>
      <c r="D26" s="11" t="s">
        <v>190</v>
      </c>
      <c r="E26" s="11" t="s">
        <v>197</v>
      </c>
      <c r="F26" s="10" t="s">
        <v>215</v>
      </c>
      <c r="G26" s="10" t="s">
        <v>216</v>
      </c>
      <c r="H26" s="10" t="s">
        <v>18</v>
      </c>
      <c r="I26" s="13">
        <v>10</v>
      </c>
      <c r="J26" s="14">
        <v>3</v>
      </c>
      <c r="K26" s="15">
        <v>7</v>
      </c>
      <c r="L26" s="16">
        <v>2650</v>
      </c>
      <c r="M26" s="17">
        <v>18550</v>
      </c>
    </row>
    <row r="27" spans="1:13" s="41" customFormat="1" ht="18" customHeight="1" x14ac:dyDescent="0.25">
      <c r="A27" s="10" t="s">
        <v>187</v>
      </c>
      <c r="B27" s="10" t="s">
        <v>195</v>
      </c>
      <c r="C27" s="11" t="s">
        <v>196</v>
      </c>
      <c r="D27" s="11" t="s">
        <v>190</v>
      </c>
      <c r="E27" s="11" t="s">
        <v>197</v>
      </c>
      <c r="F27" s="10" t="s">
        <v>217</v>
      </c>
      <c r="G27" s="10" t="s">
        <v>218</v>
      </c>
      <c r="H27" s="10" t="s">
        <v>18</v>
      </c>
      <c r="I27" s="13">
        <v>10</v>
      </c>
      <c r="J27" s="14">
        <v>3</v>
      </c>
      <c r="K27" s="15">
        <v>7</v>
      </c>
      <c r="L27" s="16">
        <v>2650</v>
      </c>
      <c r="M27" s="17">
        <v>18550</v>
      </c>
    </row>
    <row r="28" spans="1:13" s="41" customFormat="1" ht="18" customHeight="1" x14ac:dyDescent="0.25">
      <c r="A28" s="10" t="s">
        <v>187</v>
      </c>
      <c r="B28" s="10" t="s">
        <v>195</v>
      </c>
      <c r="C28" s="11" t="s">
        <v>196</v>
      </c>
      <c r="D28" s="11" t="s">
        <v>190</v>
      </c>
      <c r="E28" s="11" t="s">
        <v>197</v>
      </c>
      <c r="F28" s="10" t="s">
        <v>219</v>
      </c>
      <c r="G28" s="10" t="s">
        <v>220</v>
      </c>
      <c r="H28" s="10" t="s">
        <v>18</v>
      </c>
      <c r="I28" s="13">
        <v>10</v>
      </c>
      <c r="J28" s="14">
        <v>3</v>
      </c>
      <c r="K28" s="15">
        <v>7</v>
      </c>
      <c r="L28" s="16">
        <v>2650</v>
      </c>
      <c r="M28" s="17">
        <v>18550</v>
      </c>
    </row>
    <row r="29" spans="1:13" s="41" customFormat="1" ht="18" customHeight="1" x14ac:dyDescent="0.25">
      <c r="A29" s="10" t="s">
        <v>187</v>
      </c>
      <c r="B29" s="10" t="s">
        <v>195</v>
      </c>
      <c r="C29" s="11" t="s">
        <v>196</v>
      </c>
      <c r="D29" s="11" t="s">
        <v>190</v>
      </c>
      <c r="E29" s="11" t="s">
        <v>197</v>
      </c>
      <c r="F29" s="10" t="s">
        <v>221</v>
      </c>
      <c r="G29" s="10" t="s">
        <v>222</v>
      </c>
      <c r="H29" s="10" t="s">
        <v>18</v>
      </c>
      <c r="I29" s="13">
        <v>10</v>
      </c>
      <c r="J29" s="14">
        <v>3</v>
      </c>
      <c r="K29" s="15">
        <v>7</v>
      </c>
      <c r="L29" s="16">
        <v>2650</v>
      </c>
      <c r="M29" s="17">
        <v>18550</v>
      </c>
    </row>
    <row r="30" spans="1:13" s="41" customFormat="1" ht="18" customHeight="1" x14ac:dyDescent="0.25">
      <c r="A30" s="10" t="s">
        <v>187</v>
      </c>
      <c r="B30" s="10" t="s">
        <v>195</v>
      </c>
      <c r="C30" s="11" t="s">
        <v>196</v>
      </c>
      <c r="D30" s="11" t="s">
        <v>190</v>
      </c>
      <c r="E30" s="11" t="s">
        <v>197</v>
      </c>
      <c r="F30" s="10" t="s">
        <v>223</v>
      </c>
      <c r="G30" s="10" t="s">
        <v>224</v>
      </c>
      <c r="H30" s="10" t="s">
        <v>18</v>
      </c>
      <c r="I30" s="13">
        <v>10</v>
      </c>
      <c r="J30" s="14">
        <v>3</v>
      </c>
      <c r="K30" s="15">
        <v>7</v>
      </c>
      <c r="L30" s="16">
        <v>2650</v>
      </c>
      <c r="M30" s="17">
        <v>18550</v>
      </c>
    </row>
    <row r="31" spans="1:13" s="41" customFormat="1" ht="18" customHeight="1" x14ac:dyDescent="0.25">
      <c r="A31" s="10" t="s">
        <v>187</v>
      </c>
      <c r="B31" s="10" t="s">
        <v>195</v>
      </c>
      <c r="C31" s="11" t="s">
        <v>196</v>
      </c>
      <c r="D31" s="11" t="s">
        <v>190</v>
      </c>
      <c r="E31" s="11" t="s">
        <v>197</v>
      </c>
      <c r="F31" s="10" t="s">
        <v>225</v>
      </c>
      <c r="G31" s="10" t="s">
        <v>226</v>
      </c>
      <c r="H31" s="10" t="s">
        <v>18</v>
      </c>
      <c r="I31" s="13">
        <v>10</v>
      </c>
      <c r="J31" s="14">
        <v>3</v>
      </c>
      <c r="K31" s="15">
        <v>7</v>
      </c>
      <c r="L31" s="16">
        <v>2650</v>
      </c>
      <c r="M31" s="17">
        <v>18550</v>
      </c>
    </row>
    <row r="32" spans="1:13" s="41" customFormat="1" ht="18" customHeight="1" x14ac:dyDescent="0.25">
      <c r="A32" s="10" t="s">
        <v>187</v>
      </c>
      <c r="B32" s="10" t="s">
        <v>195</v>
      </c>
      <c r="C32" s="11" t="s">
        <v>196</v>
      </c>
      <c r="D32" s="11" t="s">
        <v>190</v>
      </c>
      <c r="E32" s="11" t="s">
        <v>197</v>
      </c>
      <c r="F32" s="10" t="s">
        <v>227</v>
      </c>
      <c r="G32" s="10" t="s">
        <v>228</v>
      </c>
      <c r="H32" s="10" t="s">
        <v>18</v>
      </c>
      <c r="I32" s="13">
        <v>10</v>
      </c>
      <c r="J32" s="14">
        <v>3</v>
      </c>
      <c r="K32" s="15">
        <v>7</v>
      </c>
      <c r="L32" s="16">
        <v>2650</v>
      </c>
      <c r="M32" s="17">
        <v>18550</v>
      </c>
    </row>
    <row r="33" spans="1:13" s="41" customFormat="1" ht="18" customHeight="1" x14ac:dyDescent="0.25">
      <c r="A33" s="10" t="s">
        <v>187</v>
      </c>
      <c r="B33" s="10" t="s">
        <v>195</v>
      </c>
      <c r="C33" s="11" t="s">
        <v>196</v>
      </c>
      <c r="D33" s="11" t="s">
        <v>190</v>
      </c>
      <c r="E33" s="11" t="s">
        <v>197</v>
      </c>
      <c r="F33" s="10" t="s">
        <v>229</v>
      </c>
      <c r="G33" s="10" t="s">
        <v>230</v>
      </c>
      <c r="H33" s="10" t="s">
        <v>18</v>
      </c>
      <c r="I33" s="13">
        <v>10</v>
      </c>
      <c r="J33" s="14">
        <v>3</v>
      </c>
      <c r="K33" s="15">
        <v>7</v>
      </c>
      <c r="L33" s="16">
        <v>2650</v>
      </c>
      <c r="M33" s="17">
        <v>18550</v>
      </c>
    </row>
    <row r="34" spans="1:13" s="41" customFormat="1" ht="18" customHeight="1" x14ac:dyDescent="0.25">
      <c r="A34" s="10" t="s">
        <v>187</v>
      </c>
      <c r="B34" s="10" t="s">
        <v>195</v>
      </c>
      <c r="C34" s="11" t="s">
        <v>196</v>
      </c>
      <c r="D34" s="11" t="s">
        <v>190</v>
      </c>
      <c r="E34" s="11" t="s">
        <v>197</v>
      </c>
      <c r="F34" s="10" t="s">
        <v>231</v>
      </c>
      <c r="G34" s="10" t="s">
        <v>232</v>
      </c>
      <c r="H34" s="10" t="s">
        <v>18</v>
      </c>
      <c r="I34" s="13">
        <v>10</v>
      </c>
      <c r="J34" s="14">
        <v>3</v>
      </c>
      <c r="K34" s="15">
        <v>7</v>
      </c>
      <c r="L34" s="16">
        <v>2650</v>
      </c>
      <c r="M34" s="17">
        <v>18550</v>
      </c>
    </row>
    <row r="35" spans="1:13" s="41" customFormat="1" ht="18" customHeight="1" x14ac:dyDescent="0.25">
      <c r="A35" s="10" t="s">
        <v>187</v>
      </c>
      <c r="B35" s="10" t="s">
        <v>195</v>
      </c>
      <c r="C35" s="11" t="s">
        <v>196</v>
      </c>
      <c r="D35" s="11" t="s">
        <v>190</v>
      </c>
      <c r="E35" s="11" t="s">
        <v>197</v>
      </c>
      <c r="F35" s="10" t="s">
        <v>233</v>
      </c>
      <c r="G35" s="10" t="s">
        <v>234</v>
      </c>
      <c r="H35" s="10" t="s">
        <v>18</v>
      </c>
      <c r="I35" s="13">
        <v>10</v>
      </c>
      <c r="J35" s="14">
        <v>3</v>
      </c>
      <c r="K35" s="15">
        <v>7</v>
      </c>
      <c r="L35" s="16">
        <v>2650</v>
      </c>
      <c r="M35" s="17">
        <v>18550</v>
      </c>
    </row>
    <row r="36" spans="1:13" s="41" customFormat="1" ht="18" customHeight="1" x14ac:dyDescent="0.25">
      <c r="A36" s="10" t="s">
        <v>187</v>
      </c>
      <c r="B36" s="10" t="s">
        <v>195</v>
      </c>
      <c r="C36" s="11" t="s">
        <v>196</v>
      </c>
      <c r="D36" s="11" t="s">
        <v>190</v>
      </c>
      <c r="E36" s="11" t="s">
        <v>197</v>
      </c>
      <c r="F36" s="10" t="s">
        <v>235</v>
      </c>
      <c r="G36" s="10" t="s">
        <v>236</v>
      </c>
      <c r="H36" s="10" t="s">
        <v>18</v>
      </c>
      <c r="I36" s="13">
        <v>10</v>
      </c>
      <c r="J36" s="14">
        <v>3</v>
      </c>
      <c r="K36" s="15">
        <v>7</v>
      </c>
      <c r="L36" s="16">
        <v>2650</v>
      </c>
      <c r="M36" s="17">
        <v>18550</v>
      </c>
    </row>
    <row r="37" spans="1:13" s="41" customFormat="1" ht="18" customHeight="1" x14ac:dyDescent="0.25">
      <c r="A37" s="10" t="s">
        <v>187</v>
      </c>
      <c r="B37" s="10" t="s">
        <v>195</v>
      </c>
      <c r="C37" s="11" t="s">
        <v>196</v>
      </c>
      <c r="D37" s="11" t="s">
        <v>190</v>
      </c>
      <c r="E37" s="11" t="s">
        <v>197</v>
      </c>
      <c r="F37" s="10" t="s">
        <v>237</v>
      </c>
      <c r="G37" s="10" t="s">
        <v>238</v>
      </c>
      <c r="H37" s="10" t="s">
        <v>18</v>
      </c>
      <c r="I37" s="13">
        <v>10</v>
      </c>
      <c r="J37" s="14">
        <v>3</v>
      </c>
      <c r="K37" s="15">
        <v>7</v>
      </c>
      <c r="L37" s="16">
        <v>2650</v>
      </c>
      <c r="M37" s="17">
        <v>18550</v>
      </c>
    </row>
    <row r="38" spans="1:13" s="41" customFormat="1" ht="18" customHeight="1" x14ac:dyDescent="0.25">
      <c r="A38" s="10" t="s">
        <v>187</v>
      </c>
      <c r="B38" s="10" t="s">
        <v>195</v>
      </c>
      <c r="C38" s="11" t="s">
        <v>196</v>
      </c>
      <c r="D38" s="11" t="s">
        <v>190</v>
      </c>
      <c r="E38" s="11" t="s">
        <v>197</v>
      </c>
      <c r="F38" s="10" t="s">
        <v>239</v>
      </c>
      <c r="G38" s="10" t="s">
        <v>240</v>
      </c>
      <c r="H38" s="10" t="s">
        <v>18</v>
      </c>
      <c r="I38" s="13">
        <v>10</v>
      </c>
      <c r="J38" s="14">
        <v>3</v>
      </c>
      <c r="K38" s="15">
        <v>7</v>
      </c>
      <c r="L38" s="16">
        <v>2650</v>
      </c>
      <c r="M38" s="17">
        <v>18550</v>
      </c>
    </row>
    <row r="39" spans="1:13" s="41" customFormat="1" ht="18" customHeight="1" x14ac:dyDescent="0.25">
      <c r="A39" s="10" t="s">
        <v>187</v>
      </c>
      <c r="B39" s="10" t="s">
        <v>195</v>
      </c>
      <c r="C39" s="11" t="s">
        <v>196</v>
      </c>
      <c r="D39" s="11" t="s">
        <v>190</v>
      </c>
      <c r="E39" s="11" t="s">
        <v>197</v>
      </c>
      <c r="F39" s="10" t="s">
        <v>241</v>
      </c>
      <c r="G39" s="10" t="s">
        <v>242</v>
      </c>
      <c r="H39" s="10" t="s">
        <v>18</v>
      </c>
      <c r="I39" s="13">
        <v>10</v>
      </c>
      <c r="J39" s="14">
        <v>3</v>
      </c>
      <c r="K39" s="15">
        <v>7</v>
      </c>
      <c r="L39" s="16">
        <v>2650</v>
      </c>
      <c r="M39" s="17">
        <v>18550</v>
      </c>
    </row>
    <row r="40" spans="1:13" s="41" customFormat="1" ht="18" customHeight="1" x14ac:dyDescent="0.25">
      <c r="A40" s="10" t="s">
        <v>187</v>
      </c>
      <c r="B40" s="10" t="s">
        <v>195</v>
      </c>
      <c r="C40" s="11" t="s">
        <v>196</v>
      </c>
      <c r="D40" s="11" t="s">
        <v>190</v>
      </c>
      <c r="E40" s="11" t="s">
        <v>197</v>
      </c>
      <c r="F40" s="10" t="s">
        <v>243</v>
      </c>
      <c r="G40" s="10" t="s">
        <v>244</v>
      </c>
      <c r="H40" s="10" t="s">
        <v>18</v>
      </c>
      <c r="I40" s="13">
        <v>10</v>
      </c>
      <c r="J40" s="14">
        <v>3</v>
      </c>
      <c r="K40" s="15">
        <v>7</v>
      </c>
      <c r="L40" s="16">
        <v>2650</v>
      </c>
      <c r="M40" s="17">
        <v>18550</v>
      </c>
    </row>
    <row r="41" spans="1:13" s="41" customFormat="1" ht="18" customHeight="1" x14ac:dyDescent="0.25">
      <c r="A41" s="10" t="s">
        <v>187</v>
      </c>
      <c r="B41" s="10" t="s">
        <v>195</v>
      </c>
      <c r="C41" s="11" t="s">
        <v>196</v>
      </c>
      <c r="D41" s="11" t="s">
        <v>190</v>
      </c>
      <c r="E41" s="11" t="s">
        <v>197</v>
      </c>
      <c r="F41" s="10" t="s">
        <v>245</v>
      </c>
      <c r="G41" s="10" t="s">
        <v>246</v>
      </c>
      <c r="H41" s="10" t="s">
        <v>18</v>
      </c>
      <c r="I41" s="13">
        <v>10</v>
      </c>
      <c r="J41" s="14">
        <v>3</v>
      </c>
      <c r="K41" s="15">
        <v>7</v>
      </c>
      <c r="L41" s="16">
        <v>2650</v>
      </c>
      <c r="M41" s="17">
        <v>18550</v>
      </c>
    </row>
    <row r="42" spans="1:13" s="41" customFormat="1" ht="18" customHeight="1" x14ac:dyDescent="0.25">
      <c r="A42" s="10" t="s">
        <v>187</v>
      </c>
      <c r="B42" s="10" t="s">
        <v>195</v>
      </c>
      <c r="C42" s="11" t="s">
        <v>196</v>
      </c>
      <c r="D42" s="11" t="s">
        <v>190</v>
      </c>
      <c r="E42" s="11" t="s">
        <v>197</v>
      </c>
      <c r="F42" s="10" t="s">
        <v>247</v>
      </c>
      <c r="G42" s="10" t="s">
        <v>248</v>
      </c>
      <c r="H42" s="10" t="s">
        <v>18</v>
      </c>
      <c r="I42" s="13">
        <v>10</v>
      </c>
      <c r="J42" s="14">
        <v>3</v>
      </c>
      <c r="K42" s="15">
        <v>7</v>
      </c>
      <c r="L42" s="16">
        <v>2650</v>
      </c>
      <c r="M42" s="17">
        <v>18550</v>
      </c>
    </row>
    <row r="43" spans="1:13" s="41" customFormat="1" ht="18" customHeight="1" x14ac:dyDescent="0.25">
      <c r="A43" s="10" t="s">
        <v>187</v>
      </c>
      <c r="B43" s="10" t="s">
        <v>195</v>
      </c>
      <c r="C43" s="11" t="s">
        <v>196</v>
      </c>
      <c r="D43" s="11" t="s">
        <v>190</v>
      </c>
      <c r="E43" s="11" t="s">
        <v>197</v>
      </c>
      <c r="F43" s="10" t="s">
        <v>249</v>
      </c>
      <c r="G43" s="10" t="s">
        <v>250</v>
      </c>
      <c r="H43" s="10" t="s">
        <v>18</v>
      </c>
      <c r="I43" s="13">
        <v>10</v>
      </c>
      <c r="J43" s="14">
        <v>3</v>
      </c>
      <c r="K43" s="15">
        <v>7</v>
      </c>
      <c r="L43" s="16">
        <v>2650</v>
      </c>
      <c r="M43" s="17">
        <v>18550</v>
      </c>
    </row>
    <row r="44" spans="1:13" s="41" customFormat="1" ht="18" customHeight="1" x14ac:dyDescent="0.25">
      <c r="A44" s="10" t="s">
        <v>187</v>
      </c>
      <c r="B44" s="10" t="s">
        <v>195</v>
      </c>
      <c r="C44" s="11" t="s">
        <v>196</v>
      </c>
      <c r="D44" s="11" t="s">
        <v>190</v>
      </c>
      <c r="E44" s="11" t="s">
        <v>197</v>
      </c>
      <c r="F44" s="10" t="s">
        <v>249</v>
      </c>
      <c r="G44" s="10" t="s">
        <v>251</v>
      </c>
      <c r="H44" s="10" t="s">
        <v>18</v>
      </c>
      <c r="I44" s="13">
        <v>10</v>
      </c>
      <c r="J44" s="14">
        <v>3</v>
      </c>
      <c r="K44" s="15">
        <v>7</v>
      </c>
      <c r="L44" s="16">
        <v>2650</v>
      </c>
      <c r="M44" s="17">
        <v>18550</v>
      </c>
    </row>
    <row r="45" spans="1:13" s="41" customFormat="1" ht="18" customHeight="1" x14ac:dyDescent="0.25">
      <c r="A45" s="10" t="s">
        <v>187</v>
      </c>
      <c r="B45" s="10" t="s">
        <v>195</v>
      </c>
      <c r="C45" s="11" t="s">
        <v>196</v>
      </c>
      <c r="D45" s="11" t="s">
        <v>190</v>
      </c>
      <c r="E45" s="11" t="s">
        <v>197</v>
      </c>
      <c r="F45" s="10" t="s">
        <v>252</v>
      </c>
      <c r="G45" s="10" t="s">
        <v>253</v>
      </c>
      <c r="H45" s="10" t="s">
        <v>18</v>
      </c>
      <c r="I45" s="13">
        <v>10</v>
      </c>
      <c r="J45" s="14">
        <v>3</v>
      </c>
      <c r="K45" s="15">
        <v>7</v>
      </c>
      <c r="L45" s="16">
        <v>2650</v>
      </c>
      <c r="M45" s="17">
        <v>18550</v>
      </c>
    </row>
    <row r="46" spans="1:13" s="41" customFormat="1" ht="18" customHeight="1" x14ac:dyDescent="0.25">
      <c r="A46" s="10" t="s">
        <v>187</v>
      </c>
      <c r="B46" s="10" t="s">
        <v>195</v>
      </c>
      <c r="C46" s="11" t="s">
        <v>196</v>
      </c>
      <c r="D46" s="11" t="s">
        <v>190</v>
      </c>
      <c r="E46" s="11" t="s">
        <v>197</v>
      </c>
      <c r="F46" s="10" t="s">
        <v>254</v>
      </c>
      <c r="G46" s="10" t="s">
        <v>255</v>
      </c>
      <c r="H46" s="10" t="s">
        <v>18</v>
      </c>
      <c r="I46" s="13">
        <v>10</v>
      </c>
      <c r="J46" s="14">
        <v>3</v>
      </c>
      <c r="K46" s="15">
        <v>7</v>
      </c>
      <c r="L46" s="16">
        <v>2650</v>
      </c>
      <c r="M46" s="17">
        <v>18550</v>
      </c>
    </row>
    <row r="47" spans="1:13" s="41" customFormat="1" ht="18" customHeight="1" x14ac:dyDescent="0.25">
      <c r="A47" s="10" t="s">
        <v>187</v>
      </c>
      <c r="B47" s="10" t="s">
        <v>195</v>
      </c>
      <c r="C47" s="11" t="s">
        <v>196</v>
      </c>
      <c r="D47" s="11" t="s">
        <v>190</v>
      </c>
      <c r="E47" s="11" t="s">
        <v>197</v>
      </c>
      <c r="F47" s="10" t="s">
        <v>256</v>
      </c>
      <c r="G47" s="10" t="s">
        <v>257</v>
      </c>
      <c r="H47" s="10" t="s">
        <v>18</v>
      </c>
      <c r="I47" s="13">
        <v>10</v>
      </c>
      <c r="J47" s="14">
        <v>3</v>
      </c>
      <c r="K47" s="15">
        <v>7</v>
      </c>
      <c r="L47" s="16">
        <v>2650</v>
      </c>
      <c r="M47" s="17">
        <v>18550</v>
      </c>
    </row>
    <row r="48" spans="1:13" s="41" customFormat="1" ht="18" customHeight="1" x14ac:dyDescent="0.25">
      <c r="A48" s="10" t="s">
        <v>187</v>
      </c>
      <c r="B48" s="10" t="s">
        <v>195</v>
      </c>
      <c r="C48" s="11" t="s">
        <v>196</v>
      </c>
      <c r="D48" s="11" t="s">
        <v>190</v>
      </c>
      <c r="E48" s="11" t="s">
        <v>197</v>
      </c>
      <c r="F48" s="10" t="s">
        <v>208</v>
      </c>
      <c r="G48" s="10" t="s">
        <v>258</v>
      </c>
      <c r="H48" s="10" t="s">
        <v>18</v>
      </c>
      <c r="I48" s="13">
        <v>10</v>
      </c>
      <c r="J48" s="14">
        <v>3</v>
      </c>
      <c r="K48" s="15">
        <v>7</v>
      </c>
      <c r="L48" s="16">
        <v>2650</v>
      </c>
      <c r="M48" s="17">
        <v>18550</v>
      </c>
    </row>
    <row r="49" spans="1:13" s="41" customFormat="1" ht="18" customHeight="1" x14ac:dyDescent="0.25">
      <c r="A49" s="10" t="s">
        <v>187</v>
      </c>
      <c r="B49" s="10" t="s">
        <v>195</v>
      </c>
      <c r="C49" s="11" t="s">
        <v>196</v>
      </c>
      <c r="D49" s="11" t="s">
        <v>190</v>
      </c>
      <c r="E49" s="11" t="s">
        <v>197</v>
      </c>
      <c r="F49" s="10" t="s">
        <v>259</v>
      </c>
      <c r="G49" s="10" t="s">
        <v>260</v>
      </c>
      <c r="H49" s="10" t="s">
        <v>18</v>
      </c>
      <c r="I49" s="13">
        <v>10</v>
      </c>
      <c r="J49" s="14">
        <v>3</v>
      </c>
      <c r="K49" s="15">
        <v>7</v>
      </c>
      <c r="L49" s="16">
        <v>2650</v>
      </c>
      <c r="M49" s="17">
        <v>18550</v>
      </c>
    </row>
    <row r="50" spans="1:13" s="41" customFormat="1" ht="18" customHeight="1" x14ac:dyDescent="0.25">
      <c r="A50" s="10" t="s">
        <v>187</v>
      </c>
      <c r="B50" s="10" t="s">
        <v>195</v>
      </c>
      <c r="C50" s="11" t="s">
        <v>196</v>
      </c>
      <c r="D50" s="11" t="s">
        <v>190</v>
      </c>
      <c r="E50" s="11" t="s">
        <v>197</v>
      </c>
      <c r="F50" s="10" t="s">
        <v>261</v>
      </c>
      <c r="G50" s="10" t="s">
        <v>262</v>
      </c>
      <c r="H50" s="10" t="s">
        <v>18</v>
      </c>
      <c r="I50" s="13">
        <v>10</v>
      </c>
      <c r="J50" s="14">
        <v>3</v>
      </c>
      <c r="K50" s="15">
        <v>7</v>
      </c>
      <c r="L50" s="16">
        <v>2650</v>
      </c>
      <c r="M50" s="17">
        <v>18550</v>
      </c>
    </row>
    <row r="51" spans="1:13" s="41" customFormat="1" ht="18" customHeight="1" x14ac:dyDescent="0.25">
      <c r="A51" s="10" t="s">
        <v>187</v>
      </c>
      <c r="B51" s="10" t="s">
        <v>195</v>
      </c>
      <c r="C51" s="11" t="s">
        <v>196</v>
      </c>
      <c r="D51" s="11" t="s">
        <v>190</v>
      </c>
      <c r="E51" s="11" t="s">
        <v>197</v>
      </c>
      <c r="F51" s="10" t="s">
        <v>263</v>
      </c>
      <c r="G51" s="10" t="s">
        <v>264</v>
      </c>
      <c r="H51" s="10" t="s">
        <v>18</v>
      </c>
      <c r="I51" s="13">
        <v>10</v>
      </c>
      <c r="J51" s="14">
        <v>3</v>
      </c>
      <c r="K51" s="15">
        <v>7</v>
      </c>
      <c r="L51" s="16">
        <v>2650</v>
      </c>
      <c r="M51" s="17">
        <v>18550</v>
      </c>
    </row>
    <row r="52" spans="1:13" s="41" customFormat="1" ht="18" customHeight="1" x14ac:dyDescent="0.25">
      <c r="A52" s="10" t="s">
        <v>187</v>
      </c>
      <c r="B52" s="10" t="s">
        <v>195</v>
      </c>
      <c r="C52" s="11" t="s">
        <v>196</v>
      </c>
      <c r="D52" s="11" t="s">
        <v>190</v>
      </c>
      <c r="E52" s="11" t="s">
        <v>197</v>
      </c>
      <c r="F52" s="10" t="s">
        <v>265</v>
      </c>
      <c r="G52" s="10" t="s">
        <v>266</v>
      </c>
      <c r="H52" s="10" t="s">
        <v>18</v>
      </c>
      <c r="I52" s="13">
        <v>10</v>
      </c>
      <c r="J52" s="14">
        <v>3</v>
      </c>
      <c r="K52" s="15">
        <v>7</v>
      </c>
      <c r="L52" s="16">
        <v>2650</v>
      </c>
      <c r="M52" s="17">
        <v>18550</v>
      </c>
    </row>
    <row r="53" spans="1:13" s="41" customFormat="1" ht="18" customHeight="1" x14ac:dyDescent="0.25">
      <c r="A53" s="10" t="s">
        <v>187</v>
      </c>
      <c r="B53" s="10" t="s">
        <v>195</v>
      </c>
      <c r="C53" s="11" t="s">
        <v>196</v>
      </c>
      <c r="D53" s="11" t="s">
        <v>190</v>
      </c>
      <c r="E53" s="11" t="s">
        <v>197</v>
      </c>
      <c r="F53" s="10" t="s">
        <v>267</v>
      </c>
      <c r="G53" s="10" t="s">
        <v>268</v>
      </c>
      <c r="H53" s="10" t="s">
        <v>18</v>
      </c>
      <c r="I53" s="13">
        <v>10</v>
      </c>
      <c r="J53" s="14">
        <v>3</v>
      </c>
      <c r="K53" s="15">
        <v>7</v>
      </c>
      <c r="L53" s="16">
        <v>2650</v>
      </c>
      <c r="M53" s="17">
        <v>18550</v>
      </c>
    </row>
    <row r="54" spans="1:13" s="41" customFormat="1" ht="18" customHeight="1" x14ac:dyDescent="0.25">
      <c r="A54" s="10" t="s">
        <v>187</v>
      </c>
      <c r="B54" s="10" t="s">
        <v>195</v>
      </c>
      <c r="C54" s="11" t="s">
        <v>196</v>
      </c>
      <c r="D54" s="11" t="s">
        <v>190</v>
      </c>
      <c r="E54" s="11" t="s">
        <v>197</v>
      </c>
      <c r="F54" s="10" t="s">
        <v>269</v>
      </c>
      <c r="G54" s="10" t="s">
        <v>270</v>
      </c>
      <c r="H54" s="10" t="s">
        <v>18</v>
      </c>
      <c r="I54" s="13">
        <v>10</v>
      </c>
      <c r="J54" s="14">
        <v>3</v>
      </c>
      <c r="K54" s="15">
        <v>7</v>
      </c>
      <c r="L54" s="16">
        <v>2650</v>
      </c>
      <c r="M54" s="17">
        <v>18550</v>
      </c>
    </row>
    <row r="55" spans="1:13" s="41" customFormat="1" ht="18" customHeight="1" x14ac:dyDescent="0.25">
      <c r="A55" s="10" t="s">
        <v>187</v>
      </c>
      <c r="B55" s="10" t="s">
        <v>195</v>
      </c>
      <c r="C55" s="11" t="s">
        <v>196</v>
      </c>
      <c r="D55" s="11" t="s">
        <v>190</v>
      </c>
      <c r="E55" s="11" t="s">
        <v>197</v>
      </c>
      <c r="F55" s="10" t="s">
        <v>271</v>
      </c>
      <c r="G55" s="10" t="s">
        <v>272</v>
      </c>
      <c r="H55" s="10" t="s">
        <v>18</v>
      </c>
      <c r="I55" s="13">
        <v>10</v>
      </c>
      <c r="J55" s="14">
        <v>3</v>
      </c>
      <c r="K55" s="15">
        <v>7</v>
      </c>
      <c r="L55" s="16">
        <v>2650</v>
      </c>
      <c r="M55" s="17">
        <v>18550</v>
      </c>
    </row>
    <row r="56" spans="1:13" s="41" customFormat="1" ht="18" customHeight="1" x14ac:dyDescent="0.25">
      <c r="A56" s="10" t="s">
        <v>187</v>
      </c>
      <c r="B56" s="10" t="s">
        <v>195</v>
      </c>
      <c r="C56" s="11" t="s">
        <v>196</v>
      </c>
      <c r="D56" s="11" t="s">
        <v>190</v>
      </c>
      <c r="E56" s="11" t="s">
        <v>197</v>
      </c>
      <c r="F56" s="10" t="s">
        <v>273</v>
      </c>
      <c r="G56" s="10" t="s">
        <v>274</v>
      </c>
      <c r="H56" s="10" t="s">
        <v>18</v>
      </c>
      <c r="I56" s="13">
        <v>10</v>
      </c>
      <c r="J56" s="14">
        <v>3</v>
      </c>
      <c r="K56" s="15">
        <v>7</v>
      </c>
      <c r="L56" s="16">
        <v>2650</v>
      </c>
      <c r="M56" s="17">
        <v>18550</v>
      </c>
    </row>
    <row r="57" spans="1:13" s="41" customFormat="1" ht="18" customHeight="1" x14ac:dyDescent="0.25">
      <c r="A57" s="10" t="s">
        <v>187</v>
      </c>
      <c r="B57" s="10" t="s">
        <v>195</v>
      </c>
      <c r="C57" s="11" t="s">
        <v>196</v>
      </c>
      <c r="D57" s="11" t="s">
        <v>190</v>
      </c>
      <c r="E57" s="11" t="s">
        <v>197</v>
      </c>
      <c r="F57" s="10" t="s">
        <v>275</v>
      </c>
      <c r="G57" s="10" t="s">
        <v>276</v>
      </c>
      <c r="H57" s="10" t="s">
        <v>18</v>
      </c>
      <c r="I57" s="13">
        <v>10</v>
      </c>
      <c r="J57" s="14">
        <v>3</v>
      </c>
      <c r="K57" s="15">
        <v>7</v>
      </c>
      <c r="L57" s="16">
        <v>2650</v>
      </c>
      <c r="M57" s="17">
        <v>18550</v>
      </c>
    </row>
    <row r="58" spans="1:13" s="41" customFormat="1" ht="18" customHeight="1" x14ac:dyDescent="0.25">
      <c r="A58" s="10" t="s">
        <v>187</v>
      </c>
      <c r="B58" s="10" t="s">
        <v>195</v>
      </c>
      <c r="C58" s="11" t="s">
        <v>196</v>
      </c>
      <c r="D58" s="11" t="s">
        <v>190</v>
      </c>
      <c r="E58" s="11" t="s">
        <v>197</v>
      </c>
      <c r="F58" s="10" t="s">
        <v>277</v>
      </c>
      <c r="G58" s="10" t="s">
        <v>278</v>
      </c>
      <c r="H58" s="10" t="s">
        <v>18</v>
      </c>
      <c r="I58" s="13">
        <v>10</v>
      </c>
      <c r="J58" s="14">
        <v>3</v>
      </c>
      <c r="K58" s="15">
        <v>7</v>
      </c>
      <c r="L58" s="16">
        <v>2650</v>
      </c>
      <c r="M58" s="17">
        <v>18550</v>
      </c>
    </row>
    <row r="59" spans="1:13" s="41" customFormat="1" ht="18" customHeight="1" x14ac:dyDescent="0.25">
      <c r="A59" s="10" t="s">
        <v>187</v>
      </c>
      <c r="B59" s="10" t="s">
        <v>195</v>
      </c>
      <c r="C59" s="11" t="s">
        <v>196</v>
      </c>
      <c r="D59" s="11" t="s">
        <v>190</v>
      </c>
      <c r="E59" s="11" t="s">
        <v>197</v>
      </c>
      <c r="F59" s="10" t="s">
        <v>279</v>
      </c>
      <c r="G59" s="10" t="s">
        <v>280</v>
      </c>
      <c r="H59" s="10" t="s">
        <v>18</v>
      </c>
      <c r="I59" s="13">
        <v>10</v>
      </c>
      <c r="J59" s="14">
        <v>3</v>
      </c>
      <c r="K59" s="15">
        <v>7</v>
      </c>
      <c r="L59" s="16">
        <v>2650</v>
      </c>
      <c r="M59" s="17">
        <v>18550</v>
      </c>
    </row>
    <row r="60" spans="1:13" s="41" customFormat="1" ht="18" customHeight="1" x14ac:dyDescent="0.25">
      <c r="A60" s="10" t="s">
        <v>187</v>
      </c>
      <c r="B60" s="10" t="s">
        <v>195</v>
      </c>
      <c r="C60" s="11" t="s">
        <v>196</v>
      </c>
      <c r="D60" s="11" t="s">
        <v>190</v>
      </c>
      <c r="E60" s="11" t="s">
        <v>197</v>
      </c>
      <c r="F60" s="10" t="s">
        <v>281</v>
      </c>
      <c r="G60" s="10" t="s">
        <v>282</v>
      </c>
      <c r="H60" s="10" t="s">
        <v>18</v>
      </c>
      <c r="I60" s="13">
        <v>10</v>
      </c>
      <c r="J60" s="14">
        <v>3</v>
      </c>
      <c r="K60" s="15">
        <v>7</v>
      </c>
      <c r="L60" s="16">
        <v>2650</v>
      </c>
      <c r="M60" s="17">
        <v>18550</v>
      </c>
    </row>
    <row r="61" spans="1:13" s="41" customFormat="1" ht="18" customHeight="1" x14ac:dyDescent="0.25">
      <c r="A61" s="10" t="s">
        <v>187</v>
      </c>
      <c r="B61" s="10" t="s">
        <v>195</v>
      </c>
      <c r="C61" s="11" t="s">
        <v>196</v>
      </c>
      <c r="D61" s="11" t="s">
        <v>190</v>
      </c>
      <c r="E61" s="11" t="s">
        <v>197</v>
      </c>
      <c r="F61" s="10" t="s">
        <v>283</v>
      </c>
      <c r="G61" s="10" t="s">
        <v>284</v>
      </c>
      <c r="H61" s="10" t="s">
        <v>18</v>
      </c>
      <c r="I61" s="13">
        <v>10</v>
      </c>
      <c r="J61" s="14">
        <v>3</v>
      </c>
      <c r="K61" s="15">
        <v>7</v>
      </c>
      <c r="L61" s="16">
        <v>2650</v>
      </c>
      <c r="M61" s="17">
        <v>18550</v>
      </c>
    </row>
    <row r="62" spans="1:13" s="41" customFormat="1" ht="18" customHeight="1" x14ac:dyDescent="0.25">
      <c r="A62" s="10" t="s">
        <v>187</v>
      </c>
      <c r="B62" s="10" t="s">
        <v>195</v>
      </c>
      <c r="C62" s="11" t="s">
        <v>196</v>
      </c>
      <c r="D62" s="11" t="s">
        <v>190</v>
      </c>
      <c r="E62" s="11" t="s">
        <v>197</v>
      </c>
      <c r="F62" s="10" t="s">
        <v>285</v>
      </c>
      <c r="G62" s="10" t="s">
        <v>286</v>
      </c>
      <c r="H62" s="10" t="s">
        <v>18</v>
      </c>
      <c r="I62" s="13">
        <v>10</v>
      </c>
      <c r="J62" s="14">
        <v>3</v>
      </c>
      <c r="K62" s="15">
        <v>7</v>
      </c>
      <c r="L62" s="16">
        <v>2650</v>
      </c>
      <c r="M62" s="17">
        <v>18550</v>
      </c>
    </row>
    <row r="63" spans="1:13" s="41" customFormat="1" ht="18" customHeight="1" x14ac:dyDescent="0.25">
      <c r="A63" s="10" t="s">
        <v>187</v>
      </c>
      <c r="B63" s="10" t="s">
        <v>195</v>
      </c>
      <c r="C63" s="11" t="s">
        <v>196</v>
      </c>
      <c r="D63" s="11" t="s">
        <v>190</v>
      </c>
      <c r="E63" s="11" t="s">
        <v>197</v>
      </c>
      <c r="F63" s="10" t="s">
        <v>287</v>
      </c>
      <c r="G63" s="10" t="s">
        <v>288</v>
      </c>
      <c r="H63" s="10" t="s">
        <v>18</v>
      </c>
      <c r="I63" s="13">
        <v>10</v>
      </c>
      <c r="J63" s="14">
        <v>3</v>
      </c>
      <c r="K63" s="15">
        <v>7</v>
      </c>
      <c r="L63" s="16">
        <v>2650</v>
      </c>
      <c r="M63" s="17">
        <v>18550</v>
      </c>
    </row>
    <row r="64" spans="1:13" s="41" customFormat="1" ht="18" customHeight="1" x14ac:dyDescent="0.25">
      <c r="A64" s="10" t="s">
        <v>187</v>
      </c>
      <c r="B64" s="10" t="s">
        <v>195</v>
      </c>
      <c r="C64" s="11" t="s">
        <v>196</v>
      </c>
      <c r="D64" s="11" t="s">
        <v>190</v>
      </c>
      <c r="E64" s="11" t="s">
        <v>197</v>
      </c>
      <c r="F64" s="10" t="s">
        <v>289</v>
      </c>
      <c r="G64" s="10" t="s">
        <v>290</v>
      </c>
      <c r="H64" s="10" t="s">
        <v>18</v>
      </c>
      <c r="I64" s="13">
        <v>10</v>
      </c>
      <c r="J64" s="14">
        <v>3</v>
      </c>
      <c r="K64" s="15">
        <v>7</v>
      </c>
      <c r="L64" s="16">
        <v>2650</v>
      </c>
      <c r="M64" s="17">
        <v>18550</v>
      </c>
    </row>
    <row r="65" spans="1:14" s="41" customFormat="1" ht="18" customHeight="1" x14ac:dyDescent="0.25">
      <c r="A65" s="10" t="s">
        <v>157</v>
      </c>
      <c r="B65" s="10" t="s">
        <v>291</v>
      </c>
      <c r="C65" s="11" t="s">
        <v>190</v>
      </c>
      <c r="D65" s="11" t="s">
        <v>292</v>
      </c>
      <c r="E65" s="11" t="s">
        <v>15</v>
      </c>
      <c r="F65" s="10" t="s">
        <v>293</v>
      </c>
      <c r="G65" s="10" t="s">
        <v>294</v>
      </c>
      <c r="H65" s="10" t="s">
        <v>295</v>
      </c>
      <c r="I65" s="13">
        <v>5</v>
      </c>
      <c r="J65" s="14">
        <v>3</v>
      </c>
      <c r="K65" s="15">
        <v>2</v>
      </c>
      <c r="L65" s="16">
        <v>2650</v>
      </c>
      <c r="M65" s="17">
        <v>5300</v>
      </c>
    </row>
    <row r="66" spans="1:14" s="41" customFormat="1" ht="18" customHeight="1" x14ac:dyDescent="0.25">
      <c r="A66" s="10" t="s">
        <v>157</v>
      </c>
      <c r="B66" s="10" t="s">
        <v>291</v>
      </c>
      <c r="C66" s="11" t="s">
        <v>190</v>
      </c>
      <c r="D66" s="11" t="s">
        <v>292</v>
      </c>
      <c r="E66" s="11" t="s">
        <v>296</v>
      </c>
      <c r="F66" s="10" t="s">
        <v>297</v>
      </c>
      <c r="G66" s="10" t="s">
        <v>298</v>
      </c>
      <c r="H66" s="10" t="s">
        <v>295</v>
      </c>
      <c r="I66" s="13">
        <v>4</v>
      </c>
      <c r="J66" s="14">
        <v>3</v>
      </c>
      <c r="K66" s="15">
        <v>1</v>
      </c>
      <c r="L66" s="16">
        <v>2650</v>
      </c>
      <c r="M66" s="17">
        <v>2650</v>
      </c>
    </row>
    <row r="67" spans="1:14" s="41" customFormat="1" ht="18" customHeight="1" x14ac:dyDescent="0.25">
      <c r="A67" s="10" t="s">
        <v>157</v>
      </c>
      <c r="B67" s="10" t="s">
        <v>299</v>
      </c>
      <c r="C67" s="11" t="s">
        <v>300</v>
      </c>
      <c r="D67" s="11" t="s">
        <v>301</v>
      </c>
      <c r="E67" s="11" t="s">
        <v>302</v>
      </c>
      <c r="F67" s="10" t="s">
        <v>303</v>
      </c>
      <c r="G67" s="10" t="s">
        <v>304</v>
      </c>
      <c r="H67" s="10" t="s">
        <v>18</v>
      </c>
      <c r="I67" s="13">
        <v>9</v>
      </c>
      <c r="J67" s="14">
        <v>3</v>
      </c>
      <c r="K67" s="15">
        <v>6</v>
      </c>
      <c r="L67" s="16">
        <v>2650</v>
      </c>
      <c r="M67" s="17">
        <v>15900</v>
      </c>
    </row>
    <row r="68" spans="1:14" s="41" customFormat="1" ht="18" customHeight="1" x14ac:dyDescent="0.25">
      <c r="A68" s="10" t="s">
        <v>157</v>
      </c>
      <c r="B68" s="10" t="s">
        <v>299</v>
      </c>
      <c r="C68" s="11" t="s">
        <v>300</v>
      </c>
      <c r="D68" s="11" t="s">
        <v>301</v>
      </c>
      <c r="E68" s="11" t="s">
        <v>167</v>
      </c>
      <c r="F68" s="10" t="s">
        <v>305</v>
      </c>
      <c r="G68" s="10" t="s">
        <v>306</v>
      </c>
      <c r="H68" s="10" t="s">
        <v>18</v>
      </c>
      <c r="I68" s="13">
        <v>10</v>
      </c>
      <c r="J68" s="14">
        <v>3</v>
      </c>
      <c r="K68" s="15">
        <v>7</v>
      </c>
      <c r="L68" s="16">
        <v>2650</v>
      </c>
      <c r="M68" s="17">
        <v>18550</v>
      </c>
    </row>
    <row r="69" spans="1:14" s="41" customFormat="1" ht="18" customHeight="1" x14ac:dyDescent="0.25">
      <c r="A69" s="10" t="s">
        <v>157</v>
      </c>
      <c r="B69" s="10" t="s">
        <v>307</v>
      </c>
      <c r="C69" s="11" t="s">
        <v>308</v>
      </c>
      <c r="D69" s="11" t="s">
        <v>292</v>
      </c>
      <c r="E69" s="11" t="s">
        <v>15</v>
      </c>
      <c r="F69" s="10" t="s">
        <v>309</v>
      </c>
      <c r="G69" s="10" t="s">
        <v>310</v>
      </c>
      <c r="H69" s="10" t="s">
        <v>295</v>
      </c>
      <c r="I69" s="13">
        <v>5</v>
      </c>
      <c r="J69" s="14">
        <v>3</v>
      </c>
      <c r="K69" s="15">
        <v>2</v>
      </c>
      <c r="L69" s="16">
        <v>2650</v>
      </c>
      <c r="M69" s="17">
        <v>5300</v>
      </c>
    </row>
    <row r="70" spans="1:14" s="41" customFormat="1" ht="18" customHeight="1" x14ac:dyDescent="0.25">
      <c r="A70" s="10" t="s">
        <v>157</v>
      </c>
      <c r="B70" s="10" t="s">
        <v>311</v>
      </c>
      <c r="C70" s="11" t="s">
        <v>308</v>
      </c>
      <c r="D70" s="11" t="s">
        <v>292</v>
      </c>
      <c r="E70" s="11" t="s">
        <v>161</v>
      </c>
      <c r="F70" s="10" t="s">
        <v>312</v>
      </c>
      <c r="G70" s="10" t="s">
        <v>313</v>
      </c>
      <c r="H70" s="10" t="s">
        <v>295</v>
      </c>
      <c r="I70" s="13">
        <v>6</v>
      </c>
      <c r="J70" s="14">
        <v>3</v>
      </c>
      <c r="K70" s="15">
        <v>3</v>
      </c>
      <c r="L70" s="16">
        <v>2650</v>
      </c>
      <c r="M70" s="17">
        <v>7950</v>
      </c>
    </row>
    <row r="71" spans="1:14" ht="18" customHeight="1" x14ac:dyDescent="0.25">
      <c r="A71" s="10" t="s">
        <v>13</v>
      </c>
      <c r="B71" s="10" t="s">
        <v>14</v>
      </c>
      <c r="C71" s="11" t="s">
        <v>15</v>
      </c>
      <c r="D71" s="11" t="s">
        <v>16</v>
      </c>
      <c r="E71" s="12" t="s">
        <v>17</v>
      </c>
      <c r="F71" s="10" t="s">
        <v>19</v>
      </c>
      <c r="G71" s="10" t="s">
        <v>20</v>
      </c>
      <c r="H71" s="10" t="s">
        <v>18</v>
      </c>
      <c r="I71" s="13">
        <v>13</v>
      </c>
      <c r="J71" s="14">
        <v>3</v>
      </c>
      <c r="K71" s="15">
        <v>10</v>
      </c>
      <c r="L71" s="16">
        <v>2650</v>
      </c>
      <c r="M71" s="17">
        <v>26500</v>
      </c>
      <c r="N71" s="41"/>
    </row>
    <row r="72" spans="1:14" ht="18" customHeight="1" x14ac:dyDescent="0.25">
      <c r="A72" s="10" t="s">
        <v>13</v>
      </c>
      <c r="B72" s="10" t="s">
        <v>14</v>
      </c>
      <c r="C72" s="11" t="s">
        <v>15</v>
      </c>
      <c r="D72" s="11" t="s">
        <v>16</v>
      </c>
      <c r="E72" s="12" t="s">
        <v>17</v>
      </c>
      <c r="F72" s="10" t="s">
        <v>21</v>
      </c>
      <c r="G72" s="10" t="s">
        <v>22</v>
      </c>
      <c r="H72" s="10" t="s">
        <v>18</v>
      </c>
      <c r="I72" s="13">
        <v>13</v>
      </c>
      <c r="J72" s="14">
        <v>3</v>
      </c>
      <c r="K72" s="15">
        <v>10</v>
      </c>
      <c r="L72" s="16">
        <v>2650</v>
      </c>
      <c r="M72" s="17">
        <v>26500</v>
      </c>
      <c r="N72" s="41"/>
    </row>
    <row r="73" spans="1:14" ht="18" customHeight="1" x14ac:dyDescent="0.25">
      <c r="A73" s="10" t="s">
        <v>13</v>
      </c>
      <c r="B73" s="10" t="s">
        <v>14</v>
      </c>
      <c r="C73" s="11" t="s">
        <v>15</v>
      </c>
      <c r="D73" s="11" t="s">
        <v>16</v>
      </c>
      <c r="E73" s="12" t="s">
        <v>17</v>
      </c>
      <c r="F73" s="10" t="s">
        <v>23</v>
      </c>
      <c r="G73" s="10" t="s">
        <v>24</v>
      </c>
      <c r="H73" s="10" t="s">
        <v>18</v>
      </c>
      <c r="I73" s="13">
        <v>13</v>
      </c>
      <c r="J73" s="14">
        <v>3</v>
      </c>
      <c r="K73" s="15">
        <v>10</v>
      </c>
      <c r="L73" s="16">
        <v>2650</v>
      </c>
      <c r="M73" s="17">
        <v>26500</v>
      </c>
      <c r="N73" s="41"/>
    </row>
    <row r="74" spans="1:14" ht="18" customHeight="1" x14ac:dyDescent="0.25">
      <c r="A74" s="10" t="s">
        <v>13</v>
      </c>
      <c r="B74" s="10" t="s">
        <v>14</v>
      </c>
      <c r="C74" s="11" t="s">
        <v>15</v>
      </c>
      <c r="D74" s="11" t="s">
        <v>16</v>
      </c>
      <c r="E74" s="12" t="s">
        <v>17</v>
      </c>
      <c r="F74" s="10" t="s">
        <v>25</v>
      </c>
      <c r="G74" s="10" t="s">
        <v>26</v>
      </c>
      <c r="H74" s="10" t="s">
        <v>18</v>
      </c>
      <c r="I74" s="13">
        <v>13</v>
      </c>
      <c r="J74" s="14">
        <v>3</v>
      </c>
      <c r="K74" s="15">
        <v>10</v>
      </c>
      <c r="L74" s="16">
        <v>2650</v>
      </c>
      <c r="M74" s="17">
        <v>26500</v>
      </c>
      <c r="N74" s="41"/>
    </row>
    <row r="75" spans="1:14" ht="18" customHeight="1" x14ac:dyDescent="0.25">
      <c r="A75" s="10" t="s">
        <v>13</v>
      </c>
      <c r="B75" s="10" t="s">
        <v>14</v>
      </c>
      <c r="C75" s="11" t="s">
        <v>15</v>
      </c>
      <c r="D75" s="11" t="s">
        <v>16</v>
      </c>
      <c r="E75" s="12" t="s">
        <v>17</v>
      </c>
      <c r="F75" s="10" t="s">
        <v>27</v>
      </c>
      <c r="G75" s="10" t="s">
        <v>28</v>
      </c>
      <c r="H75" s="10" t="s">
        <v>18</v>
      </c>
      <c r="I75" s="13">
        <v>13</v>
      </c>
      <c r="J75" s="14">
        <v>3</v>
      </c>
      <c r="K75" s="15">
        <v>10</v>
      </c>
      <c r="L75" s="16">
        <v>2650</v>
      </c>
      <c r="M75" s="17">
        <v>26500</v>
      </c>
      <c r="N75" s="41"/>
    </row>
    <row r="76" spans="1:14" ht="18" customHeight="1" x14ac:dyDescent="0.25">
      <c r="A76" s="10" t="s">
        <v>13</v>
      </c>
      <c r="B76" s="10" t="s">
        <v>14</v>
      </c>
      <c r="C76" s="11" t="s">
        <v>15</v>
      </c>
      <c r="D76" s="11" t="s">
        <v>16</v>
      </c>
      <c r="E76" s="12" t="s">
        <v>17</v>
      </c>
      <c r="F76" s="10" t="s">
        <v>25</v>
      </c>
      <c r="G76" s="10" t="s">
        <v>29</v>
      </c>
      <c r="H76" s="10" t="s">
        <v>18</v>
      </c>
      <c r="I76" s="13">
        <v>13</v>
      </c>
      <c r="J76" s="14">
        <v>3</v>
      </c>
      <c r="K76" s="15">
        <v>10</v>
      </c>
      <c r="L76" s="16">
        <v>2650</v>
      </c>
      <c r="M76" s="17">
        <v>26500</v>
      </c>
      <c r="N76" s="41"/>
    </row>
    <row r="77" spans="1:14" ht="18" customHeight="1" x14ac:dyDescent="0.25">
      <c r="A77" s="10" t="s">
        <v>13</v>
      </c>
      <c r="B77" s="10" t="s">
        <v>14</v>
      </c>
      <c r="C77" s="11" t="s">
        <v>15</v>
      </c>
      <c r="D77" s="11" t="s">
        <v>16</v>
      </c>
      <c r="E77" s="12" t="s">
        <v>17</v>
      </c>
      <c r="F77" s="10" t="s">
        <v>30</v>
      </c>
      <c r="G77" s="10" t="s">
        <v>31</v>
      </c>
      <c r="H77" s="10" t="s">
        <v>18</v>
      </c>
      <c r="I77" s="13">
        <v>13</v>
      </c>
      <c r="J77" s="14">
        <v>3</v>
      </c>
      <c r="K77" s="15">
        <v>10</v>
      </c>
      <c r="L77" s="16">
        <v>2650</v>
      </c>
      <c r="M77" s="17">
        <v>26500</v>
      </c>
      <c r="N77" s="41"/>
    </row>
    <row r="78" spans="1:14" ht="18" customHeight="1" x14ac:dyDescent="0.25">
      <c r="A78" s="10" t="s">
        <v>13</v>
      </c>
      <c r="B78" s="10" t="s">
        <v>14</v>
      </c>
      <c r="C78" s="11" t="s">
        <v>15</v>
      </c>
      <c r="D78" s="11" t="s">
        <v>16</v>
      </c>
      <c r="E78" s="12" t="s">
        <v>17</v>
      </c>
      <c r="F78" s="10" t="s">
        <v>32</v>
      </c>
      <c r="G78" s="10" t="s">
        <v>33</v>
      </c>
      <c r="H78" s="10" t="s">
        <v>18</v>
      </c>
      <c r="I78" s="13">
        <v>13</v>
      </c>
      <c r="J78" s="14">
        <v>3</v>
      </c>
      <c r="K78" s="15">
        <v>10</v>
      </c>
      <c r="L78" s="16">
        <v>2650</v>
      </c>
      <c r="M78" s="17">
        <v>26500</v>
      </c>
      <c r="N78" s="41"/>
    </row>
    <row r="79" spans="1:14" ht="18" customHeight="1" x14ac:dyDescent="0.25">
      <c r="A79" s="10" t="s">
        <v>13</v>
      </c>
      <c r="B79" s="10" t="s">
        <v>14</v>
      </c>
      <c r="C79" s="11" t="s">
        <v>15</v>
      </c>
      <c r="D79" s="11" t="s">
        <v>16</v>
      </c>
      <c r="E79" s="12" t="s">
        <v>17</v>
      </c>
      <c r="F79" s="10" t="s">
        <v>34</v>
      </c>
      <c r="G79" s="10" t="s">
        <v>35</v>
      </c>
      <c r="H79" s="10" t="s">
        <v>18</v>
      </c>
      <c r="I79" s="13">
        <v>13</v>
      </c>
      <c r="J79" s="14">
        <v>3</v>
      </c>
      <c r="K79" s="15">
        <v>10</v>
      </c>
      <c r="L79" s="16">
        <v>2650</v>
      </c>
      <c r="M79" s="17">
        <v>26500</v>
      </c>
      <c r="N79" s="41"/>
    </row>
    <row r="80" spans="1:14" ht="18" customHeight="1" x14ac:dyDescent="0.25">
      <c r="A80" s="10" t="s">
        <v>13</v>
      </c>
      <c r="B80" s="10" t="s">
        <v>14</v>
      </c>
      <c r="C80" s="11" t="s">
        <v>15</v>
      </c>
      <c r="D80" s="11" t="s">
        <v>16</v>
      </c>
      <c r="E80" s="12" t="s">
        <v>17</v>
      </c>
      <c r="F80" s="10" t="s">
        <v>36</v>
      </c>
      <c r="G80" s="10" t="s">
        <v>37</v>
      </c>
      <c r="H80" s="10" t="s">
        <v>18</v>
      </c>
      <c r="I80" s="13">
        <v>13</v>
      </c>
      <c r="J80" s="14">
        <v>3</v>
      </c>
      <c r="K80" s="15">
        <v>10</v>
      </c>
      <c r="L80" s="16">
        <v>2650</v>
      </c>
      <c r="M80" s="17">
        <v>26500</v>
      </c>
      <c r="N80" s="41"/>
    </row>
    <row r="81" spans="1:14" ht="18" customHeight="1" x14ac:dyDescent="0.25">
      <c r="A81" s="10" t="s">
        <v>13</v>
      </c>
      <c r="B81" s="10" t="s">
        <v>14</v>
      </c>
      <c r="C81" s="11" t="s">
        <v>15</v>
      </c>
      <c r="D81" s="11" t="s">
        <v>16</v>
      </c>
      <c r="E81" s="12" t="s">
        <v>17</v>
      </c>
      <c r="F81" s="10" t="s">
        <v>38</v>
      </c>
      <c r="G81" s="10" t="s">
        <v>39</v>
      </c>
      <c r="H81" s="10" t="s">
        <v>18</v>
      </c>
      <c r="I81" s="13">
        <v>13</v>
      </c>
      <c r="J81" s="14">
        <v>3</v>
      </c>
      <c r="K81" s="15">
        <v>10</v>
      </c>
      <c r="L81" s="16">
        <v>2650</v>
      </c>
      <c r="M81" s="17">
        <v>26500</v>
      </c>
      <c r="N81" s="41"/>
    </row>
    <row r="82" spans="1:14" ht="18" customHeight="1" x14ac:dyDescent="0.25">
      <c r="A82" s="10" t="s">
        <v>13</v>
      </c>
      <c r="B82" s="10" t="s">
        <v>14</v>
      </c>
      <c r="C82" s="11" t="s">
        <v>15</v>
      </c>
      <c r="D82" s="11" t="s">
        <v>16</v>
      </c>
      <c r="E82" s="12" t="s">
        <v>17</v>
      </c>
      <c r="F82" s="10" t="s">
        <v>40</v>
      </c>
      <c r="G82" s="10" t="s">
        <v>41</v>
      </c>
      <c r="H82" s="10" t="s">
        <v>18</v>
      </c>
      <c r="I82" s="13">
        <v>13</v>
      </c>
      <c r="J82" s="14">
        <v>3</v>
      </c>
      <c r="K82" s="15">
        <v>10</v>
      </c>
      <c r="L82" s="16">
        <v>2650</v>
      </c>
      <c r="M82" s="17">
        <v>26500</v>
      </c>
      <c r="N82" s="41"/>
    </row>
    <row r="83" spans="1:14" ht="18" customHeight="1" x14ac:dyDescent="0.25">
      <c r="A83" s="10" t="s">
        <v>13</v>
      </c>
      <c r="B83" s="10" t="s">
        <v>14</v>
      </c>
      <c r="C83" s="11" t="s">
        <v>15</v>
      </c>
      <c r="D83" s="11" t="s">
        <v>16</v>
      </c>
      <c r="E83" s="12" t="s">
        <v>17</v>
      </c>
      <c r="F83" s="10" t="s">
        <v>42</v>
      </c>
      <c r="G83" s="10" t="s">
        <v>43</v>
      </c>
      <c r="H83" s="10" t="s">
        <v>18</v>
      </c>
      <c r="I83" s="13">
        <v>13</v>
      </c>
      <c r="J83" s="14">
        <v>3</v>
      </c>
      <c r="K83" s="15">
        <v>10</v>
      </c>
      <c r="L83" s="16">
        <v>2650</v>
      </c>
      <c r="M83" s="17">
        <v>26500</v>
      </c>
      <c r="N83" s="41"/>
    </row>
    <row r="84" spans="1:14" ht="18" customHeight="1" x14ac:dyDescent="0.25">
      <c r="A84" s="10" t="s">
        <v>13</v>
      </c>
      <c r="B84" s="10" t="s">
        <v>14</v>
      </c>
      <c r="C84" s="11" t="s">
        <v>15</v>
      </c>
      <c r="D84" s="11" t="s">
        <v>16</v>
      </c>
      <c r="E84" s="12" t="s">
        <v>17</v>
      </c>
      <c r="F84" s="10" t="s">
        <v>44</v>
      </c>
      <c r="G84" s="10" t="s">
        <v>45</v>
      </c>
      <c r="H84" s="10" t="s">
        <v>18</v>
      </c>
      <c r="I84" s="13">
        <v>13</v>
      </c>
      <c r="J84" s="14">
        <v>3</v>
      </c>
      <c r="K84" s="15">
        <v>10</v>
      </c>
      <c r="L84" s="16">
        <v>2650</v>
      </c>
      <c r="M84" s="17">
        <v>26500</v>
      </c>
      <c r="N84" s="41"/>
    </row>
    <row r="85" spans="1:14" ht="18" customHeight="1" x14ac:dyDescent="0.25">
      <c r="A85" s="10" t="s">
        <v>13</v>
      </c>
      <c r="B85" s="10" t="s">
        <v>14</v>
      </c>
      <c r="C85" s="11" t="s">
        <v>15</v>
      </c>
      <c r="D85" s="11" t="s">
        <v>16</v>
      </c>
      <c r="E85" s="12" t="s">
        <v>17</v>
      </c>
      <c r="F85" s="10" t="s">
        <v>46</v>
      </c>
      <c r="G85" s="10" t="s">
        <v>47</v>
      </c>
      <c r="H85" s="10" t="s">
        <v>18</v>
      </c>
      <c r="I85" s="13">
        <v>13</v>
      </c>
      <c r="J85" s="14">
        <v>3</v>
      </c>
      <c r="K85" s="15">
        <v>10</v>
      </c>
      <c r="L85" s="16">
        <v>2650</v>
      </c>
      <c r="M85" s="17">
        <v>26500</v>
      </c>
      <c r="N85" s="41"/>
    </row>
    <row r="86" spans="1:14" ht="18" customHeight="1" x14ac:dyDescent="0.25">
      <c r="A86" s="10" t="s">
        <v>13</v>
      </c>
      <c r="B86" s="10" t="s">
        <v>14</v>
      </c>
      <c r="C86" s="11" t="s">
        <v>15</v>
      </c>
      <c r="D86" s="11" t="s">
        <v>16</v>
      </c>
      <c r="E86" s="12" t="s">
        <v>17</v>
      </c>
      <c r="F86" s="10" t="s">
        <v>48</v>
      </c>
      <c r="G86" s="10" t="s">
        <v>49</v>
      </c>
      <c r="H86" s="10" t="s">
        <v>18</v>
      </c>
      <c r="I86" s="13">
        <v>13</v>
      </c>
      <c r="J86" s="14">
        <v>3</v>
      </c>
      <c r="K86" s="15">
        <v>10</v>
      </c>
      <c r="L86" s="16">
        <v>2650</v>
      </c>
      <c r="M86" s="17">
        <v>26500</v>
      </c>
      <c r="N86" s="41"/>
    </row>
    <row r="87" spans="1:14" ht="18" customHeight="1" x14ac:dyDescent="0.25">
      <c r="A87" s="10" t="s">
        <v>13</v>
      </c>
      <c r="B87" s="10" t="s">
        <v>14</v>
      </c>
      <c r="C87" s="11" t="s">
        <v>15</v>
      </c>
      <c r="D87" s="11" t="s">
        <v>16</v>
      </c>
      <c r="E87" s="12" t="s">
        <v>17</v>
      </c>
      <c r="F87" s="10" t="s">
        <v>50</v>
      </c>
      <c r="G87" s="10" t="s">
        <v>51</v>
      </c>
      <c r="H87" s="10" t="s">
        <v>18</v>
      </c>
      <c r="I87" s="13">
        <v>13</v>
      </c>
      <c r="J87" s="14">
        <v>3</v>
      </c>
      <c r="K87" s="15">
        <v>10</v>
      </c>
      <c r="L87" s="16">
        <v>2650</v>
      </c>
      <c r="M87" s="17">
        <v>26500</v>
      </c>
      <c r="N87" s="41"/>
    </row>
    <row r="88" spans="1:14" ht="18" customHeight="1" x14ac:dyDescent="0.25">
      <c r="A88" s="10" t="s">
        <v>13</v>
      </c>
      <c r="B88" s="10" t="s">
        <v>14</v>
      </c>
      <c r="C88" s="11" t="s">
        <v>15</v>
      </c>
      <c r="D88" s="11" t="s">
        <v>16</v>
      </c>
      <c r="E88" s="12" t="s">
        <v>17</v>
      </c>
      <c r="F88" s="10" t="s">
        <v>52</v>
      </c>
      <c r="G88" s="10" t="s">
        <v>53</v>
      </c>
      <c r="H88" s="10" t="s">
        <v>18</v>
      </c>
      <c r="I88" s="13">
        <v>13</v>
      </c>
      <c r="J88" s="14">
        <v>3</v>
      </c>
      <c r="K88" s="15">
        <v>10</v>
      </c>
      <c r="L88" s="16">
        <v>2650</v>
      </c>
      <c r="M88" s="17">
        <v>26500</v>
      </c>
      <c r="N88" s="41"/>
    </row>
    <row r="89" spans="1:14" ht="18" customHeight="1" x14ac:dyDescent="0.25">
      <c r="A89" s="10" t="s">
        <v>13</v>
      </c>
      <c r="B89" s="10" t="s">
        <v>14</v>
      </c>
      <c r="C89" s="11" t="s">
        <v>15</v>
      </c>
      <c r="D89" s="11" t="s">
        <v>16</v>
      </c>
      <c r="E89" s="12" t="s">
        <v>17</v>
      </c>
      <c r="F89" s="10" t="s">
        <v>54</v>
      </c>
      <c r="G89" s="10" t="s">
        <v>55</v>
      </c>
      <c r="H89" s="10" t="s">
        <v>18</v>
      </c>
      <c r="I89" s="13">
        <v>13</v>
      </c>
      <c r="J89" s="14">
        <v>3</v>
      </c>
      <c r="K89" s="15">
        <v>10</v>
      </c>
      <c r="L89" s="16">
        <v>2650</v>
      </c>
      <c r="M89" s="17">
        <v>26500</v>
      </c>
      <c r="N89" s="41"/>
    </row>
    <row r="90" spans="1:14" ht="18" customHeight="1" x14ac:dyDescent="0.25">
      <c r="A90" s="10" t="s">
        <v>13</v>
      </c>
      <c r="B90" s="10" t="s">
        <v>14</v>
      </c>
      <c r="C90" s="11" t="s">
        <v>15</v>
      </c>
      <c r="D90" s="11" t="s">
        <v>16</v>
      </c>
      <c r="E90" s="12" t="s">
        <v>17</v>
      </c>
      <c r="F90" s="10" t="s">
        <v>56</v>
      </c>
      <c r="G90" s="10" t="s">
        <v>57</v>
      </c>
      <c r="H90" s="10" t="s">
        <v>18</v>
      </c>
      <c r="I90" s="13">
        <v>13</v>
      </c>
      <c r="J90" s="14">
        <v>3</v>
      </c>
      <c r="K90" s="15">
        <v>10</v>
      </c>
      <c r="L90" s="16">
        <v>2650</v>
      </c>
      <c r="M90" s="17">
        <v>26500</v>
      </c>
      <c r="N90" s="41"/>
    </row>
    <row r="91" spans="1:14" ht="18" customHeight="1" x14ac:dyDescent="0.25">
      <c r="A91" s="10" t="s">
        <v>13</v>
      </c>
      <c r="B91" s="10" t="s">
        <v>14</v>
      </c>
      <c r="C91" s="11" t="s">
        <v>15</v>
      </c>
      <c r="D91" s="11" t="s">
        <v>16</v>
      </c>
      <c r="E91" s="12" t="s">
        <v>17</v>
      </c>
      <c r="F91" s="10" t="s">
        <v>58</v>
      </c>
      <c r="G91" s="10" t="s">
        <v>59</v>
      </c>
      <c r="H91" s="10" t="s">
        <v>18</v>
      </c>
      <c r="I91" s="13">
        <v>13</v>
      </c>
      <c r="J91" s="14">
        <v>3</v>
      </c>
      <c r="K91" s="15">
        <v>10</v>
      </c>
      <c r="L91" s="16">
        <v>2650</v>
      </c>
      <c r="M91" s="17">
        <v>26500</v>
      </c>
      <c r="N91" s="41"/>
    </row>
    <row r="92" spans="1:14" ht="18" customHeight="1" x14ac:dyDescent="0.25">
      <c r="A92" s="10" t="s">
        <v>13</v>
      </c>
      <c r="B92" s="10" t="s">
        <v>14</v>
      </c>
      <c r="C92" s="11" t="s">
        <v>15</v>
      </c>
      <c r="D92" s="11" t="s">
        <v>16</v>
      </c>
      <c r="E92" s="12" t="s">
        <v>17</v>
      </c>
      <c r="F92" s="10" t="s">
        <v>60</v>
      </c>
      <c r="G92" s="10" t="s">
        <v>61</v>
      </c>
      <c r="H92" s="10" t="s">
        <v>18</v>
      </c>
      <c r="I92" s="13">
        <v>13</v>
      </c>
      <c r="J92" s="14">
        <v>3</v>
      </c>
      <c r="K92" s="15">
        <v>10</v>
      </c>
      <c r="L92" s="16">
        <v>2650</v>
      </c>
      <c r="M92" s="17">
        <v>26500</v>
      </c>
      <c r="N92" s="41"/>
    </row>
    <row r="93" spans="1:14" ht="18" customHeight="1" x14ac:dyDescent="0.25">
      <c r="A93" s="10" t="s">
        <v>13</v>
      </c>
      <c r="B93" s="10" t="s">
        <v>14</v>
      </c>
      <c r="C93" s="11" t="s">
        <v>15</v>
      </c>
      <c r="D93" s="11" t="s">
        <v>16</v>
      </c>
      <c r="E93" s="12" t="s">
        <v>17</v>
      </c>
      <c r="F93" s="10" t="s">
        <v>62</v>
      </c>
      <c r="G93" s="10" t="s">
        <v>63</v>
      </c>
      <c r="H93" s="10" t="s">
        <v>18</v>
      </c>
      <c r="I93" s="13">
        <v>13</v>
      </c>
      <c r="J93" s="14">
        <v>3</v>
      </c>
      <c r="K93" s="15">
        <v>10</v>
      </c>
      <c r="L93" s="16">
        <v>2650</v>
      </c>
      <c r="M93" s="17">
        <v>26500</v>
      </c>
      <c r="N93" s="41"/>
    </row>
    <row r="94" spans="1:14" ht="18" customHeight="1" x14ac:dyDescent="0.25">
      <c r="A94" s="10" t="s">
        <v>13</v>
      </c>
      <c r="B94" s="10" t="s">
        <v>14</v>
      </c>
      <c r="C94" s="11" t="s">
        <v>15</v>
      </c>
      <c r="D94" s="11" t="s">
        <v>16</v>
      </c>
      <c r="E94" s="12" t="s">
        <v>17</v>
      </c>
      <c r="F94" s="10" t="s">
        <v>64</v>
      </c>
      <c r="G94" s="10" t="s">
        <v>65</v>
      </c>
      <c r="H94" s="10" t="s">
        <v>18</v>
      </c>
      <c r="I94" s="13">
        <v>13</v>
      </c>
      <c r="J94" s="14">
        <v>3</v>
      </c>
      <c r="K94" s="15">
        <v>10</v>
      </c>
      <c r="L94" s="16">
        <v>2650</v>
      </c>
      <c r="M94" s="17">
        <v>26500</v>
      </c>
      <c r="N94" s="41"/>
    </row>
    <row r="95" spans="1:14" ht="18" customHeight="1" x14ac:dyDescent="0.25">
      <c r="A95" s="10" t="s">
        <v>13</v>
      </c>
      <c r="B95" s="10" t="s">
        <v>14</v>
      </c>
      <c r="C95" s="11" t="s">
        <v>15</v>
      </c>
      <c r="D95" s="11" t="s">
        <v>16</v>
      </c>
      <c r="E95" s="12" t="s">
        <v>17</v>
      </c>
      <c r="F95" s="10" t="s">
        <v>66</v>
      </c>
      <c r="G95" s="10" t="s">
        <v>67</v>
      </c>
      <c r="H95" s="10" t="s">
        <v>18</v>
      </c>
      <c r="I95" s="13">
        <v>13</v>
      </c>
      <c r="J95" s="14">
        <v>3</v>
      </c>
      <c r="K95" s="15">
        <v>10</v>
      </c>
      <c r="L95" s="16">
        <v>2650</v>
      </c>
      <c r="M95" s="17">
        <v>26500</v>
      </c>
      <c r="N95" s="41"/>
    </row>
    <row r="96" spans="1:14" ht="18" customHeight="1" x14ac:dyDescent="0.25">
      <c r="A96" s="10" t="s">
        <v>13</v>
      </c>
      <c r="B96" s="10" t="s">
        <v>14</v>
      </c>
      <c r="C96" s="11" t="s">
        <v>15</v>
      </c>
      <c r="D96" s="11" t="s">
        <v>16</v>
      </c>
      <c r="E96" s="12" t="s">
        <v>17</v>
      </c>
      <c r="F96" s="10" t="s">
        <v>68</v>
      </c>
      <c r="G96" s="10" t="s">
        <v>69</v>
      </c>
      <c r="H96" s="10" t="s">
        <v>18</v>
      </c>
      <c r="I96" s="13">
        <v>13</v>
      </c>
      <c r="J96" s="14">
        <v>3</v>
      </c>
      <c r="K96" s="15">
        <v>10</v>
      </c>
      <c r="L96" s="16">
        <v>2650</v>
      </c>
      <c r="M96" s="17">
        <v>26500</v>
      </c>
      <c r="N96" s="41"/>
    </row>
    <row r="97" spans="1:14" ht="18" customHeight="1" x14ac:dyDescent="0.25">
      <c r="A97" s="10" t="s">
        <v>13</v>
      </c>
      <c r="B97" s="10" t="s">
        <v>14</v>
      </c>
      <c r="C97" s="11" t="s">
        <v>15</v>
      </c>
      <c r="D97" s="11" t="s">
        <v>16</v>
      </c>
      <c r="E97" s="12" t="s">
        <v>17</v>
      </c>
      <c r="F97" s="10" t="s">
        <v>70</v>
      </c>
      <c r="G97" s="10" t="s">
        <v>71</v>
      </c>
      <c r="H97" s="10" t="s">
        <v>18</v>
      </c>
      <c r="I97" s="13">
        <v>13</v>
      </c>
      <c r="J97" s="14">
        <v>3</v>
      </c>
      <c r="K97" s="15">
        <v>10</v>
      </c>
      <c r="L97" s="16">
        <v>2650</v>
      </c>
      <c r="M97" s="17">
        <v>26500</v>
      </c>
      <c r="N97" s="41"/>
    </row>
    <row r="98" spans="1:14" ht="18" customHeight="1" x14ac:dyDescent="0.25">
      <c r="A98" s="10" t="s">
        <v>13</v>
      </c>
      <c r="B98" s="10" t="s">
        <v>14</v>
      </c>
      <c r="C98" s="11" t="s">
        <v>15</v>
      </c>
      <c r="D98" s="11" t="s">
        <v>16</v>
      </c>
      <c r="E98" s="12" t="s">
        <v>17</v>
      </c>
      <c r="F98" s="10" t="s">
        <v>72</v>
      </c>
      <c r="G98" s="10" t="s">
        <v>73</v>
      </c>
      <c r="H98" s="10" t="s">
        <v>18</v>
      </c>
      <c r="I98" s="13">
        <v>13</v>
      </c>
      <c r="J98" s="14">
        <v>3</v>
      </c>
      <c r="K98" s="15">
        <v>10</v>
      </c>
      <c r="L98" s="16">
        <v>2650</v>
      </c>
      <c r="M98" s="17">
        <v>26500</v>
      </c>
      <c r="N98" s="41"/>
    </row>
    <row r="99" spans="1:14" ht="18" customHeight="1" x14ac:dyDescent="0.25">
      <c r="A99" s="10" t="s">
        <v>13</v>
      </c>
      <c r="B99" s="10" t="s">
        <v>14</v>
      </c>
      <c r="C99" s="11" t="s">
        <v>15</v>
      </c>
      <c r="D99" s="11" t="s">
        <v>16</v>
      </c>
      <c r="E99" s="12" t="s">
        <v>17</v>
      </c>
      <c r="F99" s="10" t="s">
        <v>74</v>
      </c>
      <c r="G99" s="10" t="s">
        <v>75</v>
      </c>
      <c r="H99" s="10" t="s">
        <v>18</v>
      </c>
      <c r="I99" s="13">
        <v>13</v>
      </c>
      <c r="J99" s="14">
        <v>3</v>
      </c>
      <c r="K99" s="15">
        <v>10</v>
      </c>
      <c r="L99" s="16">
        <v>2650</v>
      </c>
      <c r="M99" s="17">
        <v>26500</v>
      </c>
      <c r="N99" s="41"/>
    </row>
    <row r="100" spans="1:14" ht="18" customHeight="1" x14ac:dyDescent="0.25">
      <c r="A100" s="10" t="s">
        <v>13</v>
      </c>
      <c r="B100" s="10" t="s">
        <v>14</v>
      </c>
      <c r="C100" s="11" t="s">
        <v>15</v>
      </c>
      <c r="D100" s="11" t="s">
        <v>16</v>
      </c>
      <c r="E100" s="12" t="s">
        <v>17</v>
      </c>
      <c r="F100" s="10" t="s">
        <v>76</v>
      </c>
      <c r="G100" s="10" t="s">
        <v>77</v>
      </c>
      <c r="H100" s="10" t="s">
        <v>18</v>
      </c>
      <c r="I100" s="13">
        <v>13</v>
      </c>
      <c r="J100" s="14">
        <v>3</v>
      </c>
      <c r="K100" s="15">
        <v>10</v>
      </c>
      <c r="L100" s="16">
        <v>2650</v>
      </c>
      <c r="M100" s="17">
        <v>26500</v>
      </c>
      <c r="N100" s="41"/>
    </row>
    <row r="101" spans="1:14" ht="18" customHeight="1" x14ac:dyDescent="0.25">
      <c r="A101" s="10" t="s">
        <v>13</v>
      </c>
      <c r="B101" s="10" t="s">
        <v>14</v>
      </c>
      <c r="C101" s="11" t="s">
        <v>15</v>
      </c>
      <c r="D101" s="11" t="s">
        <v>16</v>
      </c>
      <c r="E101" s="12" t="s">
        <v>17</v>
      </c>
      <c r="F101" s="10" t="s">
        <v>78</v>
      </c>
      <c r="G101" s="10" t="s">
        <v>79</v>
      </c>
      <c r="H101" s="10" t="s">
        <v>18</v>
      </c>
      <c r="I101" s="13">
        <v>13</v>
      </c>
      <c r="J101" s="14">
        <v>3</v>
      </c>
      <c r="K101" s="15">
        <v>10</v>
      </c>
      <c r="L101" s="16">
        <v>2650</v>
      </c>
      <c r="M101" s="17">
        <v>26500</v>
      </c>
      <c r="N101" s="41"/>
    </row>
    <row r="102" spans="1:14" ht="18" customHeight="1" x14ac:dyDescent="0.25">
      <c r="A102" s="10" t="s">
        <v>13</v>
      </c>
      <c r="B102" s="10" t="s">
        <v>14</v>
      </c>
      <c r="C102" s="11" t="s">
        <v>15</v>
      </c>
      <c r="D102" s="11" t="s">
        <v>16</v>
      </c>
      <c r="E102" s="12" t="s">
        <v>17</v>
      </c>
      <c r="F102" s="10" t="s">
        <v>80</v>
      </c>
      <c r="G102" s="10" t="s">
        <v>81</v>
      </c>
      <c r="H102" s="10" t="s">
        <v>18</v>
      </c>
      <c r="I102" s="13">
        <v>13</v>
      </c>
      <c r="J102" s="14">
        <v>3</v>
      </c>
      <c r="K102" s="15">
        <v>10</v>
      </c>
      <c r="L102" s="16">
        <v>2650</v>
      </c>
      <c r="M102" s="17">
        <v>26500</v>
      </c>
      <c r="N102" s="41"/>
    </row>
    <row r="103" spans="1:14" ht="18" customHeight="1" x14ac:dyDescent="0.25">
      <c r="A103" s="10" t="s">
        <v>13</v>
      </c>
      <c r="B103" s="10" t="s">
        <v>14</v>
      </c>
      <c r="C103" s="11" t="s">
        <v>15</v>
      </c>
      <c r="D103" s="11" t="s">
        <v>16</v>
      </c>
      <c r="E103" s="12" t="s">
        <v>17</v>
      </c>
      <c r="F103" s="10" t="s">
        <v>82</v>
      </c>
      <c r="G103" s="10" t="s">
        <v>83</v>
      </c>
      <c r="H103" s="10" t="s">
        <v>18</v>
      </c>
      <c r="I103" s="13">
        <v>13</v>
      </c>
      <c r="J103" s="14">
        <v>3</v>
      </c>
      <c r="K103" s="15">
        <v>10</v>
      </c>
      <c r="L103" s="16">
        <v>2650</v>
      </c>
      <c r="M103" s="17">
        <v>26500</v>
      </c>
      <c r="N103" s="41"/>
    </row>
    <row r="104" spans="1:14" ht="18" customHeight="1" x14ac:dyDescent="0.25">
      <c r="A104" s="10" t="s">
        <v>13</v>
      </c>
      <c r="B104" s="10" t="s">
        <v>14</v>
      </c>
      <c r="C104" s="11" t="s">
        <v>15</v>
      </c>
      <c r="D104" s="11" t="s">
        <v>16</v>
      </c>
      <c r="E104" s="12" t="s">
        <v>17</v>
      </c>
      <c r="F104" s="10" t="s">
        <v>84</v>
      </c>
      <c r="G104" s="10" t="s">
        <v>85</v>
      </c>
      <c r="H104" s="10" t="s">
        <v>18</v>
      </c>
      <c r="I104" s="13">
        <v>13</v>
      </c>
      <c r="J104" s="14">
        <v>3</v>
      </c>
      <c r="K104" s="15">
        <v>10</v>
      </c>
      <c r="L104" s="16">
        <v>2650</v>
      </c>
      <c r="M104" s="17">
        <v>26500</v>
      </c>
      <c r="N104" s="41"/>
    </row>
    <row r="105" spans="1:14" ht="18" customHeight="1" x14ac:dyDescent="0.25">
      <c r="A105" s="10" t="s">
        <v>13</v>
      </c>
      <c r="B105" s="10" t="s">
        <v>14</v>
      </c>
      <c r="C105" s="11" t="s">
        <v>15</v>
      </c>
      <c r="D105" s="11" t="s">
        <v>16</v>
      </c>
      <c r="E105" s="12" t="s">
        <v>17</v>
      </c>
      <c r="F105" s="10" t="s">
        <v>86</v>
      </c>
      <c r="G105" s="10" t="s">
        <v>87</v>
      </c>
      <c r="H105" s="10" t="s">
        <v>18</v>
      </c>
      <c r="I105" s="13">
        <v>13</v>
      </c>
      <c r="J105" s="14">
        <v>3</v>
      </c>
      <c r="K105" s="15">
        <v>10</v>
      </c>
      <c r="L105" s="16">
        <v>2650</v>
      </c>
      <c r="M105" s="17">
        <v>26500</v>
      </c>
      <c r="N105" s="41"/>
    </row>
    <row r="106" spans="1:14" ht="18" customHeight="1" x14ac:dyDescent="0.25">
      <c r="A106" s="10" t="s">
        <v>13</v>
      </c>
      <c r="B106" s="10" t="s">
        <v>14</v>
      </c>
      <c r="C106" s="11" t="s">
        <v>15</v>
      </c>
      <c r="D106" s="11" t="s">
        <v>16</v>
      </c>
      <c r="E106" s="12" t="s">
        <v>17</v>
      </c>
      <c r="F106" s="10" t="s">
        <v>88</v>
      </c>
      <c r="G106" s="10" t="s">
        <v>89</v>
      </c>
      <c r="H106" s="10" t="s">
        <v>18</v>
      </c>
      <c r="I106" s="13">
        <v>13</v>
      </c>
      <c r="J106" s="14">
        <v>3</v>
      </c>
      <c r="K106" s="15">
        <v>10</v>
      </c>
      <c r="L106" s="16">
        <v>2650</v>
      </c>
      <c r="M106" s="17">
        <v>26500</v>
      </c>
      <c r="N106" s="41"/>
    </row>
    <row r="107" spans="1:14" ht="18" customHeight="1" x14ac:dyDescent="0.25">
      <c r="A107" s="10" t="s">
        <v>13</v>
      </c>
      <c r="B107" s="10" t="s">
        <v>14</v>
      </c>
      <c r="C107" s="11" t="s">
        <v>15</v>
      </c>
      <c r="D107" s="11" t="s">
        <v>16</v>
      </c>
      <c r="E107" s="12" t="s">
        <v>17</v>
      </c>
      <c r="F107" s="10" t="s">
        <v>90</v>
      </c>
      <c r="G107" s="10" t="s">
        <v>91</v>
      </c>
      <c r="H107" s="10" t="s">
        <v>18</v>
      </c>
      <c r="I107" s="13">
        <v>13</v>
      </c>
      <c r="J107" s="14">
        <v>3</v>
      </c>
      <c r="K107" s="15">
        <v>10</v>
      </c>
      <c r="L107" s="16">
        <v>2650</v>
      </c>
      <c r="M107" s="17">
        <v>26500</v>
      </c>
      <c r="N107" s="41"/>
    </row>
    <row r="108" spans="1:14" ht="18" customHeight="1" x14ac:dyDescent="0.25">
      <c r="A108" s="10" t="s">
        <v>13</v>
      </c>
      <c r="B108" s="10" t="s">
        <v>14</v>
      </c>
      <c r="C108" s="11" t="s">
        <v>15</v>
      </c>
      <c r="D108" s="11" t="s">
        <v>16</v>
      </c>
      <c r="E108" s="12" t="s">
        <v>17</v>
      </c>
      <c r="F108" s="10" t="s">
        <v>92</v>
      </c>
      <c r="G108" s="10" t="s">
        <v>93</v>
      </c>
      <c r="H108" s="10" t="s">
        <v>18</v>
      </c>
      <c r="I108" s="13">
        <v>13</v>
      </c>
      <c r="J108" s="14">
        <v>3</v>
      </c>
      <c r="K108" s="15">
        <v>10</v>
      </c>
      <c r="L108" s="16">
        <v>2650</v>
      </c>
      <c r="M108" s="17">
        <v>26500</v>
      </c>
      <c r="N108" s="41"/>
    </row>
    <row r="109" spans="1:14" ht="18" customHeight="1" x14ac:dyDescent="0.25">
      <c r="A109" s="10" t="s">
        <v>13</v>
      </c>
      <c r="B109" s="10" t="s">
        <v>14</v>
      </c>
      <c r="C109" s="11" t="s">
        <v>15</v>
      </c>
      <c r="D109" s="11" t="s">
        <v>16</v>
      </c>
      <c r="E109" s="12" t="s">
        <v>17</v>
      </c>
      <c r="F109" s="10" t="s">
        <v>94</v>
      </c>
      <c r="G109" s="10" t="s">
        <v>95</v>
      </c>
      <c r="H109" s="10" t="s">
        <v>18</v>
      </c>
      <c r="I109" s="13">
        <v>13</v>
      </c>
      <c r="J109" s="14">
        <v>3</v>
      </c>
      <c r="K109" s="15">
        <v>10</v>
      </c>
      <c r="L109" s="16">
        <v>2650</v>
      </c>
      <c r="M109" s="17">
        <v>26500</v>
      </c>
      <c r="N109" s="41"/>
    </row>
    <row r="110" spans="1:14" ht="18" customHeight="1" x14ac:dyDescent="0.25">
      <c r="A110" s="10" t="s">
        <v>13</v>
      </c>
      <c r="B110" s="10" t="s">
        <v>14</v>
      </c>
      <c r="C110" s="11" t="s">
        <v>15</v>
      </c>
      <c r="D110" s="11" t="s">
        <v>16</v>
      </c>
      <c r="E110" s="12" t="s">
        <v>17</v>
      </c>
      <c r="F110" s="10" t="s">
        <v>96</v>
      </c>
      <c r="G110" s="10" t="s">
        <v>97</v>
      </c>
      <c r="H110" s="10" t="s">
        <v>18</v>
      </c>
      <c r="I110" s="13">
        <v>13</v>
      </c>
      <c r="J110" s="14">
        <v>3</v>
      </c>
      <c r="K110" s="15">
        <v>10</v>
      </c>
      <c r="L110" s="16">
        <v>2650</v>
      </c>
      <c r="M110" s="17">
        <v>26500</v>
      </c>
      <c r="N110" s="41"/>
    </row>
    <row r="111" spans="1:14" ht="18" customHeight="1" x14ac:dyDescent="0.25">
      <c r="A111" s="10" t="s">
        <v>13</v>
      </c>
      <c r="B111" s="10" t="s">
        <v>14</v>
      </c>
      <c r="C111" s="11" t="s">
        <v>15</v>
      </c>
      <c r="D111" s="11" t="s">
        <v>16</v>
      </c>
      <c r="E111" s="12" t="s">
        <v>17</v>
      </c>
      <c r="F111" s="10" t="s">
        <v>98</v>
      </c>
      <c r="G111" s="10" t="s">
        <v>99</v>
      </c>
      <c r="H111" s="10" t="s">
        <v>18</v>
      </c>
      <c r="I111" s="13">
        <v>13</v>
      </c>
      <c r="J111" s="14">
        <v>3</v>
      </c>
      <c r="K111" s="15">
        <v>10</v>
      </c>
      <c r="L111" s="16">
        <v>2650</v>
      </c>
      <c r="M111" s="17">
        <v>26500</v>
      </c>
      <c r="N111" s="41"/>
    </row>
    <row r="112" spans="1:14" ht="18" customHeight="1" x14ac:dyDescent="0.25">
      <c r="A112" s="10" t="s">
        <v>13</v>
      </c>
      <c r="B112" s="10" t="s">
        <v>14</v>
      </c>
      <c r="C112" s="11" t="s">
        <v>15</v>
      </c>
      <c r="D112" s="11" t="s">
        <v>16</v>
      </c>
      <c r="E112" s="12" t="s">
        <v>17</v>
      </c>
      <c r="F112" s="10" t="s">
        <v>100</v>
      </c>
      <c r="G112" s="10" t="s">
        <v>101</v>
      </c>
      <c r="H112" s="10" t="s">
        <v>18</v>
      </c>
      <c r="I112" s="13">
        <v>13</v>
      </c>
      <c r="J112" s="14">
        <v>3</v>
      </c>
      <c r="K112" s="15">
        <v>10</v>
      </c>
      <c r="L112" s="16">
        <v>2650</v>
      </c>
      <c r="M112" s="17">
        <v>26500</v>
      </c>
      <c r="N112" s="41"/>
    </row>
    <row r="113" spans="1:14" ht="18" customHeight="1" x14ac:dyDescent="0.25">
      <c r="A113" s="10" t="s">
        <v>13</v>
      </c>
      <c r="B113" s="10" t="s">
        <v>14</v>
      </c>
      <c r="C113" s="11" t="s">
        <v>15</v>
      </c>
      <c r="D113" s="11" t="s">
        <v>16</v>
      </c>
      <c r="E113" s="12" t="s">
        <v>17</v>
      </c>
      <c r="F113" s="10" t="s">
        <v>102</v>
      </c>
      <c r="G113" s="10" t="s">
        <v>103</v>
      </c>
      <c r="H113" s="10" t="s">
        <v>18</v>
      </c>
      <c r="I113" s="13">
        <v>13</v>
      </c>
      <c r="J113" s="14">
        <v>3</v>
      </c>
      <c r="K113" s="15">
        <v>10</v>
      </c>
      <c r="L113" s="16">
        <v>2650</v>
      </c>
      <c r="M113" s="17">
        <v>26500</v>
      </c>
      <c r="N113" s="41"/>
    </row>
    <row r="114" spans="1:14" ht="18" customHeight="1" x14ac:dyDescent="0.25">
      <c r="A114" s="10" t="s">
        <v>13</v>
      </c>
      <c r="B114" s="10" t="s">
        <v>14</v>
      </c>
      <c r="C114" s="11" t="s">
        <v>15</v>
      </c>
      <c r="D114" s="11" t="s">
        <v>16</v>
      </c>
      <c r="E114" s="12" t="s">
        <v>17</v>
      </c>
      <c r="F114" s="10" t="s">
        <v>104</v>
      </c>
      <c r="G114" s="10" t="s">
        <v>105</v>
      </c>
      <c r="H114" s="10" t="s">
        <v>18</v>
      </c>
      <c r="I114" s="13">
        <v>13</v>
      </c>
      <c r="J114" s="14">
        <v>3</v>
      </c>
      <c r="K114" s="15">
        <v>10</v>
      </c>
      <c r="L114" s="16">
        <v>2650</v>
      </c>
      <c r="M114" s="17">
        <v>26500</v>
      </c>
      <c r="N114" s="41"/>
    </row>
    <row r="115" spans="1:14" ht="18" customHeight="1" x14ac:dyDescent="0.25">
      <c r="A115" s="10" t="s">
        <v>13</v>
      </c>
      <c r="B115" s="10" t="s">
        <v>14</v>
      </c>
      <c r="C115" s="11" t="s">
        <v>15</v>
      </c>
      <c r="D115" s="11" t="s">
        <v>16</v>
      </c>
      <c r="E115" s="12" t="s">
        <v>17</v>
      </c>
      <c r="F115" s="10" t="s">
        <v>106</v>
      </c>
      <c r="G115" s="10" t="s">
        <v>107</v>
      </c>
      <c r="H115" s="10" t="s">
        <v>18</v>
      </c>
      <c r="I115" s="13">
        <v>13</v>
      </c>
      <c r="J115" s="14">
        <v>3</v>
      </c>
      <c r="K115" s="15">
        <v>10</v>
      </c>
      <c r="L115" s="16">
        <v>2650</v>
      </c>
      <c r="M115" s="17">
        <v>26500</v>
      </c>
      <c r="N115" s="41"/>
    </row>
    <row r="116" spans="1:14" ht="18" customHeight="1" x14ac:dyDescent="0.25">
      <c r="A116" s="10" t="s">
        <v>13</v>
      </c>
      <c r="B116" s="10" t="s">
        <v>14</v>
      </c>
      <c r="C116" s="11" t="s">
        <v>15</v>
      </c>
      <c r="D116" s="11" t="s">
        <v>16</v>
      </c>
      <c r="E116" s="12" t="s">
        <v>17</v>
      </c>
      <c r="F116" s="10" t="s">
        <v>108</v>
      </c>
      <c r="G116" s="10" t="s">
        <v>109</v>
      </c>
      <c r="H116" s="10" t="s">
        <v>18</v>
      </c>
      <c r="I116" s="13">
        <v>13</v>
      </c>
      <c r="J116" s="14">
        <v>3</v>
      </c>
      <c r="K116" s="15">
        <v>10</v>
      </c>
      <c r="L116" s="16">
        <v>2650</v>
      </c>
      <c r="M116" s="17">
        <v>26500</v>
      </c>
      <c r="N116" s="41"/>
    </row>
    <row r="117" spans="1:14" ht="18" customHeight="1" x14ac:dyDescent="0.25">
      <c r="A117" s="10" t="s">
        <v>13</v>
      </c>
      <c r="B117" s="10" t="s">
        <v>14</v>
      </c>
      <c r="C117" s="11" t="s">
        <v>15</v>
      </c>
      <c r="D117" s="11" t="s">
        <v>16</v>
      </c>
      <c r="E117" s="12" t="s">
        <v>17</v>
      </c>
      <c r="F117" s="10" t="s">
        <v>110</v>
      </c>
      <c r="G117" s="10" t="s">
        <v>111</v>
      </c>
      <c r="H117" s="10" t="s">
        <v>18</v>
      </c>
      <c r="I117" s="13">
        <v>13</v>
      </c>
      <c r="J117" s="14">
        <v>3</v>
      </c>
      <c r="K117" s="15">
        <v>10</v>
      </c>
      <c r="L117" s="16">
        <v>2650</v>
      </c>
      <c r="M117" s="17">
        <v>26500</v>
      </c>
      <c r="N117" s="41"/>
    </row>
    <row r="118" spans="1:14" ht="18" customHeight="1" x14ac:dyDescent="0.25">
      <c r="A118" s="10" t="s">
        <v>13</v>
      </c>
      <c r="B118" s="10" t="s">
        <v>14</v>
      </c>
      <c r="C118" s="11" t="s">
        <v>15</v>
      </c>
      <c r="D118" s="11" t="s">
        <v>16</v>
      </c>
      <c r="E118" s="12" t="s">
        <v>17</v>
      </c>
      <c r="F118" s="10" t="s">
        <v>112</v>
      </c>
      <c r="G118" s="10" t="s">
        <v>113</v>
      </c>
      <c r="H118" s="10" t="s">
        <v>18</v>
      </c>
      <c r="I118" s="13">
        <v>13</v>
      </c>
      <c r="J118" s="14">
        <v>3</v>
      </c>
      <c r="K118" s="15">
        <v>10</v>
      </c>
      <c r="L118" s="16">
        <v>2650</v>
      </c>
      <c r="M118" s="17">
        <v>26500</v>
      </c>
      <c r="N118" s="41"/>
    </row>
    <row r="119" spans="1:14" ht="18" customHeight="1" x14ac:dyDescent="0.25">
      <c r="A119" s="10" t="s">
        <v>13</v>
      </c>
      <c r="B119" s="10" t="s">
        <v>14</v>
      </c>
      <c r="C119" s="11" t="s">
        <v>15</v>
      </c>
      <c r="D119" s="11" t="s">
        <v>16</v>
      </c>
      <c r="E119" s="12" t="s">
        <v>17</v>
      </c>
      <c r="F119" s="10" t="s">
        <v>114</v>
      </c>
      <c r="G119" s="10" t="s">
        <v>115</v>
      </c>
      <c r="H119" s="10" t="s">
        <v>18</v>
      </c>
      <c r="I119" s="13">
        <v>13</v>
      </c>
      <c r="J119" s="14">
        <v>3</v>
      </c>
      <c r="K119" s="15">
        <v>10</v>
      </c>
      <c r="L119" s="16">
        <v>2650</v>
      </c>
      <c r="M119" s="17">
        <v>26500</v>
      </c>
      <c r="N119" s="41"/>
    </row>
    <row r="120" spans="1:14" ht="18" customHeight="1" x14ac:dyDescent="0.25">
      <c r="A120" s="10" t="s">
        <v>13</v>
      </c>
      <c r="B120" s="10" t="s">
        <v>14</v>
      </c>
      <c r="C120" s="11" t="s">
        <v>15</v>
      </c>
      <c r="D120" s="11" t="s">
        <v>16</v>
      </c>
      <c r="E120" s="12" t="s">
        <v>17</v>
      </c>
      <c r="F120" s="10" t="s">
        <v>56</v>
      </c>
      <c r="G120" s="10" t="s">
        <v>116</v>
      </c>
      <c r="H120" s="10" t="s">
        <v>18</v>
      </c>
      <c r="I120" s="13">
        <v>13</v>
      </c>
      <c r="J120" s="14">
        <v>3</v>
      </c>
      <c r="K120" s="15">
        <v>10</v>
      </c>
      <c r="L120" s="16">
        <v>2650</v>
      </c>
      <c r="M120" s="17">
        <v>26500</v>
      </c>
      <c r="N120" s="41"/>
    </row>
    <row r="121" spans="1:14" ht="18" customHeight="1" x14ac:dyDescent="0.25">
      <c r="A121" s="10" t="s">
        <v>13</v>
      </c>
      <c r="B121" s="10" t="s">
        <v>117</v>
      </c>
      <c r="C121" s="11" t="s">
        <v>16</v>
      </c>
      <c r="D121" s="11" t="s">
        <v>118</v>
      </c>
      <c r="E121" s="12" t="s">
        <v>119</v>
      </c>
      <c r="F121" s="10" t="s">
        <v>120</v>
      </c>
      <c r="G121" s="10" t="s">
        <v>121</v>
      </c>
      <c r="H121" s="10" t="s">
        <v>18</v>
      </c>
      <c r="I121" s="13">
        <v>10</v>
      </c>
      <c r="J121" s="14">
        <v>3</v>
      </c>
      <c r="K121" s="15">
        <v>7</v>
      </c>
      <c r="L121" s="16">
        <v>2650</v>
      </c>
      <c r="M121" s="17">
        <v>18550</v>
      </c>
      <c r="N121" s="41"/>
    </row>
    <row r="122" spans="1:14" ht="18" customHeight="1" x14ac:dyDescent="0.25">
      <c r="A122" s="10" t="s">
        <v>13</v>
      </c>
      <c r="B122" s="10" t="s">
        <v>117</v>
      </c>
      <c r="C122" s="11" t="s">
        <v>16</v>
      </c>
      <c r="D122" s="11" t="s">
        <v>118</v>
      </c>
      <c r="E122" s="12" t="s">
        <v>119</v>
      </c>
      <c r="F122" s="10" t="s">
        <v>122</v>
      </c>
      <c r="G122" s="10" t="s">
        <v>123</v>
      </c>
      <c r="H122" s="10" t="s">
        <v>18</v>
      </c>
      <c r="I122" s="13">
        <v>10</v>
      </c>
      <c r="J122" s="14">
        <v>3</v>
      </c>
      <c r="K122" s="15">
        <v>7</v>
      </c>
      <c r="L122" s="16">
        <v>2650</v>
      </c>
      <c r="M122" s="17">
        <v>18550</v>
      </c>
      <c r="N122" s="41"/>
    </row>
    <row r="123" spans="1:14" ht="18" customHeight="1" x14ac:dyDescent="0.25">
      <c r="A123" s="10" t="s">
        <v>13</v>
      </c>
      <c r="B123" s="10" t="s">
        <v>117</v>
      </c>
      <c r="C123" s="11" t="s">
        <v>16</v>
      </c>
      <c r="D123" s="11" t="s">
        <v>118</v>
      </c>
      <c r="E123" s="12" t="s">
        <v>119</v>
      </c>
      <c r="F123" s="10" t="s">
        <v>124</v>
      </c>
      <c r="G123" s="10" t="s">
        <v>125</v>
      </c>
      <c r="H123" s="10" t="s">
        <v>18</v>
      </c>
      <c r="I123" s="13">
        <v>10</v>
      </c>
      <c r="J123" s="14">
        <v>3</v>
      </c>
      <c r="K123" s="15">
        <v>7</v>
      </c>
      <c r="L123" s="16">
        <v>2650</v>
      </c>
      <c r="M123" s="17">
        <v>18550</v>
      </c>
      <c r="N123" s="41"/>
    </row>
    <row r="124" spans="1:14" ht="18" customHeight="1" x14ac:dyDescent="0.25">
      <c r="A124" s="10" t="s">
        <v>13</v>
      </c>
      <c r="B124" s="10" t="s">
        <v>117</v>
      </c>
      <c r="C124" s="11" t="s">
        <v>16</v>
      </c>
      <c r="D124" s="11" t="s">
        <v>118</v>
      </c>
      <c r="E124" s="12" t="s">
        <v>119</v>
      </c>
      <c r="F124" s="10" t="s">
        <v>126</v>
      </c>
      <c r="G124" s="10" t="s">
        <v>127</v>
      </c>
      <c r="H124" s="10" t="s">
        <v>18</v>
      </c>
      <c r="I124" s="13">
        <v>10</v>
      </c>
      <c r="J124" s="14">
        <v>3</v>
      </c>
      <c r="K124" s="15">
        <v>7</v>
      </c>
      <c r="L124" s="16">
        <v>2650</v>
      </c>
      <c r="M124" s="17">
        <v>18550</v>
      </c>
      <c r="N124" s="41"/>
    </row>
    <row r="125" spans="1:14" ht="18" customHeight="1" x14ac:dyDescent="0.25">
      <c r="A125" s="10" t="s">
        <v>13</v>
      </c>
      <c r="B125" s="10" t="s">
        <v>117</v>
      </c>
      <c r="C125" s="11" t="s">
        <v>16</v>
      </c>
      <c r="D125" s="11" t="s">
        <v>118</v>
      </c>
      <c r="E125" s="12" t="s">
        <v>119</v>
      </c>
      <c r="F125" s="10" t="s">
        <v>128</v>
      </c>
      <c r="G125" s="10" t="s">
        <v>129</v>
      </c>
      <c r="H125" s="10" t="s">
        <v>18</v>
      </c>
      <c r="I125" s="13">
        <v>10</v>
      </c>
      <c r="J125" s="14">
        <v>3</v>
      </c>
      <c r="K125" s="15">
        <v>7</v>
      </c>
      <c r="L125" s="16">
        <v>2650</v>
      </c>
      <c r="M125" s="17">
        <v>18550</v>
      </c>
      <c r="N125" s="41"/>
    </row>
    <row r="126" spans="1:14" ht="18" customHeight="1" x14ac:dyDescent="0.25">
      <c r="A126" s="10" t="s">
        <v>13</v>
      </c>
      <c r="B126" s="10" t="s">
        <v>117</v>
      </c>
      <c r="C126" s="11" t="s">
        <v>16</v>
      </c>
      <c r="D126" s="11" t="s">
        <v>118</v>
      </c>
      <c r="E126" s="12" t="s">
        <v>119</v>
      </c>
      <c r="F126" s="10" t="s">
        <v>130</v>
      </c>
      <c r="G126" s="10" t="s">
        <v>131</v>
      </c>
      <c r="H126" s="10" t="s">
        <v>18</v>
      </c>
      <c r="I126" s="13">
        <v>10</v>
      </c>
      <c r="J126" s="14">
        <v>3</v>
      </c>
      <c r="K126" s="15">
        <v>7</v>
      </c>
      <c r="L126" s="16">
        <v>2650</v>
      </c>
      <c r="M126" s="17">
        <v>18550</v>
      </c>
      <c r="N126" s="41"/>
    </row>
    <row r="127" spans="1:14" ht="18" customHeight="1" x14ac:dyDescent="0.25">
      <c r="A127" s="10" t="s">
        <v>13</v>
      </c>
      <c r="B127" s="10" t="s">
        <v>117</v>
      </c>
      <c r="C127" s="11" t="s">
        <v>16</v>
      </c>
      <c r="D127" s="11" t="s">
        <v>118</v>
      </c>
      <c r="E127" s="12" t="s">
        <v>119</v>
      </c>
      <c r="F127" s="10" t="s">
        <v>130</v>
      </c>
      <c r="G127" s="10" t="s">
        <v>132</v>
      </c>
      <c r="H127" s="10" t="s">
        <v>18</v>
      </c>
      <c r="I127" s="13">
        <v>10</v>
      </c>
      <c r="J127" s="14">
        <v>3</v>
      </c>
      <c r="K127" s="15">
        <v>7</v>
      </c>
      <c r="L127" s="16">
        <v>2650</v>
      </c>
      <c r="M127" s="17">
        <v>18550</v>
      </c>
      <c r="N127" s="41"/>
    </row>
    <row r="128" spans="1:14" ht="18" customHeight="1" x14ac:dyDescent="0.25">
      <c r="A128" s="10" t="s">
        <v>13</v>
      </c>
      <c r="B128" s="10" t="s">
        <v>133</v>
      </c>
      <c r="C128" s="11" t="s">
        <v>134</v>
      </c>
      <c r="D128" s="11" t="s">
        <v>135</v>
      </c>
      <c r="E128" s="12" t="s">
        <v>136</v>
      </c>
      <c r="F128" s="10" t="s">
        <v>137</v>
      </c>
      <c r="G128" s="10" t="s">
        <v>138</v>
      </c>
      <c r="H128" s="10" t="s">
        <v>18</v>
      </c>
      <c r="I128" s="13">
        <v>6</v>
      </c>
      <c r="J128" s="14">
        <v>3</v>
      </c>
      <c r="K128" s="15">
        <v>3</v>
      </c>
      <c r="L128" s="16">
        <v>2650</v>
      </c>
      <c r="M128" s="17">
        <v>7950</v>
      </c>
      <c r="N128" s="41"/>
    </row>
    <row r="129" spans="1:14" ht="18" customHeight="1" x14ac:dyDescent="0.25">
      <c r="A129" s="10" t="s">
        <v>13</v>
      </c>
      <c r="B129" s="10" t="s">
        <v>133</v>
      </c>
      <c r="C129" s="11" t="s">
        <v>134</v>
      </c>
      <c r="D129" s="11" t="s">
        <v>135</v>
      </c>
      <c r="E129" s="12" t="s">
        <v>136</v>
      </c>
      <c r="F129" s="10" t="s">
        <v>139</v>
      </c>
      <c r="G129" s="10" t="s">
        <v>140</v>
      </c>
      <c r="H129" s="10" t="s">
        <v>18</v>
      </c>
      <c r="I129" s="13">
        <v>6</v>
      </c>
      <c r="J129" s="14">
        <v>3</v>
      </c>
      <c r="K129" s="15">
        <v>3</v>
      </c>
      <c r="L129" s="16">
        <v>2650</v>
      </c>
      <c r="M129" s="17">
        <v>7950</v>
      </c>
      <c r="N129" s="41"/>
    </row>
    <row r="130" spans="1:14" ht="18" customHeight="1" x14ac:dyDescent="0.25">
      <c r="A130" s="10" t="s">
        <v>13</v>
      </c>
      <c r="B130" s="10" t="s">
        <v>133</v>
      </c>
      <c r="C130" s="11" t="s">
        <v>134</v>
      </c>
      <c r="D130" s="11" t="s">
        <v>135</v>
      </c>
      <c r="E130" s="12" t="s">
        <v>136</v>
      </c>
      <c r="F130" s="10" t="s">
        <v>141</v>
      </c>
      <c r="G130" s="10" t="s">
        <v>142</v>
      </c>
      <c r="H130" s="10" t="s">
        <v>18</v>
      </c>
      <c r="I130" s="13">
        <v>6</v>
      </c>
      <c r="J130" s="14">
        <v>3</v>
      </c>
      <c r="K130" s="15">
        <v>3</v>
      </c>
      <c r="L130" s="16">
        <v>2650</v>
      </c>
      <c r="M130" s="17">
        <v>7950</v>
      </c>
      <c r="N130" s="41"/>
    </row>
    <row r="131" spans="1:14" ht="18" customHeight="1" x14ac:dyDescent="0.25">
      <c r="A131" s="10" t="s">
        <v>13</v>
      </c>
      <c r="B131" s="10" t="s">
        <v>133</v>
      </c>
      <c r="C131" s="11" t="s">
        <v>134</v>
      </c>
      <c r="D131" s="11" t="s">
        <v>135</v>
      </c>
      <c r="E131" s="12" t="s">
        <v>136</v>
      </c>
      <c r="F131" s="10" t="s">
        <v>143</v>
      </c>
      <c r="G131" s="10" t="s">
        <v>144</v>
      </c>
      <c r="H131" s="10" t="s">
        <v>18</v>
      </c>
      <c r="I131" s="13">
        <v>6</v>
      </c>
      <c r="J131" s="14">
        <v>3</v>
      </c>
      <c r="K131" s="15">
        <v>3</v>
      </c>
      <c r="L131" s="16">
        <v>2650</v>
      </c>
      <c r="M131" s="17">
        <v>7950</v>
      </c>
      <c r="N131" s="41"/>
    </row>
    <row r="132" spans="1:14" ht="18" customHeight="1" x14ac:dyDescent="0.25">
      <c r="A132" s="10" t="s">
        <v>13</v>
      </c>
      <c r="B132" s="10" t="s">
        <v>133</v>
      </c>
      <c r="C132" s="11" t="s">
        <v>134</v>
      </c>
      <c r="D132" s="11" t="s">
        <v>135</v>
      </c>
      <c r="E132" s="12" t="s">
        <v>136</v>
      </c>
      <c r="F132" s="10" t="s">
        <v>145</v>
      </c>
      <c r="G132" s="10" t="s">
        <v>146</v>
      </c>
      <c r="H132" s="10" t="s">
        <v>18</v>
      </c>
      <c r="I132" s="13">
        <v>6</v>
      </c>
      <c r="J132" s="14">
        <v>3</v>
      </c>
      <c r="K132" s="15">
        <v>3</v>
      </c>
      <c r="L132" s="16">
        <v>2650</v>
      </c>
      <c r="M132" s="17">
        <v>7950</v>
      </c>
      <c r="N132" s="41"/>
    </row>
    <row r="133" spans="1:14" ht="18" customHeight="1" x14ac:dyDescent="0.25">
      <c r="A133" s="10" t="s">
        <v>13</v>
      </c>
      <c r="B133" s="10" t="s">
        <v>133</v>
      </c>
      <c r="C133" s="11" t="s">
        <v>134</v>
      </c>
      <c r="D133" s="11" t="s">
        <v>135</v>
      </c>
      <c r="E133" s="12" t="s">
        <v>136</v>
      </c>
      <c r="F133" s="10" t="s">
        <v>147</v>
      </c>
      <c r="G133" s="10" t="s">
        <v>148</v>
      </c>
      <c r="H133" s="10" t="s">
        <v>18</v>
      </c>
      <c r="I133" s="13">
        <v>6</v>
      </c>
      <c r="J133" s="14">
        <v>3</v>
      </c>
      <c r="K133" s="15">
        <v>3</v>
      </c>
      <c r="L133" s="16">
        <v>2650</v>
      </c>
      <c r="M133" s="17">
        <v>7950</v>
      </c>
      <c r="N133" s="41"/>
    </row>
    <row r="134" spans="1:14" ht="18" customHeight="1" x14ac:dyDescent="0.25">
      <c r="A134" s="10" t="s">
        <v>13</v>
      </c>
      <c r="B134" s="10" t="s">
        <v>133</v>
      </c>
      <c r="C134" s="11" t="s">
        <v>134</v>
      </c>
      <c r="D134" s="11" t="s">
        <v>135</v>
      </c>
      <c r="E134" s="12" t="s">
        <v>136</v>
      </c>
      <c r="F134" s="10" t="s">
        <v>149</v>
      </c>
      <c r="G134" s="10" t="s">
        <v>150</v>
      </c>
      <c r="H134" s="10" t="s">
        <v>18</v>
      </c>
      <c r="I134" s="13">
        <v>6</v>
      </c>
      <c r="J134" s="14">
        <v>3</v>
      </c>
      <c r="K134" s="15">
        <v>3</v>
      </c>
      <c r="L134" s="16">
        <v>2650</v>
      </c>
      <c r="M134" s="17">
        <v>7950</v>
      </c>
      <c r="N134" s="41"/>
    </row>
    <row r="135" spans="1:14" ht="18" customHeight="1" x14ac:dyDescent="0.25">
      <c r="A135" s="10" t="s">
        <v>13</v>
      </c>
      <c r="B135" s="10" t="s">
        <v>133</v>
      </c>
      <c r="C135" s="11" t="s">
        <v>134</v>
      </c>
      <c r="D135" s="11" t="s">
        <v>135</v>
      </c>
      <c r="E135" s="12" t="s">
        <v>136</v>
      </c>
      <c r="F135" s="10" t="s">
        <v>151</v>
      </c>
      <c r="G135" s="10" t="s">
        <v>152</v>
      </c>
      <c r="H135" s="10" t="s">
        <v>18</v>
      </c>
      <c r="I135" s="13">
        <v>6</v>
      </c>
      <c r="J135" s="14">
        <v>3</v>
      </c>
      <c r="K135" s="15">
        <v>3</v>
      </c>
      <c r="L135" s="16">
        <v>2650</v>
      </c>
      <c r="M135" s="17">
        <v>7950</v>
      </c>
      <c r="N135" s="41"/>
    </row>
    <row r="136" spans="1:14" x14ac:dyDescent="0.25">
      <c r="A136" s="18" t="s">
        <v>153</v>
      </c>
      <c r="B136" s="19"/>
      <c r="C136" s="20"/>
      <c r="D136" s="20"/>
      <c r="E136" s="20"/>
      <c r="F136" s="21"/>
      <c r="G136" s="21"/>
      <c r="H136" s="21"/>
      <c r="I136" s="22">
        <f>SUM(I9:I135)</f>
        <v>1510</v>
      </c>
      <c r="J136" s="22"/>
      <c r="K136" s="22">
        <f t="shared" ref="K136:M136" si="2">SUM(K9:K135)</f>
        <v>1129</v>
      </c>
      <c r="L136" s="22"/>
      <c r="M136" s="44">
        <f>SUM(M9:M135)</f>
        <v>2919850</v>
      </c>
    </row>
    <row r="137" spans="1:14" x14ac:dyDescent="0.25">
      <c r="A137" s="23"/>
      <c r="B137" s="23"/>
      <c r="C137" s="23"/>
      <c r="D137" s="23"/>
      <c r="E137" s="24"/>
      <c r="F137" s="23"/>
      <c r="G137" s="23"/>
      <c r="H137" s="23"/>
      <c r="I137" s="25"/>
      <c r="J137" s="25"/>
      <c r="K137" s="26"/>
      <c r="L137" s="27"/>
      <c r="M137" s="23"/>
    </row>
    <row r="138" spans="1:14" x14ac:dyDescent="0.25">
      <c r="A138" s="28" t="s">
        <v>314</v>
      </c>
      <c r="B138" s="28"/>
      <c r="C138" s="28"/>
      <c r="D138" s="28"/>
      <c r="E138" s="28"/>
      <c r="F138" s="28"/>
      <c r="G138" s="28"/>
      <c r="H138" s="28"/>
      <c r="I138" s="29"/>
      <c r="J138" s="29"/>
      <c r="K138" s="30"/>
      <c r="L138" s="28"/>
      <c r="M138" s="27"/>
    </row>
    <row r="139" spans="1:14" x14ac:dyDescent="0.25">
      <c r="A139" s="28"/>
      <c r="B139" s="28"/>
      <c r="C139" s="28"/>
      <c r="D139" s="28"/>
      <c r="E139" s="28"/>
      <c r="F139" s="28"/>
      <c r="G139" s="28"/>
      <c r="H139" s="28"/>
      <c r="I139" s="29"/>
      <c r="J139" s="29"/>
      <c r="K139" s="30"/>
      <c r="L139" s="28"/>
      <c r="M139" s="27"/>
    </row>
    <row r="140" spans="1:14" x14ac:dyDescent="0.25">
      <c r="A140" s="28"/>
      <c r="B140" s="28"/>
      <c r="C140" s="28"/>
      <c r="D140" s="28"/>
      <c r="E140" s="28"/>
      <c r="F140" s="28"/>
      <c r="G140" s="28"/>
      <c r="H140" s="28"/>
      <c r="I140" s="29"/>
      <c r="J140" s="29"/>
      <c r="K140" s="30"/>
      <c r="L140" s="28"/>
      <c r="M140" s="27"/>
    </row>
    <row r="141" spans="1:14" x14ac:dyDescent="0.25">
      <c r="A141" s="31"/>
      <c r="B141" s="23"/>
      <c r="C141" s="23"/>
      <c r="D141" s="23"/>
      <c r="E141" s="23"/>
      <c r="F141" s="23"/>
      <c r="G141" s="23"/>
      <c r="H141" s="23"/>
      <c r="I141" s="25"/>
      <c r="J141" s="25"/>
      <c r="K141" s="25"/>
      <c r="L141" s="23"/>
      <c r="M141" s="23"/>
    </row>
    <row r="142" spans="1:14" x14ac:dyDescent="0.25">
      <c r="A142" s="32" t="s">
        <v>154</v>
      </c>
      <c r="B142" s="23"/>
      <c r="C142" s="23"/>
      <c r="D142" s="23"/>
      <c r="E142" s="23"/>
      <c r="F142" s="23"/>
      <c r="G142" s="23"/>
      <c r="H142" s="33"/>
      <c r="I142" s="34"/>
      <c r="J142" s="34"/>
      <c r="K142" s="35"/>
      <c r="L142" s="36"/>
      <c r="M142" s="36"/>
    </row>
    <row r="143" spans="1:14" x14ac:dyDescent="0.25">
      <c r="A143" s="37" t="s">
        <v>155</v>
      </c>
      <c r="B143" s="23"/>
      <c r="C143" s="23"/>
      <c r="D143" s="23"/>
      <c r="E143" s="23"/>
      <c r="F143" s="23"/>
      <c r="G143" s="23"/>
      <c r="H143" s="33"/>
      <c r="I143" s="34"/>
      <c r="J143" s="34"/>
      <c r="K143" s="38"/>
      <c r="L143" s="36"/>
      <c r="M143" s="27"/>
    </row>
    <row r="144" spans="1:14" x14ac:dyDescent="0.25">
      <c r="A144" s="37"/>
      <c r="B144" s="23"/>
      <c r="C144" s="23"/>
      <c r="D144" s="23"/>
      <c r="E144" s="23"/>
      <c r="F144" s="23"/>
      <c r="G144" s="23"/>
      <c r="H144" s="33"/>
      <c r="I144" s="34"/>
      <c r="J144" s="34"/>
      <c r="K144" s="38"/>
      <c r="L144" s="36"/>
      <c r="M144" s="27"/>
    </row>
    <row r="145" spans="1:13" x14ac:dyDescent="0.25">
      <c r="A145" s="39"/>
      <c r="B145" s="40"/>
      <c r="C145" s="23"/>
      <c r="D145" s="23"/>
      <c r="E145" s="23"/>
      <c r="F145" s="23"/>
      <c r="G145" s="23"/>
      <c r="H145" s="33"/>
      <c r="I145" s="34"/>
      <c r="J145" s="34"/>
      <c r="K145" s="42"/>
      <c r="L145" s="43"/>
      <c r="M145" s="27"/>
    </row>
    <row r="146" spans="1:13" x14ac:dyDescent="0.25">
      <c r="A146" s="37"/>
      <c r="B146" s="23"/>
      <c r="C146" s="23"/>
      <c r="D146" s="23"/>
      <c r="E146" s="23"/>
      <c r="F146" s="23"/>
      <c r="G146" s="23"/>
      <c r="H146" s="33"/>
      <c r="I146" s="34"/>
      <c r="J146" s="34"/>
      <c r="K146" s="38"/>
      <c r="L146" s="36"/>
      <c r="M146" s="27"/>
    </row>
    <row r="147" spans="1:13" x14ac:dyDescent="0.25">
      <c r="A147" s="23"/>
      <c r="B147" s="23"/>
      <c r="C147" s="23"/>
      <c r="D147" s="23"/>
      <c r="E147" s="23"/>
      <c r="F147" s="23"/>
      <c r="G147" s="23"/>
      <c r="H147" s="33"/>
      <c r="I147" s="34"/>
      <c r="J147" s="34"/>
      <c r="K147" s="34"/>
      <c r="L147" s="36"/>
      <c r="M147" s="27"/>
    </row>
    <row r="148" spans="1:13" x14ac:dyDescent="0.25">
      <c r="A148" s="23"/>
      <c r="B148" s="23"/>
      <c r="C148" s="23"/>
      <c r="D148" s="23"/>
      <c r="E148" s="23"/>
      <c r="F148" s="23"/>
      <c r="G148" s="23"/>
      <c r="H148" s="33"/>
      <c r="I148" s="34"/>
      <c r="J148" s="34"/>
      <c r="K148" s="34"/>
      <c r="L148" s="36"/>
      <c r="M148" s="27"/>
    </row>
  </sheetData>
  <autoFilter ref="A8:N136" xr:uid="{2297A51D-B636-4BD2-AB36-68EC95603F5D}"/>
  <mergeCells count="2">
    <mergeCell ref="A1:M4"/>
    <mergeCell ref="A6:M7"/>
  </mergeCells>
  <pageMargins left="0.19652778000000001" right="0.11805555" top="0.74791664000000002" bottom="0.74791664000000002" header="0.31527779" footer="0.31527779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сверхнорматив</vt:lpstr>
      <vt:lpstr>сверхнорматив!Область_печати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PUTILINA Ekaterina V.</dc:creator>
  <cp:lastModifiedBy>Гусева Екатерина Сергеевна</cp:lastModifiedBy>
  <cp:lastPrinted>2019-12-30T10:53:01Z</cp:lastPrinted>
  <dcterms:created xsi:type="dcterms:W3CDTF">2018-12-13T13:14:31Z</dcterms:created>
  <dcterms:modified xsi:type="dcterms:W3CDTF">2025-04-21T13:30:05Z</dcterms:modified>
</cp:coreProperties>
</file>