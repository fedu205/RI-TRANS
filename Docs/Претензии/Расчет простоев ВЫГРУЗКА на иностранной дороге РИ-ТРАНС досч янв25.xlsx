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2.Коммерческая служба\2.Отдел взаиморасчетов с клиентами и подрядчиками\Гусева Екатерина Сергеевна\КЛИЕНТЫ\РИ-ТРАНС\простои\февраль25\"/>
    </mc:Choice>
  </mc:AlternateContent>
  <xr:revisionPtr revIDLastSave="0" documentId="13_ncr:1_{832F5BEB-1EE1-4BC4-9659-0F461E12C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иложение к акту Штрафы" sheetId="5" r:id="rId1"/>
  </sheets>
  <definedNames>
    <definedName name="_xlnm._FilterDatabase" localSheetId="0" hidden="1">'Приложение к акту Штрафы'!$A$7:$Q$80</definedName>
    <definedName name="lines_1_3" localSheetId="0">'Приложение к акту Штрафы'!#REF!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0" i="5" l="1"/>
  <c r="K8" i="5"/>
  <c r="M8" i="5" s="1"/>
  <c r="O8" i="5" s="1"/>
  <c r="K9" i="5"/>
  <c r="M9" i="5" s="1"/>
  <c r="O9" i="5" s="1"/>
  <c r="K10" i="5"/>
  <c r="M10" i="5" s="1"/>
  <c r="O10" i="5" s="1"/>
  <c r="K11" i="5"/>
  <c r="M11" i="5" s="1"/>
  <c r="O11" i="5" s="1"/>
  <c r="K12" i="5"/>
  <c r="M12" i="5" s="1"/>
  <c r="O12" i="5" s="1"/>
  <c r="K13" i="5"/>
  <c r="M13" i="5" s="1"/>
  <c r="O13" i="5" s="1"/>
  <c r="K14" i="5"/>
  <c r="M14" i="5" s="1"/>
  <c r="O14" i="5" s="1"/>
  <c r="K15" i="5"/>
  <c r="M15" i="5" s="1"/>
  <c r="O15" i="5" s="1"/>
  <c r="K16" i="5"/>
  <c r="M16" i="5" s="1"/>
  <c r="O16" i="5" s="1"/>
  <c r="K17" i="5"/>
  <c r="M17" i="5" s="1"/>
  <c r="O17" i="5" s="1"/>
  <c r="K18" i="5"/>
  <c r="M18" i="5" s="1"/>
  <c r="O18" i="5" s="1"/>
  <c r="K19" i="5"/>
  <c r="M19" i="5" s="1"/>
  <c r="O19" i="5" s="1"/>
  <c r="K20" i="5"/>
  <c r="M20" i="5" s="1"/>
  <c r="O20" i="5" s="1"/>
  <c r="K21" i="5"/>
  <c r="M21" i="5" s="1"/>
  <c r="O21" i="5" s="1"/>
  <c r="K22" i="5"/>
  <c r="M22" i="5" s="1"/>
  <c r="O22" i="5" s="1"/>
  <c r="K23" i="5"/>
  <c r="M23" i="5" s="1"/>
  <c r="O23" i="5" s="1"/>
  <c r="K24" i="5"/>
  <c r="M24" i="5" s="1"/>
  <c r="O24" i="5" s="1"/>
  <c r="K25" i="5"/>
  <c r="M25" i="5" s="1"/>
  <c r="O25" i="5" s="1"/>
  <c r="K26" i="5"/>
  <c r="M26" i="5" s="1"/>
  <c r="O26" i="5" s="1"/>
  <c r="K27" i="5"/>
  <c r="M27" i="5" s="1"/>
  <c r="O27" i="5" s="1"/>
  <c r="K28" i="5"/>
  <c r="M28" i="5" s="1"/>
  <c r="O28" i="5" s="1"/>
  <c r="K29" i="5"/>
  <c r="M29" i="5" s="1"/>
  <c r="O29" i="5" s="1"/>
  <c r="K30" i="5"/>
  <c r="M30" i="5" s="1"/>
  <c r="O30" i="5" s="1"/>
  <c r="K31" i="5"/>
  <c r="M31" i="5" s="1"/>
  <c r="O31" i="5" s="1"/>
  <c r="K32" i="5"/>
  <c r="M32" i="5" s="1"/>
  <c r="O32" i="5" s="1"/>
  <c r="K33" i="5"/>
  <c r="M33" i="5" s="1"/>
  <c r="O33" i="5" s="1"/>
  <c r="K34" i="5"/>
  <c r="M34" i="5" s="1"/>
  <c r="O34" i="5" s="1"/>
  <c r="K35" i="5"/>
  <c r="M35" i="5" s="1"/>
  <c r="O35" i="5" s="1"/>
  <c r="K36" i="5"/>
  <c r="M36" i="5" s="1"/>
  <c r="O36" i="5" s="1"/>
  <c r="K37" i="5"/>
  <c r="M37" i="5" s="1"/>
  <c r="O37" i="5" s="1"/>
  <c r="K38" i="5"/>
  <c r="M38" i="5" s="1"/>
  <c r="O38" i="5" s="1"/>
  <c r="K39" i="5"/>
  <c r="M39" i="5" s="1"/>
  <c r="O39" i="5" s="1"/>
  <c r="K40" i="5"/>
  <c r="M40" i="5" s="1"/>
  <c r="O40" i="5" s="1"/>
  <c r="K41" i="5"/>
  <c r="M41" i="5" s="1"/>
  <c r="O41" i="5" s="1"/>
  <c r="K42" i="5"/>
  <c r="M42" i="5" s="1"/>
  <c r="O42" i="5" s="1"/>
  <c r="K43" i="5"/>
  <c r="M43" i="5" s="1"/>
  <c r="O43" i="5" s="1"/>
  <c r="K44" i="5"/>
  <c r="M44" i="5" s="1"/>
  <c r="O44" i="5" s="1"/>
  <c r="K45" i="5"/>
  <c r="M45" i="5" s="1"/>
  <c r="O45" i="5" s="1"/>
  <c r="K46" i="5"/>
  <c r="M46" i="5" s="1"/>
  <c r="O46" i="5" s="1"/>
  <c r="K47" i="5"/>
  <c r="M47" i="5" s="1"/>
  <c r="O47" i="5" s="1"/>
  <c r="K48" i="5"/>
  <c r="M48" i="5" s="1"/>
  <c r="O48" i="5" s="1"/>
  <c r="K49" i="5"/>
  <c r="M49" i="5" s="1"/>
  <c r="O49" i="5" s="1"/>
  <c r="K50" i="5"/>
  <c r="M50" i="5" s="1"/>
  <c r="O50" i="5" s="1"/>
  <c r="K51" i="5"/>
  <c r="M51" i="5" s="1"/>
  <c r="O51" i="5" s="1"/>
  <c r="K52" i="5"/>
  <c r="M52" i="5" s="1"/>
  <c r="O52" i="5" s="1"/>
  <c r="K53" i="5"/>
  <c r="M53" i="5" s="1"/>
  <c r="O53" i="5" s="1"/>
  <c r="K54" i="5"/>
  <c r="M54" i="5" s="1"/>
  <c r="O54" i="5" s="1"/>
  <c r="K55" i="5"/>
  <c r="M55" i="5" s="1"/>
  <c r="O55" i="5" s="1"/>
  <c r="K56" i="5"/>
  <c r="M56" i="5" s="1"/>
  <c r="O56" i="5" s="1"/>
  <c r="K57" i="5"/>
  <c r="M57" i="5" s="1"/>
  <c r="O57" i="5" s="1"/>
  <c r="K58" i="5"/>
  <c r="M58" i="5" s="1"/>
  <c r="O58" i="5" s="1"/>
  <c r="K59" i="5"/>
  <c r="M59" i="5" s="1"/>
  <c r="O59" i="5" s="1"/>
  <c r="K60" i="5"/>
  <c r="M60" i="5" s="1"/>
  <c r="O60" i="5" s="1"/>
  <c r="K61" i="5"/>
  <c r="M61" i="5" s="1"/>
  <c r="O61" i="5" s="1"/>
  <c r="K62" i="5"/>
  <c r="M62" i="5" s="1"/>
  <c r="O62" i="5" s="1"/>
  <c r="K63" i="5"/>
  <c r="M63" i="5" s="1"/>
  <c r="O63" i="5" s="1"/>
  <c r="K64" i="5"/>
  <c r="M64" i="5" s="1"/>
  <c r="O64" i="5" s="1"/>
  <c r="K65" i="5"/>
  <c r="M65" i="5" s="1"/>
  <c r="O65" i="5" s="1"/>
  <c r="K66" i="5"/>
  <c r="M66" i="5" s="1"/>
  <c r="O66" i="5" s="1"/>
  <c r="K67" i="5"/>
  <c r="M67" i="5" s="1"/>
  <c r="O67" i="5" s="1"/>
  <c r="K68" i="5"/>
  <c r="M68" i="5" s="1"/>
  <c r="O68" i="5" s="1"/>
  <c r="K69" i="5"/>
  <c r="M69" i="5" s="1"/>
  <c r="O69" i="5" s="1"/>
  <c r="K70" i="5"/>
  <c r="M70" i="5" s="1"/>
  <c r="O70" i="5" s="1"/>
  <c r="K71" i="5"/>
  <c r="M71" i="5" s="1"/>
  <c r="O71" i="5" s="1"/>
  <c r="K72" i="5"/>
  <c r="M72" i="5" s="1"/>
  <c r="O72" i="5" s="1"/>
  <c r="K73" i="5"/>
  <c r="M73" i="5" s="1"/>
  <c r="O73" i="5" s="1"/>
  <c r="K74" i="5"/>
  <c r="M74" i="5" s="1"/>
  <c r="O74" i="5" s="1"/>
  <c r="K75" i="5"/>
  <c r="M75" i="5" s="1"/>
  <c r="O75" i="5" s="1"/>
  <c r="K76" i="5"/>
  <c r="M76" i="5" s="1"/>
  <c r="O76" i="5" s="1"/>
  <c r="K77" i="5"/>
  <c r="M77" i="5" s="1"/>
  <c r="O77" i="5" s="1"/>
  <c r="K78" i="5"/>
  <c r="M78" i="5" s="1"/>
  <c r="O78" i="5" s="1"/>
  <c r="K79" i="5"/>
  <c r="M79" i="5" s="1"/>
  <c r="O79" i="5" s="1"/>
  <c r="K80" i="5" l="1"/>
  <c r="M80" i="5" l="1"/>
</calcChain>
</file>

<file path=xl/sharedStrings.xml><?xml version="1.0" encoding="utf-8"?>
<sst xmlns="http://schemas.openxmlformats.org/spreadsheetml/2006/main" count="235" uniqueCount="94">
  <si>
    <t>Станция отправления</t>
  </si>
  <si>
    <t>№ накладной</t>
  </si>
  <si>
    <t>Дата отправления со ст. погр.</t>
  </si>
  <si>
    <t>Дата прибытия на ст. выгр.</t>
  </si>
  <si>
    <t>Дата отправления со ст. выгр.</t>
  </si>
  <si>
    <t xml:space="preserve">Накладная на порожний рейс </t>
  </si>
  <si>
    <t>Номер вагона</t>
  </si>
  <si>
    <t>Станция выгрузки (простоя)</t>
  </si>
  <si>
    <t xml:space="preserve">Стоимость простоя за сутки, руб/ваг. </t>
  </si>
  <si>
    <t>ИТОГ</t>
  </si>
  <si>
    <t>ООО "Урал Логистика"</t>
  </si>
  <si>
    <t>кол-во суток на ин.тер</t>
  </si>
  <si>
    <t>прием порожнего вагона с ин. дороги</t>
  </si>
  <si>
    <t>дата сдачи груженого вагона на ин. дорогу</t>
  </si>
  <si>
    <t xml:space="preserve">Норматив нахождения вагона на ин. территории, </t>
  </si>
  <si>
    <t>Количество суток сверхнормативного использования вагонами на ин. территории</t>
  </si>
  <si>
    <t>Итого сумма</t>
  </si>
  <si>
    <t>ТОЛГОЙТ</t>
  </si>
  <si>
    <t>Расчет времени простоя вагонов на иностранной территории по Договору транспортной экспедиции № 494/2024  от 23.08.2024. между ООО «Урал Логистика» и ООО «РИ-ТРАНС»</t>
  </si>
  <si>
    <t>НУЖЬЯЛЫ</t>
  </si>
  <si>
    <t>37223559</t>
  </si>
  <si>
    <t>37223561</t>
  </si>
  <si>
    <t>37223647</t>
  </si>
  <si>
    <t>37223533</t>
  </si>
  <si>
    <t>37267355</t>
  </si>
  <si>
    <t>37257849</t>
  </si>
  <si>
    <t>37223629</t>
  </si>
  <si>
    <t>37223637</t>
  </si>
  <si>
    <t>37223638</t>
  </si>
  <si>
    <t>37223538</t>
  </si>
  <si>
    <t>37223626</t>
  </si>
  <si>
    <t>37223548</t>
  </si>
  <si>
    <t>37223551</t>
  </si>
  <si>
    <t>37223557</t>
  </si>
  <si>
    <t>37223622</t>
  </si>
  <si>
    <t>37235632</t>
  </si>
  <si>
    <t>37223640</t>
  </si>
  <si>
    <t>37223610</t>
  </si>
  <si>
    <t>37223609</t>
  </si>
  <si>
    <t>37223605</t>
  </si>
  <si>
    <t>37223620</t>
  </si>
  <si>
    <t>37257779</t>
  </si>
  <si>
    <t>37223613</t>
  </si>
  <si>
    <t>37257825</t>
  </si>
  <si>
    <t>37257813</t>
  </si>
  <si>
    <t>37223543</t>
  </si>
  <si>
    <t>37235640</t>
  </si>
  <si>
    <t>37235638</t>
  </si>
  <si>
    <t>37223619</t>
  </si>
  <si>
    <t>37223552</t>
  </si>
  <si>
    <t>37257834</t>
  </si>
  <si>
    <t>37257840</t>
  </si>
  <si>
    <t>37257754</t>
  </si>
  <si>
    <t>37223556</t>
  </si>
  <si>
    <t>37257789</t>
  </si>
  <si>
    <t>37241124</t>
  </si>
  <si>
    <t>37248882</t>
  </si>
  <si>
    <t>37257837</t>
  </si>
  <si>
    <t>37267268</t>
  </si>
  <si>
    <t>37257783</t>
  </si>
  <si>
    <t>37257811</t>
  </si>
  <si>
    <t>37257864</t>
  </si>
  <si>
    <t>37267161</t>
  </si>
  <si>
    <t>37257870</t>
  </si>
  <si>
    <t>37268115</t>
  </si>
  <si>
    <t>37257855</t>
  </si>
  <si>
    <t>37257844</t>
  </si>
  <si>
    <t>37267211</t>
  </si>
  <si>
    <t>37257881</t>
  </si>
  <si>
    <t>37257876</t>
  </si>
  <si>
    <t>37268076</t>
  </si>
  <si>
    <t>37337527</t>
  </si>
  <si>
    <t>37337537</t>
  </si>
  <si>
    <t>37337550</t>
  </si>
  <si>
    <t>37337591</t>
  </si>
  <si>
    <t>37337594</t>
  </si>
  <si>
    <t>37337596</t>
  </si>
  <si>
    <t>37337601</t>
  </si>
  <si>
    <t>37337608</t>
  </si>
  <si>
    <t>37337610</t>
  </si>
  <si>
    <t>37339514</t>
  </si>
  <si>
    <t>37340349</t>
  </si>
  <si>
    <t>37340354</t>
  </si>
  <si>
    <t>37340359</t>
  </si>
  <si>
    <t>37340363</t>
  </si>
  <si>
    <t>37340370</t>
  </si>
  <si>
    <t>37340376</t>
  </si>
  <si>
    <t>37340381</t>
  </si>
  <si>
    <t>37340386</t>
  </si>
  <si>
    <t>37339266</t>
  </si>
  <si>
    <t>37344538</t>
  </si>
  <si>
    <t>37344496</t>
  </si>
  <si>
    <t>УЛААНБААТАР</t>
  </si>
  <si>
    <t>Итого подлежит оплате за сверхнормативный простой вагонов: 1 505 200 руб. (Один миллион пятьсот пять тысяч двести рублей 00 коп.)  НДС не облагается.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</si>
</sst>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_-* #,##0.00_р_._-;\-* #,##0.00_р_._-;_-* &quot;-&quot;??_р_._-;_-@_-"/>
  </numFmts>
  <fonts count="12" x14ac:knownFonts="1">
    <font>
      <sz val="11"/>
      <color theme="1"/>
      <name val="Calibri"/>
      <family val="2"/>
      <charset val="204"/>
      <scheme val="minor"/>
    </font>
    <font>
      <sz val="12"/>
      <color theme="1"/>
      <name val="Book Antiqua"/>
      <family val="1"/>
      <charset val="204"/>
    </font>
    <font>
      <b/>
      <sz val="12"/>
      <color theme="1"/>
      <name val="Book Antiqua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Book Antiqua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Book Antiqua"/>
      <family val="1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1" applyFont="1" applyBorder="1" applyAlignment="1">
      <alignment horizontal="center" vertical="center" wrapText="1"/>
    </xf>
    <xf numFmtId="164" fontId="3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3" borderId="6" xfId="0" applyFont="1" applyFill="1" applyBorder="1"/>
    <xf numFmtId="0" fontId="6" fillId="3" borderId="6" xfId="0" applyFont="1" applyFill="1" applyBorder="1" applyAlignment="1">
      <alignment horizontal="center"/>
    </xf>
    <xf numFmtId="14" fontId="9" fillId="0" borderId="0" xfId="0" applyNumberFormat="1" applyFont="1"/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4" fontId="4" fillId="0" borderId="9" xfId="0" applyNumberFormat="1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64" fontId="6" fillId="3" borderId="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4" fontId="8" fillId="2" borderId="9" xfId="0" applyNumberFormat="1" applyFont="1" applyFill="1" applyBorder="1" applyAlignment="1">
      <alignment horizontal="center"/>
    </xf>
    <xf numFmtId="14" fontId="0" fillId="2" borderId="0" xfId="0" applyNumberForma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4" fontId="4" fillId="2" borderId="9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4" fontId="8" fillId="2" borderId="11" xfId="0" applyNumberFormat="1" applyFont="1" applyFill="1" applyBorder="1" applyAlignment="1">
      <alignment horizontal="center"/>
    </xf>
    <xf numFmtId="14" fontId="0" fillId="2" borderId="10" xfId="0" applyNumberForma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 wrapText="1"/>
    </xf>
    <xf numFmtId="14" fontId="0" fillId="2" borderId="12" xfId="0" applyNumberFormat="1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</cellXfs>
  <cellStyles count="7">
    <cellStyle name="Normal" xfId="6" xr:uid="{6120DB73-7F18-4FFE-8057-887E31FA6756}"/>
    <cellStyle name="Style 1" xfId="2" xr:uid="{00000000-0005-0000-0000-000000000000}"/>
    <cellStyle name="Style 2" xfId="3" xr:uid="{00000000-0005-0000-0000-000001000000}"/>
    <cellStyle name="Style 3" xfId="4" xr:uid="{00000000-0005-0000-0000-000002000000}"/>
    <cellStyle name="Обычный" xfId="0" builtinId="0"/>
    <cellStyle name="Финансовый" xfId="1" builtinId="3"/>
    <cellStyle name="Финансовый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zoomScale="80" zoomScaleNormal="80" workbookViewId="0">
      <selection activeCell="E7" sqref="E7"/>
    </sheetView>
  </sheetViews>
  <sheetFormatPr defaultRowHeight="15" x14ac:dyDescent="0.25"/>
  <cols>
    <col min="1" max="1" width="19.28515625" customWidth="1"/>
    <col min="2" max="2" width="12.85546875" customWidth="1"/>
    <col min="3" max="3" width="14.5703125" customWidth="1"/>
    <col min="4" max="4" width="19.85546875" customWidth="1"/>
    <col min="5" max="5" width="14.42578125" customWidth="1"/>
    <col min="6" max="6" width="13" customWidth="1"/>
    <col min="7" max="7" width="17.7109375" customWidth="1"/>
    <col min="8" max="9" width="18.140625" customWidth="1"/>
    <col min="10" max="10" width="28" customWidth="1"/>
    <col min="11" max="13" width="25.7109375" customWidth="1"/>
    <col min="14" max="14" width="16.42578125" customWidth="1"/>
    <col min="15" max="15" width="25.7109375" customWidth="1"/>
  </cols>
  <sheetData>
    <row r="1" spans="1:17" ht="15.75" customHeigh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</row>
    <row r="2" spans="1:17" ht="15.75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60.75" customHeight="1" x14ac:dyDescent="0.3">
      <c r="A3" s="6"/>
      <c r="B3" s="6"/>
      <c r="C3" s="6"/>
      <c r="D3" s="7"/>
      <c r="F3" s="7"/>
      <c r="G3" s="7"/>
      <c r="H3" s="29" t="s">
        <v>18</v>
      </c>
      <c r="I3" s="29"/>
      <c r="J3" s="29"/>
      <c r="K3" s="7"/>
      <c r="L3" s="7"/>
      <c r="M3" s="7"/>
      <c r="N3" s="7"/>
      <c r="O3" s="4"/>
      <c r="P3" s="6"/>
      <c r="Q3" s="6"/>
    </row>
    <row r="4" spans="1:17" ht="38.25" customHeight="1" x14ac:dyDescent="0.3">
      <c r="A4" s="6"/>
      <c r="B4" s="6"/>
      <c r="C4" s="6"/>
      <c r="D4" s="7"/>
      <c r="F4" s="7"/>
      <c r="G4" s="7"/>
      <c r="H4" s="15"/>
      <c r="I4" s="15"/>
      <c r="J4" s="15"/>
      <c r="K4" s="7"/>
      <c r="L4" s="7"/>
      <c r="M4" s="7"/>
      <c r="N4" s="7"/>
      <c r="O4" s="4"/>
      <c r="P4" s="6"/>
      <c r="Q4" s="6"/>
    </row>
    <row r="5" spans="1:17" ht="21" customHeight="1" x14ac:dyDescent="0.3">
      <c r="A5" s="6"/>
      <c r="B5" s="6"/>
      <c r="C5" s="6"/>
      <c r="D5" s="7"/>
      <c r="F5" s="7"/>
      <c r="G5" s="7"/>
      <c r="H5" s="15"/>
      <c r="I5" s="15"/>
      <c r="J5" s="15"/>
      <c r="K5" s="7"/>
      <c r="L5" s="7"/>
      <c r="M5" s="7"/>
      <c r="N5" s="7"/>
      <c r="O5" s="4"/>
      <c r="P5" s="6"/>
      <c r="Q5" s="6"/>
    </row>
    <row r="6" spans="1:17" ht="16.5" thickBo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0"/>
      <c r="P6" s="4"/>
      <c r="Q6" s="4"/>
    </row>
    <row r="7" spans="1:17" s="1" customFormat="1" ht="86.45" customHeight="1" x14ac:dyDescent="0.25">
      <c r="A7" s="8" t="s">
        <v>0</v>
      </c>
      <c r="B7" s="9" t="s">
        <v>1</v>
      </c>
      <c r="C7" s="9" t="s">
        <v>2</v>
      </c>
      <c r="D7" s="9" t="s">
        <v>13</v>
      </c>
      <c r="E7" s="9" t="s">
        <v>3</v>
      </c>
      <c r="F7" s="9" t="s">
        <v>4</v>
      </c>
      <c r="G7" s="9" t="s">
        <v>12</v>
      </c>
      <c r="H7" s="9" t="s">
        <v>5</v>
      </c>
      <c r="I7" s="9" t="s">
        <v>6</v>
      </c>
      <c r="J7" s="9" t="s">
        <v>7</v>
      </c>
      <c r="K7" s="9" t="s">
        <v>11</v>
      </c>
      <c r="L7" s="9" t="s">
        <v>14</v>
      </c>
      <c r="M7" s="9" t="s">
        <v>15</v>
      </c>
      <c r="N7" s="10" t="s">
        <v>8</v>
      </c>
      <c r="O7" s="11" t="s">
        <v>16</v>
      </c>
    </row>
    <row r="8" spans="1:17" s="37" customFormat="1" ht="16.5" x14ac:dyDescent="0.25">
      <c r="A8" s="30" t="s">
        <v>19</v>
      </c>
      <c r="B8" s="31" t="s">
        <v>20</v>
      </c>
      <c r="C8" s="32">
        <v>45659</v>
      </c>
      <c r="D8" s="32">
        <v>45672</v>
      </c>
      <c r="E8" s="32"/>
      <c r="F8" s="32"/>
      <c r="G8" s="33">
        <v>45684</v>
      </c>
      <c r="H8" s="31">
        <v>3800128</v>
      </c>
      <c r="I8" s="34">
        <v>75491399</v>
      </c>
      <c r="J8" s="31" t="s">
        <v>17</v>
      </c>
      <c r="K8" s="16">
        <f t="shared" ref="K8:K33" si="0">G8-D8+1</f>
        <v>13</v>
      </c>
      <c r="L8" s="35">
        <v>10</v>
      </c>
      <c r="M8" s="16">
        <f t="shared" ref="M8:M33" si="1">K8-L8</f>
        <v>3</v>
      </c>
      <c r="N8" s="36">
        <v>2650</v>
      </c>
      <c r="O8" s="16">
        <f t="shared" ref="O8:O33" si="2">M8*N8</f>
        <v>7950</v>
      </c>
    </row>
    <row r="9" spans="1:17" s="37" customFormat="1" ht="16.5" x14ac:dyDescent="0.25">
      <c r="A9" s="30" t="s">
        <v>19</v>
      </c>
      <c r="B9" s="31" t="s">
        <v>21</v>
      </c>
      <c r="C9" s="32">
        <v>45659</v>
      </c>
      <c r="D9" s="32">
        <v>45672</v>
      </c>
      <c r="E9" s="32"/>
      <c r="F9" s="38"/>
      <c r="G9" s="39">
        <v>45684</v>
      </c>
      <c r="H9" s="30">
        <v>3800127</v>
      </c>
      <c r="I9" s="34">
        <v>75491498</v>
      </c>
      <c r="J9" s="31" t="s">
        <v>17</v>
      </c>
      <c r="K9" s="16">
        <f t="shared" si="0"/>
        <v>13</v>
      </c>
      <c r="L9" s="35">
        <v>10</v>
      </c>
      <c r="M9" s="16">
        <f t="shared" si="1"/>
        <v>3</v>
      </c>
      <c r="N9" s="36">
        <v>2650</v>
      </c>
      <c r="O9" s="16">
        <f t="shared" si="2"/>
        <v>7950</v>
      </c>
    </row>
    <row r="10" spans="1:17" s="37" customFormat="1" ht="16.5" x14ac:dyDescent="0.25">
      <c r="A10" s="30" t="s">
        <v>19</v>
      </c>
      <c r="B10" s="31" t="s">
        <v>22</v>
      </c>
      <c r="C10" s="32">
        <v>45659</v>
      </c>
      <c r="D10" s="32">
        <v>45675</v>
      </c>
      <c r="E10" s="32"/>
      <c r="F10" s="38"/>
      <c r="G10" s="40">
        <v>45691</v>
      </c>
      <c r="H10" s="30">
        <v>7601690</v>
      </c>
      <c r="I10" s="34">
        <v>75491795</v>
      </c>
      <c r="J10" s="31" t="s">
        <v>17</v>
      </c>
      <c r="K10" s="16">
        <f t="shared" si="0"/>
        <v>17</v>
      </c>
      <c r="L10" s="35">
        <v>10</v>
      </c>
      <c r="M10" s="16">
        <f t="shared" si="1"/>
        <v>7</v>
      </c>
      <c r="N10" s="36">
        <v>2650</v>
      </c>
      <c r="O10" s="16">
        <f t="shared" si="2"/>
        <v>18550</v>
      </c>
    </row>
    <row r="11" spans="1:17" s="37" customFormat="1" ht="16.5" x14ac:dyDescent="0.25">
      <c r="A11" s="30" t="s">
        <v>19</v>
      </c>
      <c r="B11" s="31" t="s">
        <v>23</v>
      </c>
      <c r="C11" s="32">
        <v>45659</v>
      </c>
      <c r="D11" s="32">
        <v>45676</v>
      </c>
      <c r="E11" s="32"/>
      <c r="F11" s="38"/>
      <c r="G11" s="40">
        <v>45696</v>
      </c>
      <c r="H11" s="30">
        <v>7601973</v>
      </c>
      <c r="I11" s="34">
        <v>75491894</v>
      </c>
      <c r="J11" s="31" t="s">
        <v>17</v>
      </c>
      <c r="K11" s="16">
        <f t="shared" si="0"/>
        <v>21</v>
      </c>
      <c r="L11" s="35">
        <v>10</v>
      </c>
      <c r="M11" s="16">
        <f t="shared" si="1"/>
        <v>11</v>
      </c>
      <c r="N11" s="36">
        <v>2650</v>
      </c>
      <c r="O11" s="16">
        <f t="shared" si="2"/>
        <v>29150</v>
      </c>
    </row>
    <row r="12" spans="1:17" s="37" customFormat="1" ht="16.5" x14ac:dyDescent="0.25">
      <c r="A12" s="30" t="s">
        <v>19</v>
      </c>
      <c r="B12" s="31" t="s">
        <v>24</v>
      </c>
      <c r="C12" s="32">
        <v>45670</v>
      </c>
      <c r="D12" s="32">
        <v>45681</v>
      </c>
      <c r="E12" s="32"/>
      <c r="F12" s="38"/>
      <c r="G12" s="40">
        <v>45693</v>
      </c>
      <c r="H12" s="30">
        <v>7601852</v>
      </c>
      <c r="I12" s="34">
        <v>75492199</v>
      </c>
      <c r="J12" s="31" t="s">
        <v>17</v>
      </c>
      <c r="K12" s="16">
        <f t="shared" si="0"/>
        <v>13</v>
      </c>
      <c r="L12" s="35">
        <v>10</v>
      </c>
      <c r="M12" s="16">
        <f t="shared" si="1"/>
        <v>3</v>
      </c>
      <c r="N12" s="36">
        <v>2650</v>
      </c>
      <c r="O12" s="16">
        <f t="shared" si="2"/>
        <v>7950</v>
      </c>
    </row>
    <row r="13" spans="1:17" s="37" customFormat="1" ht="16.5" x14ac:dyDescent="0.25">
      <c r="A13" s="30" t="s">
        <v>19</v>
      </c>
      <c r="B13" s="31" t="s">
        <v>25</v>
      </c>
      <c r="C13" s="32">
        <v>45668</v>
      </c>
      <c r="D13" s="32">
        <v>45678</v>
      </c>
      <c r="E13" s="32"/>
      <c r="F13" s="38"/>
      <c r="G13" s="39">
        <v>45702</v>
      </c>
      <c r="H13" s="30">
        <v>7602308</v>
      </c>
      <c r="I13" s="34">
        <v>75492298</v>
      </c>
      <c r="J13" s="31" t="s">
        <v>17</v>
      </c>
      <c r="K13" s="16">
        <f t="shared" si="0"/>
        <v>25</v>
      </c>
      <c r="L13" s="35">
        <v>10</v>
      </c>
      <c r="M13" s="16">
        <f t="shared" si="1"/>
        <v>15</v>
      </c>
      <c r="N13" s="36">
        <v>2650</v>
      </c>
      <c r="O13" s="16">
        <f t="shared" si="2"/>
        <v>39750</v>
      </c>
    </row>
    <row r="14" spans="1:17" s="37" customFormat="1" ht="16.5" x14ac:dyDescent="0.25">
      <c r="A14" s="30" t="s">
        <v>19</v>
      </c>
      <c r="B14" s="31" t="s">
        <v>26</v>
      </c>
      <c r="C14" s="32">
        <v>45659</v>
      </c>
      <c r="D14" s="32">
        <v>45670</v>
      </c>
      <c r="E14" s="32"/>
      <c r="F14" s="38"/>
      <c r="G14" s="40">
        <v>45685</v>
      </c>
      <c r="H14" s="30">
        <v>7601377</v>
      </c>
      <c r="I14" s="34">
        <v>75492397</v>
      </c>
      <c r="J14" s="31" t="s">
        <v>17</v>
      </c>
      <c r="K14" s="16">
        <f t="shared" si="0"/>
        <v>16</v>
      </c>
      <c r="L14" s="35">
        <v>10</v>
      </c>
      <c r="M14" s="16">
        <f t="shared" si="1"/>
        <v>6</v>
      </c>
      <c r="N14" s="36">
        <v>2650</v>
      </c>
      <c r="O14" s="16">
        <f t="shared" si="2"/>
        <v>15900</v>
      </c>
    </row>
    <row r="15" spans="1:17" s="37" customFormat="1" ht="16.5" x14ac:dyDescent="0.25">
      <c r="A15" s="30" t="s">
        <v>19</v>
      </c>
      <c r="B15" s="31" t="s">
        <v>27</v>
      </c>
      <c r="C15" s="32">
        <v>45659</v>
      </c>
      <c r="D15" s="32">
        <v>45676</v>
      </c>
      <c r="E15" s="32"/>
      <c r="F15" s="38"/>
      <c r="G15" s="40">
        <v>45701</v>
      </c>
      <c r="H15" s="30">
        <v>7602235</v>
      </c>
      <c r="I15" s="34">
        <v>75492595</v>
      </c>
      <c r="J15" s="31" t="s">
        <v>17</v>
      </c>
      <c r="K15" s="16">
        <f t="shared" si="0"/>
        <v>26</v>
      </c>
      <c r="L15" s="35">
        <v>10</v>
      </c>
      <c r="M15" s="16">
        <f t="shared" si="1"/>
        <v>16</v>
      </c>
      <c r="N15" s="36">
        <v>2650</v>
      </c>
      <c r="O15" s="16">
        <f t="shared" si="2"/>
        <v>42400</v>
      </c>
    </row>
    <row r="16" spans="1:17" s="37" customFormat="1" ht="16.5" x14ac:dyDescent="0.25">
      <c r="A16" s="30" t="s">
        <v>19</v>
      </c>
      <c r="B16" s="31" t="s">
        <v>28</v>
      </c>
      <c r="C16" s="32">
        <v>45659</v>
      </c>
      <c r="D16" s="32">
        <v>45676</v>
      </c>
      <c r="E16" s="32"/>
      <c r="F16" s="38"/>
      <c r="G16" s="40">
        <v>45701</v>
      </c>
      <c r="H16" s="30">
        <v>7602235</v>
      </c>
      <c r="I16" s="34">
        <v>75492694</v>
      </c>
      <c r="J16" s="31" t="s">
        <v>17</v>
      </c>
      <c r="K16" s="16">
        <f t="shared" si="0"/>
        <v>26</v>
      </c>
      <c r="L16" s="35">
        <v>10</v>
      </c>
      <c r="M16" s="16">
        <f t="shared" si="1"/>
        <v>16</v>
      </c>
      <c r="N16" s="36">
        <v>2650</v>
      </c>
      <c r="O16" s="16">
        <f t="shared" si="2"/>
        <v>42400</v>
      </c>
    </row>
    <row r="17" spans="1:15" s="37" customFormat="1" ht="16.5" x14ac:dyDescent="0.25">
      <c r="A17" s="30" t="s">
        <v>19</v>
      </c>
      <c r="B17" s="31" t="s">
        <v>29</v>
      </c>
      <c r="C17" s="32">
        <v>45659</v>
      </c>
      <c r="D17" s="32">
        <v>45677</v>
      </c>
      <c r="E17" s="32"/>
      <c r="F17" s="38"/>
      <c r="G17" s="40">
        <v>45690</v>
      </c>
      <c r="H17" s="30">
        <v>7601617</v>
      </c>
      <c r="I17" s="34">
        <v>75492793</v>
      </c>
      <c r="J17" s="31" t="s">
        <v>17</v>
      </c>
      <c r="K17" s="16">
        <f t="shared" si="0"/>
        <v>14</v>
      </c>
      <c r="L17" s="35">
        <v>10</v>
      </c>
      <c r="M17" s="16">
        <f t="shared" si="1"/>
        <v>4</v>
      </c>
      <c r="N17" s="36">
        <v>2650</v>
      </c>
      <c r="O17" s="16">
        <f t="shared" si="2"/>
        <v>10600</v>
      </c>
    </row>
    <row r="18" spans="1:15" s="37" customFormat="1" ht="16.5" x14ac:dyDescent="0.25">
      <c r="A18" s="30" t="s">
        <v>19</v>
      </c>
      <c r="B18" s="31" t="s">
        <v>30</v>
      </c>
      <c r="C18" s="32">
        <v>45659</v>
      </c>
      <c r="D18" s="32">
        <v>45670</v>
      </c>
      <c r="E18" s="32"/>
      <c r="F18" s="38"/>
      <c r="G18" s="40">
        <v>45689</v>
      </c>
      <c r="H18" s="30">
        <v>3800152</v>
      </c>
      <c r="I18" s="34">
        <v>75492892</v>
      </c>
      <c r="J18" s="31" t="s">
        <v>17</v>
      </c>
      <c r="K18" s="16">
        <f t="shared" si="0"/>
        <v>20</v>
      </c>
      <c r="L18" s="35">
        <v>10</v>
      </c>
      <c r="M18" s="16">
        <f t="shared" si="1"/>
        <v>10</v>
      </c>
      <c r="N18" s="36">
        <v>2650</v>
      </c>
      <c r="O18" s="16">
        <f t="shared" si="2"/>
        <v>26500</v>
      </c>
    </row>
    <row r="19" spans="1:15" s="37" customFormat="1" ht="16.5" x14ac:dyDescent="0.25">
      <c r="A19" s="30" t="s">
        <v>19</v>
      </c>
      <c r="B19" s="31" t="s">
        <v>31</v>
      </c>
      <c r="C19" s="32">
        <v>45659</v>
      </c>
      <c r="D19" s="32">
        <v>45676</v>
      </c>
      <c r="E19" s="32"/>
      <c r="F19" s="38"/>
      <c r="G19" s="39">
        <v>45695</v>
      </c>
      <c r="H19" s="30">
        <v>7601972</v>
      </c>
      <c r="I19" s="34">
        <v>75493197</v>
      </c>
      <c r="J19" s="31" t="s">
        <v>17</v>
      </c>
      <c r="K19" s="16">
        <f t="shared" si="0"/>
        <v>20</v>
      </c>
      <c r="L19" s="35">
        <v>10</v>
      </c>
      <c r="M19" s="16">
        <f t="shared" si="1"/>
        <v>10</v>
      </c>
      <c r="N19" s="36">
        <v>2650</v>
      </c>
      <c r="O19" s="16">
        <f t="shared" si="2"/>
        <v>26500</v>
      </c>
    </row>
    <row r="20" spans="1:15" s="37" customFormat="1" ht="16.5" x14ac:dyDescent="0.25">
      <c r="A20" s="30" t="s">
        <v>19</v>
      </c>
      <c r="B20" s="31" t="s">
        <v>32</v>
      </c>
      <c r="C20" s="32">
        <v>45659</v>
      </c>
      <c r="D20" s="32">
        <v>45676</v>
      </c>
      <c r="E20" s="32"/>
      <c r="F20" s="38"/>
      <c r="G20" s="39">
        <v>45695</v>
      </c>
      <c r="H20" s="30">
        <v>7601972</v>
      </c>
      <c r="I20" s="34">
        <v>75493395</v>
      </c>
      <c r="J20" s="31" t="s">
        <v>17</v>
      </c>
      <c r="K20" s="16">
        <f t="shared" si="0"/>
        <v>20</v>
      </c>
      <c r="L20" s="35">
        <v>10</v>
      </c>
      <c r="M20" s="16">
        <f t="shared" si="1"/>
        <v>10</v>
      </c>
      <c r="N20" s="36">
        <v>2650</v>
      </c>
      <c r="O20" s="16">
        <f t="shared" si="2"/>
        <v>26500</v>
      </c>
    </row>
    <row r="21" spans="1:15" s="37" customFormat="1" ht="16.5" x14ac:dyDescent="0.25">
      <c r="A21" s="30" t="s">
        <v>19</v>
      </c>
      <c r="B21" s="31" t="s">
        <v>33</v>
      </c>
      <c r="C21" s="32">
        <v>45659</v>
      </c>
      <c r="D21" s="32">
        <v>45670</v>
      </c>
      <c r="E21" s="32"/>
      <c r="F21" s="38"/>
      <c r="G21" s="39">
        <v>45686</v>
      </c>
      <c r="H21" s="30">
        <v>7601441</v>
      </c>
      <c r="I21" s="34">
        <v>75493494</v>
      </c>
      <c r="J21" s="31" t="s">
        <v>17</v>
      </c>
      <c r="K21" s="16">
        <f t="shared" si="0"/>
        <v>17</v>
      </c>
      <c r="L21" s="35">
        <v>10</v>
      </c>
      <c r="M21" s="16">
        <f t="shared" si="1"/>
        <v>7</v>
      </c>
      <c r="N21" s="36">
        <v>2650</v>
      </c>
      <c r="O21" s="16">
        <f t="shared" si="2"/>
        <v>18550</v>
      </c>
    </row>
    <row r="22" spans="1:15" s="37" customFormat="1" ht="16.5" x14ac:dyDescent="0.25">
      <c r="A22" s="30" t="s">
        <v>19</v>
      </c>
      <c r="B22" s="31" t="s">
        <v>34</v>
      </c>
      <c r="C22" s="32">
        <v>45659</v>
      </c>
      <c r="D22" s="32">
        <v>45670</v>
      </c>
      <c r="E22" s="32"/>
      <c r="F22" s="38"/>
      <c r="G22" s="40">
        <v>45689</v>
      </c>
      <c r="H22" s="30">
        <v>3800151</v>
      </c>
      <c r="I22" s="34">
        <v>75493593</v>
      </c>
      <c r="J22" s="31" t="s">
        <v>17</v>
      </c>
      <c r="K22" s="16">
        <f t="shared" si="0"/>
        <v>20</v>
      </c>
      <c r="L22" s="35">
        <v>10</v>
      </c>
      <c r="M22" s="16">
        <f t="shared" si="1"/>
        <v>10</v>
      </c>
      <c r="N22" s="36">
        <v>2650</v>
      </c>
      <c r="O22" s="16">
        <f t="shared" si="2"/>
        <v>26500</v>
      </c>
    </row>
    <row r="23" spans="1:15" s="37" customFormat="1" ht="16.5" x14ac:dyDescent="0.25">
      <c r="A23" s="30" t="s">
        <v>19</v>
      </c>
      <c r="B23" s="31" t="s">
        <v>35</v>
      </c>
      <c r="C23" s="32">
        <v>45663</v>
      </c>
      <c r="D23" s="32">
        <v>45675</v>
      </c>
      <c r="E23" s="32"/>
      <c r="F23" s="38"/>
      <c r="G23" s="39">
        <v>45686</v>
      </c>
      <c r="H23" s="30">
        <v>7601485</v>
      </c>
      <c r="I23" s="34">
        <v>75493791</v>
      </c>
      <c r="J23" s="31" t="s">
        <v>17</v>
      </c>
      <c r="K23" s="16">
        <f t="shared" si="0"/>
        <v>12</v>
      </c>
      <c r="L23" s="35">
        <v>10</v>
      </c>
      <c r="M23" s="16">
        <f t="shared" si="1"/>
        <v>2</v>
      </c>
      <c r="N23" s="36">
        <v>2650</v>
      </c>
      <c r="O23" s="16">
        <f t="shared" si="2"/>
        <v>5300</v>
      </c>
    </row>
    <row r="24" spans="1:15" s="37" customFormat="1" ht="16.5" x14ac:dyDescent="0.25">
      <c r="A24" s="30" t="s">
        <v>19</v>
      </c>
      <c r="B24" s="31" t="s">
        <v>36</v>
      </c>
      <c r="C24" s="32">
        <v>45659</v>
      </c>
      <c r="D24" s="32">
        <v>45676</v>
      </c>
      <c r="E24" s="32"/>
      <c r="F24" s="38"/>
      <c r="G24" s="40">
        <v>45701</v>
      </c>
      <c r="H24" s="30">
        <v>7602235</v>
      </c>
      <c r="I24" s="34">
        <v>75494195</v>
      </c>
      <c r="J24" s="31" t="s">
        <v>17</v>
      </c>
      <c r="K24" s="16">
        <f t="shared" si="0"/>
        <v>26</v>
      </c>
      <c r="L24" s="35">
        <v>10</v>
      </c>
      <c r="M24" s="16">
        <f t="shared" si="1"/>
        <v>16</v>
      </c>
      <c r="N24" s="36">
        <v>2650</v>
      </c>
      <c r="O24" s="16">
        <f t="shared" si="2"/>
        <v>42400</v>
      </c>
    </row>
    <row r="25" spans="1:15" s="37" customFormat="1" ht="16.5" x14ac:dyDescent="0.25">
      <c r="A25" s="30" t="s">
        <v>19</v>
      </c>
      <c r="B25" s="31" t="s">
        <v>37</v>
      </c>
      <c r="C25" s="32">
        <v>45659</v>
      </c>
      <c r="D25" s="32">
        <v>45670</v>
      </c>
      <c r="E25" s="32"/>
      <c r="F25" s="38"/>
      <c r="G25" s="40">
        <v>45689</v>
      </c>
      <c r="H25" s="30">
        <v>3800147</v>
      </c>
      <c r="I25" s="34">
        <v>75505198</v>
      </c>
      <c r="J25" s="31" t="s">
        <v>17</v>
      </c>
      <c r="K25" s="16">
        <f t="shared" si="0"/>
        <v>20</v>
      </c>
      <c r="L25" s="35">
        <v>10</v>
      </c>
      <c r="M25" s="16">
        <f t="shared" si="1"/>
        <v>10</v>
      </c>
      <c r="N25" s="36">
        <v>2650</v>
      </c>
      <c r="O25" s="16">
        <f t="shared" si="2"/>
        <v>26500</v>
      </c>
    </row>
    <row r="26" spans="1:15" s="37" customFormat="1" ht="16.5" x14ac:dyDescent="0.25">
      <c r="A26" s="30" t="s">
        <v>19</v>
      </c>
      <c r="B26" s="31" t="s">
        <v>38</v>
      </c>
      <c r="C26" s="32">
        <v>45659</v>
      </c>
      <c r="D26" s="32">
        <v>45670</v>
      </c>
      <c r="E26" s="32"/>
      <c r="F26" s="38"/>
      <c r="G26" s="40">
        <v>45689</v>
      </c>
      <c r="H26" s="30">
        <v>3800145</v>
      </c>
      <c r="I26" s="34">
        <v>75505297</v>
      </c>
      <c r="J26" s="31" t="s">
        <v>17</v>
      </c>
      <c r="K26" s="16">
        <f t="shared" si="0"/>
        <v>20</v>
      </c>
      <c r="L26" s="35">
        <v>10</v>
      </c>
      <c r="M26" s="16">
        <f t="shared" si="1"/>
        <v>10</v>
      </c>
      <c r="N26" s="36">
        <v>2650</v>
      </c>
      <c r="O26" s="16">
        <f t="shared" si="2"/>
        <v>26500</v>
      </c>
    </row>
    <row r="27" spans="1:15" s="37" customFormat="1" ht="16.5" x14ac:dyDescent="0.25">
      <c r="A27" s="30" t="s">
        <v>19</v>
      </c>
      <c r="B27" s="31" t="s">
        <v>39</v>
      </c>
      <c r="C27" s="32">
        <v>45659</v>
      </c>
      <c r="D27" s="32">
        <v>45670</v>
      </c>
      <c r="E27" s="32"/>
      <c r="F27" s="38"/>
      <c r="G27" s="40">
        <v>45689</v>
      </c>
      <c r="H27" s="30">
        <v>3800146</v>
      </c>
      <c r="I27" s="34">
        <v>75505396</v>
      </c>
      <c r="J27" s="31" t="s">
        <v>17</v>
      </c>
      <c r="K27" s="16">
        <f t="shared" si="0"/>
        <v>20</v>
      </c>
      <c r="L27" s="35">
        <v>10</v>
      </c>
      <c r="M27" s="16">
        <f t="shared" si="1"/>
        <v>10</v>
      </c>
      <c r="N27" s="36">
        <v>2650</v>
      </c>
      <c r="O27" s="16">
        <f t="shared" si="2"/>
        <v>26500</v>
      </c>
    </row>
    <row r="28" spans="1:15" s="37" customFormat="1" ht="16.5" x14ac:dyDescent="0.25">
      <c r="A28" s="30" t="s">
        <v>19</v>
      </c>
      <c r="B28" s="31" t="s">
        <v>40</v>
      </c>
      <c r="C28" s="32">
        <v>45659</v>
      </c>
      <c r="D28" s="32">
        <v>45670</v>
      </c>
      <c r="E28" s="32"/>
      <c r="F28" s="38"/>
      <c r="G28" s="40">
        <v>45689</v>
      </c>
      <c r="H28" s="30">
        <v>3800149</v>
      </c>
      <c r="I28" s="34">
        <v>75505693</v>
      </c>
      <c r="J28" s="31" t="s">
        <v>17</v>
      </c>
      <c r="K28" s="16">
        <f t="shared" si="0"/>
        <v>20</v>
      </c>
      <c r="L28" s="35">
        <v>10</v>
      </c>
      <c r="M28" s="16">
        <f t="shared" si="1"/>
        <v>10</v>
      </c>
      <c r="N28" s="36">
        <v>2650</v>
      </c>
      <c r="O28" s="16">
        <f t="shared" si="2"/>
        <v>26500</v>
      </c>
    </row>
    <row r="29" spans="1:15" s="37" customFormat="1" ht="16.5" x14ac:dyDescent="0.25">
      <c r="A29" s="30" t="s">
        <v>19</v>
      </c>
      <c r="B29" s="31" t="s">
        <v>41</v>
      </c>
      <c r="C29" s="32">
        <v>45668</v>
      </c>
      <c r="D29" s="32">
        <v>45678</v>
      </c>
      <c r="E29" s="32"/>
      <c r="F29" s="38"/>
      <c r="G29" s="40">
        <v>45705</v>
      </c>
      <c r="H29" s="30">
        <v>7602451</v>
      </c>
      <c r="I29" s="34">
        <v>75505891</v>
      </c>
      <c r="J29" s="31" t="s">
        <v>17</v>
      </c>
      <c r="K29" s="16">
        <f t="shared" si="0"/>
        <v>28</v>
      </c>
      <c r="L29" s="35">
        <v>10</v>
      </c>
      <c r="M29" s="16">
        <f t="shared" si="1"/>
        <v>18</v>
      </c>
      <c r="N29" s="36">
        <v>2650</v>
      </c>
      <c r="O29" s="16">
        <f t="shared" si="2"/>
        <v>47700</v>
      </c>
    </row>
    <row r="30" spans="1:15" s="37" customFormat="1" ht="16.5" x14ac:dyDescent="0.25">
      <c r="A30" s="30" t="s">
        <v>19</v>
      </c>
      <c r="B30" s="31" t="s">
        <v>42</v>
      </c>
      <c r="C30" s="32">
        <v>45659</v>
      </c>
      <c r="D30" s="32">
        <v>45670</v>
      </c>
      <c r="E30" s="32"/>
      <c r="F30" s="38"/>
      <c r="G30" s="40">
        <v>45689</v>
      </c>
      <c r="H30" s="30">
        <v>3800148</v>
      </c>
      <c r="I30" s="34">
        <v>75505990</v>
      </c>
      <c r="J30" s="31" t="s">
        <v>17</v>
      </c>
      <c r="K30" s="16">
        <f t="shared" si="0"/>
        <v>20</v>
      </c>
      <c r="L30" s="35">
        <v>10</v>
      </c>
      <c r="M30" s="16">
        <f t="shared" si="1"/>
        <v>10</v>
      </c>
      <c r="N30" s="36">
        <v>2650</v>
      </c>
      <c r="O30" s="16">
        <f t="shared" si="2"/>
        <v>26500</v>
      </c>
    </row>
    <row r="31" spans="1:15" s="37" customFormat="1" ht="16.5" x14ac:dyDescent="0.25">
      <c r="A31" s="30" t="s">
        <v>19</v>
      </c>
      <c r="B31" s="31" t="s">
        <v>43</v>
      </c>
      <c r="C31" s="32">
        <v>45668</v>
      </c>
      <c r="D31" s="32">
        <v>45678</v>
      </c>
      <c r="E31" s="32"/>
      <c r="F31" s="38"/>
      <c r="G31" s="39">
        <v>45702</v>
      </c>
      <c r="H31" s="30">
        <v>7602307</v>
      </c>
      <c r="I31" s="34">
        <v>75506097</v>
      </c>
      <c r="J31" s="31" t="s">
        <v>17</v>
      </c>
      <c r="K31" s="16">
        <f t="shared" si="0"/>
        <v>25</v>
      </c>
      <c r="L31" s="35">
        <v>10</v>
      </c>
      <c r="M31" s="16">
        <f t="shared" si="1"/>
        <v>15</v>
      </c>
      <c r="N31" s="36">
        <v>2650</v>
      </c>
      <c r="O31" s="16">
        <f t="shared" si="2"/>
        <v>39750</v>
      </c>
    </row>
    <row r="32" spans="1:15" s="37" customFormat="1" ht="16.5" x14ac:dyDescent="0.25">
      <c r="A32" s="30" t="s">
        <v>19</v>
      </c>
      <c r="B32" s="31" t="s">
        <v>44</v>
      </c>
      <c r="C32" s="32">
        <v>45668</v>
      </c>
      <c r="D32" s="32">
        <v>45678</v>
      </c>
      <c r="E32" s="32"/>
      <c r="F32" s="38"/>
      <c r="G32" s="39">
        <v>45702</v>
      </c>
      <c r="H32" s="30">
        <v>7602307</v>
      </c>
      <c r="I32" s="34">
        <v>75506196</v>
      </c>
      <c r="J32" s="31" t="s">
        <v>17</v>
      </c>
      <c r="K32" s="16">
        <f t="shared" si="0"/>
        <v>25</v>
      </c>
      <c r="L32" s="35">
        <v>10</v>
      </c>
      <c r="M32" s="16">
        <f t="shared" si="1"/>
        <v>15</v>
      </c>
      <c r="N32" s="36">
        <v>2650</v>
      </c>
      <c r="O32" s="16">
        <f t="shared" si="2"/>
        <v>39750</v>
      </c>
    </row>
    <row r="33" spans="1:15" s="37" customFormat="1" ht="16.5" x14ac:dyDescent="0.25">
      <c r="A33" s="30" t="s">
        <v>19</v>
      </c>
      <c r="B33" s="31" t="s">
        <v>45</v>
      </c>
      <c r="C33" s="32">
        <v>45659</v>
      </c>
      <c r="D33" s="32">
        <v>45676</v>
      </c>
      <c r="E33" s="32"/>
      <c r="F33" s="38"/>
      <c r="G33" s="39">
        <v>45695</v>
      </c>
      <c r="H33" s="30">
        <v>7601972</v>
      </c>
      <c r="I33" s="34">
        <v>75506295</v>
      </c>
      <c r="J33" s="31" t="s">
        <v>17</v>
      </c>
      <c r="K33" s="16">
        <f t="shared" si="0"/>
        <v>20</v>
      </c>
      <c r="L33" s="35">
        <v>10</v>
      </c>
      <c r="M33" s="16">
        <f t="shared" si="1"/>
        <v>10</v>
      </c>
      <c r="N33" s="36">
        <v>2650</v>
      </c>
      <c r="O33" s="16">
        <f t="shared" si="2"/>
        <v>26500</v>
      </c>
    </row>
    <row r="34" spans="1:15" s="37" customFormat="1" ht="16.5" x14ac:dyDescent="0.25">
      <c r="A34" s="30" t="s">
        <v>19</v>
      </c>
      <c r="B34" s="31" t="s">
        <v>46</v>
      </c>
      <c r="C34" s="32">
        <v>45663</v>
      </c>
      <c r="D34" s="32">
        <v>45675</v>
      </c>
      <c r="E34" s="32"/>
      <c r="F34" s="38"/>
      <c r="G34" s="39">
        <v>45686</v>
      </c>
      <c r="H34" s="30">
        <v>7601485</v>
      </c>
      <c r="I34" s="34">
        <v>75506394</v>
      </c>
      <c r="J34" s="31" t="s">
        <v>17</v>
      </c>
      <c r="K34" s="16">
        <f t="shared" ref="K34:K79" si="3">G34-D34+1</f>
        <v>12</v>
      </c>
      <c r="L34" s="35">
        <v>10</v>
      </c>
      <c r="M34" s="16">
        <f t="shared" ref="M34:M79" si="4">K34-L34</f>
        <v>2</v>
      </c>
      <c r="N34" s="36">
        <v>2650</v>
      </c>
      <c r="O34" s="16">
        <f t="shared" ref="O34:O79" si="5">M34*N34</f>
        <v>5300</v>
      </c>
    </row>
    <row r="35" spans="1:15" s="37" customFormat="1" ht="16.5" x14ac:dyDescent="0.25">
      <c r="A35" s="30" t="s">
        <v>19</v>
      </c>
      <c r="B35" s="31" t="s">
        <v>47</v>
      </c>
      <c r="C35" s="32">
        <v>45663</v>
      </c>
      <c r="D35" s="32">
        <v>45675</v>
      </c>
      <c r="E35" s="32"/>
      <c r="F35" s="38"/>
      <c r="G35" s="39">
        <v>45686</v>
      </c>
      <c r="H35" s="30">
        <v>7601485</v>
      </c>
      <c r="I35" s="34">
        <v>75506493</v>
      </c>
      <c r="J35" s="31" t="s">
        <v>17</v>
      </c>
      <c r="K35" s="16">
        <f t="shared" si="3"/>
        <v>12</v>
      </c>
      <c r="L35" s="35">
        <v>10</v>
      </c>
      <c r="M35" s="16">
        <f t="shared" si="4"/>
        <v>2</v>
      </c>
      <c r="N35" s="36">
        <v>2650</v>
      </c>
      <c r="O35" s="16">
        <f t="shared" si="5"/>
        <v>5300</v>
      </c>
    </row>
    <row r="36" spans="1:15" s="37" customFormat="1" ht="16.5" x14ac:dyDescent="0.25">
      <c r="A36" s="30" t="s">
        <v>19</v>
      </c>
      <c r="B36" s="31" t="s">
        <v>48</v>
      </c>
      <c r="C36" s="32">
        <v>45659</v>
      </c>
      <c r="D36" s="32">
        <v>45670</v>
      </c>
      <c r="E36" s="32"/>
      <c r="F36" s="38"/>
      <c r="G36" s="40">
        <v>45689</v>
      </c>
      <c r="H36" s="30">
        <v>3800150</v>
      </c>
      <c r="I36" s="34">
        <v>75506592</v>
      </c>
      <c r="J36" s="31" t="s">
        <v>17</v>
      </c>
      <c r="K36" s="16">
        <f t="shared" si="3"/>
        <v>20</v>
      </c>
      <c r="L36" s="35">
        <v>10</v>
      </c>
      <c r="M36" s="16">
        <f t="shared" si="4"/>
        <v>10</v>
      </c>
      <c r="N36" s="36">
        <v>2650</v>
      </c>
      <c r="O36" s="16">
        <f t="shared" si="5"/>
        <v>26500</v>
      </c>
    </row>
    <row r="37" spans="1:15" s="37" customFormat="1" ht="16.5" x14ac:dyDescent="0.25">
      <c r="A37" s="30" t="s">
        <v>19</v>
      </c>
      <c r="B37" s="31" t="s">
        <v>49</v>
      </c>
      <c r="C37" s="32">
        <v>45659</v>
      </c>
      <c r="D37" s="32">
        <v>45680</v>
      </c>
      <c r="E37" s="32"/>
      <c r="F37" s="38"/>
      <c r="G37" s="40">
        <v>45695</v>
      </c>
      <c r="H37" s="30">
        <v>7601932</v>
      </c>
      <c r="I37" s="34">
        <v>75506691</v>
      </c>
      <c r="J37" s="31" t="s">
        <v>17</v>
      </c>
      <c r="K37" s="16">
        <f t="shared" si="3"/>
        <v>16</v>
      </c>
      <c r="L37" s="35">
        <v>10</v>
      </c>
      <c r="M37" s="16">
        <f t="shared" si="4"/>
        <v>6</v>
      </c>
      <c r="N37" s="36">
        <v>2650</v>
      </c>
      <c r="O37" s="16">
        <f t="shared" si="5"/>
        <v>15900</v>
      </c>
    </row>
    <row r="38" spans="1:15" s="37" customFormat="1" ht="16.5" x14ac:dyDescent="0.25">
      <c r="A38" s="30" t="s">
        <v>19</v>
      </c>
      <c r="B38" s="31" t="s">
        <v>50</v>
      </c>
      <c r="C38" s="32">
        <v>45668</v>
      </c>
      <c r="D38" s="32">
        <v>45678</v>
      </c>
      <c r="E38" s="32"/>
      <c r="F38" s="38"/>
      <c r="G38" s="39">
        <v>45702</v>
      </c>
      <c r="H38" s="30">
        <v>7602308</v>
      </c>
      <c r="I38" s="34">
        <v>75506790</v>
      </c>
      <c r="J38" s="31" t="s">
        <v>17</v>
      </c>
      <c r="K38" s="16">
        <f t="shared" si="3"/>
        <v>25</v>
      </c>
      <c r="L38" s="35">
        <v>10</v>
      </c>
      <c r="M38" s="16">
        <f t="shared" si="4"/>
        <v>15</v>
      </c>
      <c r="N38" s="36">
        <v>2650</v>
      </c>
      <c r="O38" s="16">
        <f t="shared" si="5"/>
        <v>39750</v>
      </c>
    </row>
    <row r="39" spans="1:15" s="37" customFormat="1" ht="16.5" x14ac:dyDescent="0.25">
      <c r="A39" s="30" t="s">
        <v>19</v>
      </c>
      <c r="B39" s="31" t="s">
        <v>51</v>
      </c>
      <c r="C39" s="32">
        <v>45668</v>
      </c>
      <c r="D39" s="32">
        <v>45678</v>
      </c>
      <c r="E39" s="32"/>
      <c r="F39" s="38"/>
      <c r="G39" s="39">
        <v>45702</v>
      </c>
      <c r="H39" s="30">
        <v>7602308</v>
      </c>
      <c r="I39" s="34">
        <v>75506899</v>
      </c>
      <c r="J39" s="31" t="s">
        <v>17</v>
      </c>
      <c r="K39" s="16">
        <f t="shared" si="3"/>
        <v>25</v>
      </c>
      <c r="L39" s="35">
        <v>10</v>
      </c>
      <c r="M39" s="16">
        <f t="shared" si="4"/>
        <v>15</v>
      </c>
      <c r="N39" s="36">
        <v>2650</v>
      </c>
      <c r="O39" s="16">
        <f t="shared" si="5"/>
        <v>39750</v>
      </c>
    </row>
    <row r="40" spans="1:15" s="37" customFormat="1" ht="16.5" x14ac:dyDescent="0.25">
      <c r="A40" s="30" t="s">
        <v>19</v>
      </c>
      <c r="B40" s="31" t="s">
        <v>52</v>
      </c>
      <c r="C40" s="32">
        <v>45668</v>
      </c>
      <c r="D40" s="32">
        <v>45678</v>
      </c>
      <c r="E40" s="32"/>
      <c r="F40" s="38"/>
      <c r="G40" s="40">
        <v>45705</v>
      </c>
      <c r="H40" s="30">
        <v>7602451</v>
      </c>
      <c r="I40" s="34">
        <v>75506998</v>
      </c>
      <c r="J40" s="31" t="s">
        <v>17</v>
      </c>
      <c r="K40" s="16">
        <f t="shared" si="3"/>
        <v>28</v>
      </c>
      <c r="L40" s="35">
        <v>10</v>
      </c>
      <c r="M40" s="16">
        <f t="shared" si="4"/>
        <v>18</v>
      </c>
      <c r="N40" s="36">
        <v>2650</v>
      </c>
      <c r="O40" s="16">
        <f t="shared" si="5"/>
        <v>47700</v>
      </c>
    </row>
    <row r="41" spans="1:15" s="37" customFormat="1" ht="16.5" x14ac:dyDescent="0.25">
      <c r="A41" s="30" t="s">
        <v>19</v>
      </c>
      <c r="B41" s="31" t="s">
        <v>53</v>
      </c>
      <c r="C41" s="32">
        <v>45659</v>
      </c>
      <c r="D41" s="32">
        <v>45670</v>
      </c>
      <c r="E41" s="32"/>
      <c r="F41" s="38"/>
      <c r="G41" s="39">
        <v>45686</v>
      </c>
      <c r="H41" s="30">
        <v>7601441</v>
      </c>
      <c r="I41" s="34">
        <v>75507095</v>
      </c>
      <c r="J41" s="31" t="s">
        <v>17</v>
      </c>
      <c r="K41" s="16">
        <f t="shared" si="3"/>
        <v>17</v>
      </c>
      <c r="L41" s="35">
        <v>10</v>
      </c>
      <c r="M41" s="16">
        <f t="shared" si="4"/>
        <v>7</v>
      </c>
      <c r="N41" s="36">
        <v>2650</v>
      </c>
      <c r="O41" s="16">
        <f t="shared" si="5"/>
        <v>18550</v>
      </c>
    </row>
    <row r="42" spans="1:15" s="37" customFormat="1" ht="16.5" x14ac:dyDescent="0.25">
      <c r="A42" s="30" t="s">
        <v>19</v>
      </c>
      <c r="B42" s="31" t="s">
        <v>54</v>
      </c>
      <c r="C42" s="32">
        <v>45668</v>
      </c>
      <c r="D42" s="32">
        <v>45678</v>
      </c>
      <c r="E42" s="32"/>
      <c r="F42" s="38"/>
      <c r="G42" s="39">
        <v>45702</v>
      </c>
      <c r="H42" s="30">
        <v>7602307</v>
      </c>
      <c r="I42" s="34">
        <v>75507194</v>
      </c>
      <c r="J42" s="31" t="s">
        <v>17</v>
      </c>
      <c r="K42" s="16">
        <f t="shared" si="3"/>
        <v>25</v>
      </c>
      <c r="L42" s="35">
        <v>10</v>
      </c>
      <c r="M42" s="16">
        <f t="shared" si="4"/>
        <v>15</v>
      </c>
      <c r="N42" s="36">
        <v>2650</v>
      </c>
      <c r="O42" s="16">
        <f t="shared" si="5"/>
        <v>39750</v>
      </c>
    </row>
    <row r="43" spans="1:15" s="37" customFormat="1" ht="16.5" x14ac:dyDescent="0.25">
      <c r="A43" s="30" t="s">
        <v>19</v>
      </c>
      <c r="B43" s="31" t="s">
        <v>55</v>
      </c>
      <c r="C43" s="32">
        <v>45664</v>
      </c>
      <c r="D43" s="32">
        <v>45675</v>
      </c>
      <c r="E43" s="32"/>
      <c r="F43" s="38"/>
      <c r="G43" s="39">
        <v>45686</v>
      </c>
      <c r="H43" s="30">
        <v>7601487</v>
      </c>
      <c r="I43" s="34">
        <v>51554038</v>
      </c>
      <c r="J43" s="31" t="s">
        <v>17</v>
      </c>
      <c r="K43" s="16">
        <f t="shared" si="3"/>
        <v>12</v>
      </c>
      <c r="L43" s="35">
        <v>10</v>
      </c>
      <c r="M43" s="16">
        <f t="shared" si="4"/>
        <v>2</v>
      </c>
      <c r="N43" s="36">
        <v>2650</v>
      </c>
      <c r="O43" s="16">
        <f t="shared" si="5"/>
        <v>5300</v>
      </c>
    </row>
    <row r="44" spans="1:15" s="37" customFormat="1" ht="16.5" x14ac:dyDescent="0.25">
      <c r="A44" s="30" t="s">
        <v>19</v>
      </c>
      <c r="B44" s="31" t="s">
        <v>56</v>
      </c>
      <c r="C44" s="32">
        <v>45666</v>
      </c>
      <c r="D44" s="32">
        <v>45680</v>
      </c>
      <c r="E44" s="32"/>
      <c r="F44" s="38"/>
      <c r="G44" s="40">
        <v>45691</v>
      </c>
      <c r="H44" s="30">
        <v>7601695</v>
      </c>
      <c r="I44" s="34">
        <v>75400895</v>
      </c>
      <c r="J44" s="31" t="s">
        <v>17</v>
      </c>
      <c r="K44" s="16">
        <f t="shared" si="3"/>
        <v>12</v>
      </c>
      <c r="L44" s="35">
        <v>10</v>
      </c>
      <c r="M44" s="16">
        <f t="shared" si="4"/>
        <v>2</v>
      </c>
      <c r="N44" s="36">
        <v>2650</v>
      </c>
      <c r="O44" s="16">
        <f t="shared" si="5"/>
        <v>5300</v>
      </c>
    </row>
    <row r="45" spans="1:15" s="37" customFormat="1" ht="16.5" x14ac:dyDescent="0.25">
      <c r="A45" s="30" t="s">
        <v>19</v>
      </c>
      <c r="B45" s="31" t="s">
        <v>57</v>
      </c>
      <c r="C45" s="32">
        <v>45668</v>
      </c>
      <c r="D45" s="32">
        <v>45678</v>
      </c>
      <c r="E45" s="32"/>
      <c r="F45" s="38"/>
      <c r="G45" s="40">
        <v>45691</v>
      </c>
      <c r="H45" s="30">
        <v>7601695</v>
      </c>
      <c r="I45" s="34">
        <v>75448696</v>
      </c>
      <c r="J45" s="31" t="s">
        <v>17</v>
      </c>
      <c r="K45" s="16">
        <f t="shared" si="3"/>
        <v>14</v>
      </c>
      <c r="L45" s="35">
        <v>10</v>
      </c>
      <c r="M45" s="16">
        <f t="shared" si="4"/>
        <v>4</v>
      </c>
      <c r="N45" s="36">
        <v>2650</v>
      </c>
      <c r="O45" s="16">
        <f t="shared" si="5"/>
        <v>10600</v>
      </c>
    </row>
    <row r="46" spans="1:15" s="37" customFormat="1" ht="16.5" x14ac:dyDescent="0.25">
      <c r="A46" s="30" t="s">
        <v>19</v>
      </c>
      <c r="B46" s="31" t="s">
        <v>58</v>
      </c>
      <c r="C46" s="32">
        <v>45670</v>
      </c>
      <c r="D46" s="32">
        <v>45681</v>
      </c>
      <c r="E46" s="32"/>
      <c r="F46" s="38"/>
      <c r="G46" s="40">
        <v>45693</v>
      </c>
      <c r="H46" s="30">
        <v>7601855</v>
      </c>
      <c r="I46" s="34">
        <v>75448894</v>
      </c>
      <c r="J46" s="31" t="s">
        <v>17</v>
      </c>
      <c r="K46" s="16">
        <f t="shared" si="3"/>
        <v>13</v>
      </c>
      <c r="L46" s="35">
        <v>10</v>
      </c>
      <c r="M46" s="16">
        <f t="shared" si="4"/>
        <v>3</v>
      </c>
      <c r="N46" s="36">
        <v>2650</v>
      </c>
      <c r="O46" s="16">
        <f t="shared" si="5"/>
        <v>7950</v>
      </c>
    </row>
    <row r="47" spans="1:15" s="37" customFormat="1" ht="16.5" x14ac:dyDescent="0.25">
      <c r="A47" s="30" t="s">
        <v>19</v>
      </c>
      <c r="B47" s="31" t="s">
        <v>59</v>
      </c>
      <c r="C47" s="32">
        <v>45668</v>
      </c>
      <c r="D47" s="32">
        <v>45678</v>
      </c>
      <c r="E47" s="32"/>
      <c r="F47" s="38"/>
      <c r="G47" s="39">
        <v>45705</v>
      </c>
      <c r="H47" s="30">
        <v>7602451</v>
      </c>
      <c r="I47" s="34">
        <v>75449090</v>
      </c>
      <c r="J47" s="31" t="s">
        <v>17</v>
      </c>
      <c r="K47" s="16">
        <f t="shared" si="3"/>
        <v>28</v>
      </c>
      <c r="L47" s="35">
        <v>10</v>
      </c>
      <c r="M47" s="16">
        <f t="shared" si="4"/>
        <v>18</v>
      </c>
      <c r="N47" s="36">
        <v>2650</v>
      </c>
      <c r="O47" s="16">
        <f t="shared" si="5"/>
        <v>47700</v>
      </c>
    </row>
    <row r="48" spans="1:15" s="37" customFormat="1" ht="16.5" x14ac:dyDescent="0.25">
      <c r="A48" s="30" t="s">
        <v>19</v>
      </c>
      <c r="B48" s="31" t="s">
        <v>60</v>
      </c>
      <c r="C48" s="32">
        <v>45668</v>
      </c>
      <c r="D48" s="32">
        <v>45678</v>
      </c>
      <c r="E48" s="32"/>
      <c r="F48" s="38"/>
      <c r="G48" s="40">
        <v>45705</v>
      </c>
      <c r="H48" s="30">
        <v>7602451</v>
      </c>
      <c r="I48" s="34">
        <v>75449199</v>
      </c>
      <c r="J48" s="31" t="s">
        <v>17</v>
      </c>
      <c r="K48" s="16">
        <f t="shared" si="3"/>
        <v>28</v>
      </c>
      <c r="L48" s="35">
        <v>10</v>
      </c>
      <c r="M48" s="16">
        <f t="shared" si="4"/>
        <v>18</v>
      </c>
      <c r="N48" s="36">
        <v>2650</v>
      </c>
      <c r="O48" s="16">
        <f t="shared" si="5"/>
        <v>47700</v>
      </c>
    </row>
    <row r="49" spans="1:15" s="37" customFormat="1" ht="16.5" x14ac:dyDescent="0.25">
      <c r="A49" s="30" t="s">
        <v>19</v>
      </c>
      <c r="B49" s="31" t="s">
        <v>61</v>
      </c>
      <c r="C49" s="32">
        <v>45668</v>
      </c>
      <c r="D49" s="32">
        <v>45678</v>
      </c>
      <c r="E49" s="32"/>
      <c r="F49" s="38"/>
      <c r="G49" s="39">
        <v>45704</v>
      </c>
      <c r="H49" s="30">
        <v>7602436</v>
      </c>
      <c r="I49" s="34">
        <v>75463596</v>
      </c>
      <c r="J49" s="31" t="s">
        <v>17</v>
      </c>
      <c r="K49" s="16">
        <f t="shared" si="3"/>
        <v>27</v>
      </c>
      <c r="L49" s="35">
        <v>10</v>
      </c>
      <c r="M49" s="16">
        <f t="shared" si="4"/>
        <v>17</v>
      </c>
      <c r="N49" s="36">
        <v>2650</v>
      </c>
      <c r="O49" s="16">
        <f t="shared" si="5"/>
        <v>45050</v>
      </c>
    </row>
    <row r="50" spans="1:15" s="37" customFormat="1" ht="16.5" x14ac:dyDescent="0.25">
      <c r="A50" s="30" t="s">
        <v>19</v>
      </c>
      <c r="B50" s="31" t="s">
        <v>62</v>
      </c>
      <c r="C50" s="32">
        <v>45670</v>
      </c>
      <c r="D50" s="32">
        <v>45681</v>
      </c>
      <c r="E50" s="32"/>
      <c r="F50" s="38"/>
      <c r="G50" s="40">
        <v>45693</v>
      </c>
      <c r="H50" s="30">
        <v>7601855</v>
      </c>
      <c r="I50" s="34">
        <v>75501999</v>
      </c>
      <c r="J50" s="31" t="s">
        <v>17</v>
      </c>
      <c r="K50" s="16">
        <f t="shared" si="3"/>
        <v>13</v>
      </c>
      <c r="L50" s="35">
        <v>10</v>
      </c>
      <c r="M50" s="16">
        <f t="shared" si="4"/>
        <v>3</v>
      </c>
      <c r="N50" s="36">
        <v>2650</v>
      </c>
      <c r="O50" s="16">
        <f t="shared" si="5"/>
        <v>7950</v>
      </c>
    </row>
    <row r="51" spans="1:15" s="37" customFormat="1" ht="16.5" x14ac:dyDescent="0.25">
      <c r="A51" s="30" t="s">
        <v>19</v>
      </c>
      <c r="B51" s="31" t="s">
        <v>63</v>
      </c>
      <c r="C51" s="32">
        <v>45668</v>
      </c>
      <c r="D51" s="32">
        <v>45678</v>
      </c>
      <c r="E51" s="32"/>
      <c r="F51" s="38"/>
      <c r="G51" s="39">
        <v>45704</v>
      </c>
      <c r="H51" s="30">
        <v>7602437</v>
      </c>
      <c r="I51" s="34">
        <v>76951193</v>
      </c>
      <c r="J51" s="31" t="s">
        <v>17</v>
      </c>
      <c r="K51" s="16">
        <f t="shared" si="3"/>
        <v>27</v>
      </c>
      <c r="L51" s="35">
        <v>10</v>
      </c>
      <c r="M51" s="16">
        <f t="shared" si="4"/>
        <v>17</v>
      </c>
      <c r="N51" s="36">
        <v>2650</v>
      </c>
      <c r="O51" s="16">
        <f t="shared" si="5"/>
        <v>45050</v>
      </c>
    </row>
    <row r="52" spans="1:15" s="37" customFormat="1" ht="16.5" x14ac:dyDescent="0.25">
      <c r="A52" s="30" t="s">
        <v>19</v>
      </c>
      <c r="B52" s="31" t="s">
        <v>64</v>
      </c>
      <c r="C52" s="32">
        <v>45670</v>
      </c>
      <c r="D52" s="32">
        <v>45681</v>
      </c>
      <c r="E52" s="32"/>
      <c r="F52" s="38"/>
      <c r="G52" s="39">
        <v>45692</v>
      </c>
      <c r="H52" s="30">
        <v>7601834</v>
      </c>
      <c r="I52" s="34">
        <v>76951292</v>
      </c>
      <c r="J52" s="31" t="s">
        <v>17</v>
      </c>
      <c r="K52" s="16">
        <f t="shared" si="3"/>
        <v>12</v>
      </c>
      <c r="L52" s="35">
        <v>10</v>
      </c>
      <c r="M52" s="16">
        <f t="shared" si="4"/>
        <v>2</v>
      </c>
      <c r="N52" s="36">
        <v>2650</v>
      </c>
      <c r="O52" s="16">
        <f t="shared" si="5"/>
        <v>5300</v>
      </c>
    </row>
    <row r="53" spans="1:15" s="37" customFormat="1" ht="16.5" x14ac:dyDescent="0.25">
      <c r="A53" s="30" t="s">
        <v>19</v>
      </c>
      <c r="B53" s="31" t="s">
        <v>65</v>
      </c>
      <c r="C53" s="32">
        <v>45668</v>
      </c>
      <c r="D53" s="32">
        <v>45678</v>
      </c>
      <c r="E53" s="32"/>
      <c r="F53" s="38"/>
      <c r="G53" s="39">
        <v>45704</v>
      </c>
      <c r="H53" s="30">
        <v>7602436</v>
      </c>
      <c r="I53" s="34">
        <v>75487496</v>
      </c>
      <c r="J53" s="31" t="s">
        <v>17</v>
      </c>
      <c r="K53" s="16">
        <f t="shared" si="3"/>
        <v>27</v>
      </c>
      <c r="L53" s="35">
        <v>10</v>
      </c>
      <c r="M53" s="16">
        <f t="shared" si="4"/>
        <v>17</v>
      </c>
      <c r="N53" s="36">
        <v>2650</v>
      </c>
      <c r="O53" s="16">
        <f t="shared" si="5"/>
        <v>45050</v>
      </c>
    </row>
    <row r="54" spans="1:15" s="37" customFormat="1" ht="16.5" x14ac:dyDescent="0.25">
      <c r="A54" s="30" t="s">
        <v>19</v>
      </c>
      <c r="B54" s="31" t="s">
        <v>66</v>
      </c>
      <c r="C54" s="32">
        <v>45668</v>
      </c>
      <c r="D54" s="32">
        <v>45678</v>
      </c>
      <c r="E54" s="32"/>
      <c r="F54" s="38"/>
      <c r="G54" s="39">
        <v>45704</v>
      </c>
      <c r="H54" s="30">
        <v>7602436</v>
      </c>
      <c r="I54" s="34">
        <v>75487595</v>
      </c>
      <c r="J54" s="31" t="s">
        <v>17</v>
      </c>
      <c r="K54" s="16">
        <f t="shared" si="3"/>
        <v>27</v>
      </c>
      <c r="L54" s="35">
        <v>10</v>
      </c>
      <c r="M54" s="16">
        <f t="shared" si="4"/>
        <v>17</v>
      </c>
      <c r="N54" s="36">
        <v>2650</v>
      </c>
      <c r="O54" s="16">
        <f t="shared" si="5"/>
        <v>45050</v>
      </c>
    </row>
    <row r="55" spans="1:15" s="37" customFormat="1" ht="16.5" x14ac:dyDescent="0.25">
      <c r="A55" s="30" t="s">
        <v>19</v>
      </c>
      <c r="B55" s="31" t="s">
        <v>67</v>
      </c>
      <c r="C55" s="32">
        <v>45670</v>
      </c>
      <c r="D55" s="32">
        <v>45681</v>
      </c>
      <c r="E55" s="32"/>
      <c r="F55" s="38"/>
      <c r="G55" s="40">
        <v>45693</v>
      </c>
      <c r="H55" s="30">
        <v>7601855</v>
      </c>
      <c r="I55" s="34">
        <v>75487694</v>
      </c>
      <c r="J55" s="31" t="s">
        <v>17</v>
      </c>
      <c r="K55" s="16">
        <f t="shared" si="3"/>
        <v>13</v>
      </c>
      <c r="L55" s="35">
        <v>10</v>
      </c>
      <c r="M55" s="16">
        <f t="shared" si="4"/>
        <v>3</v>
      </c>
      <c r="N55" s="36">
        <v>2650</v>
      </c>
      <c r="O55" s="16">
        <f t="shared" si="5"/>
        <v>7950</v>
      </c>
    </row>
    <row r="56" spans="1:15" s="37" customFormat="1" ht="16.5" x14ac:dyDescent="0.25">
      <c r="A56" s="30" t="s">
        <v>19</v>
      </c>
      <c r="B56" s="31" t="s">
        <v>68</v>
      </c>
      <c r="C56" s="32">
        <v>45668</v>
      </c>
      <c r="D56" s="32">
        <v>45678</v>
      </c>
      <c r="E56" s="32"/>
      <c r="F56" s="38"/>
      <c r="G56" s="39">
        <v>45704</v>
      </c>
      <c r="H56" s="30">
        <v>7602437</v>
      </c>
      <c r="I56" s="34">
        <v>75523696</v>
      </c>
      <c r="J56" s="31" t="s">
        <v>17</v>
      </c>
      <c r="K56" s="16">
        <f t="shared" si="3"/>
        <v>27</v>
      </c>
      <c r="L56" s="35">
        <v>10</v>
      </c>
      <c r="M56" s="16">
        <f t="shared" si="4"/>
        <v>17</v>
      </c>
      <c r="N56" s="36">
        <v>2650</v>
      </c>
      <c r="O56" s="16">
        <f t="shared" si="5"/>
        <v>45050</v>
      </c>
    </row>
    <row r="57" spans="1:15" s="37" customFormat="1" ht="16.5" x14ac:dyDescent="0.25">
      <c r="A57" s="30" t="s">
        <v>19</v>
      </c>
      <c r="B57" s="31" t="s">
        <v>69</v>
      </c>
      <c r="C57" s="32">
        <v>45668</v>
      </c>
      <c r="D57" s="32">
        <v>45678</v>
      </c>
      <c r="E57" s="32"/>
      <c r="F57" s="38"/>
      <c r="G57" s="39">
        <v>45704</v>
      </c>
      <c r="H57" s="30">
        <v>7602437</v>
      </c>
      <c r="I57" s="34">
        <v>75523795</v>
      </c>
      <c r="J57" s="31" t="s">
        <v>17</v>
      </c>
      <c r="K57" s="16">
        <f t="shared" si="3"/>
        <v>27</v>
      </c>
      <c r="L57" s="35">
        <v>10</v>
      </c>
      <c r="M57" s="16">
        <f t="shared" si="4"/>
        <v>17</v>
      </c>
      <c r="N57" s="36">
        <v>2650</v>
      </c>
      <c r="O57" s="16">
        <f t="shared" si="5"/>
        <v>45050</v>
      </c>
    </row>
    <row r="58" spans="1:15" s="37" customFormat="1" ht="16.5" x14ac:dyDescent="0.25">
      <c r="A58" s="30" t="s">
        <v>19</v>
      </c>
      <c r="B58" s="31" t="s">
        <v>70</v>
      </c>
      <c r="C58" s="32">
        <v>45670</v>
      </c>
      <c r="D58" s="32">
        <v>45681</v>
      </c>
      <c r="E58" s="32"/>
      <c r="F58" s="38"/>
      <c r="G58" s="39">
        <v>45692</v>
      </c>
      <c r="H58" s="30">
        <v>7601834</v>
      </c>
      <c r="I58" s="34">
        <v>75534693</v>
      </c>
      <c r="J58" s="31" t="s">
        <v>17</v>
      </c>
      <c r="K58" s="16">
        <f t="shared" si="3"/>
        <v>12</v>
      </c>
      <c r="L58" s="35">
        <v>10</v>
      </c>
      <c r="M58" s="16">
        <f t="shared" si="4"/>
        <v>2</v>
      </c>
      <c r="N58" s="36">
        <v>2650</v>
      </c>
      <c r="O58" s="16">
        <f t="shared" si="5"/>
        <v>5300</v>
      </c>
    </row>
    <row r="59" spans="1:15" s="37" customFormat="1" ht="16.5" x14ac:dyDescent="0.25">
      <c r="A59" s="30" t="s">
        <v>19</v>
      </c>
      <c r="B59" s="31" t="s">
        <v>71</v>
      </c>
      <c r="C59" s="32">
        <v>45684</v>
      </c>
      <c r="D59" s="32">
        <v>45695</v>
      </c>
      <c r="E59" s="32"/>
      <c r="F59" s="38"/>
      <c r="G59" s="40">
        <v>45708</v>
      </c>
      <c r="H59" s="30">
        <v>8405128</v>
      </c>
      <c r="I59" s="34">
        <v>75469999</v>
      </c>
      <c r="J59" s="31" t="s">
        <v>92</v>
      </c>
      <c r="K59" s="16">
        <f t="shared" si="3"/>
        <v>14</v>
      </c>
      <c r="L59" s="35">
        <v>10</v>
      </c>
      <c r="M59" s="16">
        <f t="shared" si="4"/>
        <v>4</v>
      </c>
      <c r="N59" s="36">
        <v>2650</v>
      </c>
      <c r="O59" s="16">
        <f t="shared" si="5"/>
        <v>10600</v>
      </c>
    </row>
    <row r="60" spans="1:15" s="37" customFormat="1" ht="16.5" x14ac:dyDescent="0.25">
      <c r="A60" s="30" t="s">
        <v>19</v>
      </c>
      <c r="B60" s="31" t="s">
        <v>72</v>
      </c>
      <c r="C60" s="32">
        <v>45684</v>
      </c>
      <c r="D60" s="32">
        <v>45695</v>
      </c>
      <c r="E60" s="32"/>
      <c r="F60" s="38"/>
      <c r="G60" s="40">
        <v>45708</v>
      </c>
      <c r="H60" s="30">
        <v>8405127</v>
      </c>
      <c r="I60" s="34">
        <v>75597997</v>
      </c>
      <c r="J60" s="31" t="s">
        <v>92</v>
      </c>
      <c r="K60" s="16">
        <f t="shared" si="3"/>
        <v>14</v>
      </c>
      <c r="L60" s="35">
        <v>10</v>
      </c>
      <c r="M60" s="16">
        <f t="shared" si="4"/>
        <v>4</v>
      </c>
      <c r="N60" s="36">
        <v>2650</v>
      </c>
      <c r="O60" s="16">
        <f t="shared" si="5"/>
        <v>10600</v>
      </c>
    </row>
    <row r="61" spans="1:15" s="37" customFormat="1" ht="16.5" x14ac:dyDescent="0.25">
      <c r="A61" s="30" t="s">
        <v>19</v>
      </c>
      <c r="B61" s="31" t="s">
        <v>73</v>
      </c>
      <c r="C61" s="32">
        <v>45684</v>
      </c>
      <c r="D61" s="32">
        <v>45695</v>
      </c>
      <c r="E61" s="32"/>
      <c r="F61" s="38"/>
      <c r="G61" s="40">
        <v>45708</v>
      </c>
      <c r="H61" s="30">
        <v>8405120</v>
      </c>
      <c r="I61" s="34">
        <v>75598797</v>
      </c>
      <c r="J61" s="31" t="s">
        <v>92</v>
      </c>
      <c r="K61" s="16">
        <f t="shared" si="3"/>
        <v>14</v>
      </c>
      <c r="L61" s="35">
        <v>10</v>
      </c>
      <c r="M61" s="16">
        <f t="shared" si="4"/>
        <v>4</v>
      </c>
      <c r="N61" s="36">
        <v>2650</v>
      </c>
      <c r="O61" s="16">
        <f t="shared" si="5"/>
        <v>10600</v>
      </c>
    </row>
    <row r="62" spans="1:15" s="37" customFormat="1" ht="16.5" x14ac:dyDescent="0.25">
      <c r="A62" s="30" t="s">
        <v>19</v>
      </c>
      <c r="B62" s="31" t="s">
        <v>74</v>
      </c>
      <c r="C62" s="32">
        <v>45684</v>
      </c>
      <c r="D62" s="32">
        <v>45695</v>
      </c>
      <c r="E62" s="32"/>
      <c r="F62" s="38"/>
      <c r="G62" s="40">
        <v>45708</v>
      </c>
      <c r="H62" s="30">
        <v>8405125</v>
      </c>
      <c r="I62" s="34">
        <v>75599290</v>
      </c>
      <c r="J62" s="31" t="s">
        <v>92</v>
      </c>
      <c r="K62" s="16">
        <f t="shared" si="3"/>
        <v>14</v>
      </c>
      <c r="L62" s="35">
        <v>10</v>
      </c>
      <c r="M62" s="16">
        <f t="shared" si="4"/>
        <v>4</v>
      </c>
      <c r="N62" s="36">
        <v>2650</v>
      </c>
      <c r="O62" s="16">
        <f t="shared" si="5"/>
        <v>10600</v>
      </c>
    </row>
    <row r="63" spans="1:15" s="37" customFormat="1" ht="16.5" x14ac:dyDescent="0.25">
      <c r="A63" s="30" t="s">
        <v>19</v>
      </c>
      <c r="B63" s="31" t="s">
        <v>75</v>
      </c>
      <c r="C63" s="32">
        <v>45684</v>
      </c>
      <c r="D63" s="32">
        <v>45695</v>
      </c>
      <c r="E63" s="32"/>
      <c r="F63" s="38"/>
      <c r="G63" s="40">
        <v>45708</v>
      </c>
      <c r="H63" s="30">
        <v>8405121</v>
      </c>
      <c r="I63" s="34">
        <v>75599191</v>
      </c>
      <c r="J63" s="31" t="s">
        <v>92</v>
      </c>
      <c r="K63" s="16">
        <f t="shared" si="3"/>
        <v>14</v>
      </c>
      <c r="L63" s="35">
        <v>10</v>
      </c>
      <c r="M63" s="16">
        <f t="shared" si="4"/>
        <v>4</v>
      </c>
      <c r="N63" s="36">
        <v>2650</v>
      </c>
      <c r="O63" s="16">
        <f t="shared" si="5"/>
        <v>10600</v>
      </c>
    </row>
    <row r="64" spans="1:15" s="37" customFormat="1" ht="16.5" x14ac:dyDescent="0.25">
      <c r="A64" s="30" t="s">
        <v>19</v>
      </c>
      <c r="B64" s="31" t="s">
        <v>76</v>
      </c>
      <c r="C64" s="32">
        <v>45684</v>
      </c>
      <c r="D64" s="32">
        <v>45695</v>
      </c>
      <c r="E64" s="32"/>
      <c r="F64" s="38"/>
      <c r="G64" s="40">
        <v>45708</v>
      </c>
      <c r="H64" s="30">
        <v>8405122</v>
      </c>
      <c r="I64" s="34">
        <v>75599092</v>
      </c>
      <c r="J64" s="31" t="s">
        <v>92</v>
      </c>
      <c r="K64" s="16">
        <f t="shared" si="3"/>
        <v>14</v>
      </c>
      <c r="L64" s="35">
        <v>10</v>
      </c>
      <c r="M64" s="16">
        <f t="shared" si="4"/>
        <v>4</v>
      </c>
      <c r="N64" s="36">
        <v>2650</v>
      </c>
      <c r="O64" s="16">
        <f t="shared" si="5"/>
        <v>10600</v>
      </c>
    </row>
    <row r="65" spans="1:17" s="37" customFormat="1" ht="16.5" x14ac:dyDescent="0.25">
      <c r="A65" s="30" t="s">
        <v>19</v>
      </c>
      <c r="B65" s="31" t="s">
        <v>77</v>
      </c>
      <c r="C65" s="32">
        <v>45684</v>
      </c>
      <c r="D65" s="32">
        <v>45695</v>
      </c>
      <c r="E65" s="32"/>
      <c r="F65" s="38"/>
      <c r="G65" s="40">
        <v>45708</v>
      </c>
      <c r="H65" s="30">
        <v>8405123</v>
      </c>
      <c r="I65" s="34">
        <v>75598995</v>
      </c>
      <c r="J65" s="31" t="s">
        <v>92</v>
      </c>
      <c r="K65" s="16">
        <f t="shared" si="3"/>
        <v>14</v>
      </c>
      <c r="L65" s="35">
        <v>10</v>
      </c>
      <c r="M65" s="16">
        <f t="shared" si="4"/>
        <v>4</v>
      </c>
      <c r="N65" s="36">
        <v>2650</v>
      </c>
      <c r="O65" s="16">
        <f t="shared" si="5"/>
        <v>10600</v>
      </c>
    </row>
    <row r="66" spans="1:17" s="37" customFormat="1" ht="16.5" x14ac:dyDescent="0.25">
      <c r="A66" s="30" t="s">
        <v>19</v>
      </c>
      <c r="B66" s="31" t="s">
        <v>78</v>
      </c>
      <c r="C66" s="32">
        <v>45684</v>
      </c>
      <c r="D66" s="32">
        <v>45695</v>
      </c>
      <c r="E66" s="32"/>
      <c r="F66" s="38"/>
      <c r="G66" s="40">
        <v>45708</v>
      </c>
      <c r="H66" s="30">
        <v>8405124</v>
      </c>
      <c r="I66" s="34">
        <v>75469890</v>
      </c>
      <c r="J66" s="31" t="s">
        <v>92</v>
      </c>
      <c r="K66" s="16">
        <f t="shared" si="3"/>
        <v>14</v>
      </c>
      <c r="L66" s="35">
        <v>10</v>
      </c>
      <c r="M66" s="16">
        <f t="shared" si="4"/>
        <v>4</v>
      </c>
      <c r="N66" s="36">
        <v>2650</v>
      </c>
      <c r="O66" s="16">
        <f t="shared" si="5"/>
        <v>10600</v>
      </c>
    </row>
    <row r="67" spans="1:17" s="37" customFormat="1" ht="16.5" x14ac:dyDescent="0.25">
      <c r="A67" s="30" t="s">
        <v>19</v>
      </c>
      <c r="B67" s="31" t="s">
        <v>79</v>
      </c>
      <c r="C67" s="32">
        <v>45684</v>
      </c>
      <c r="D67" s="32">
        <v>45695</v>
      </c>
      <c r="E67" s="32"/>
      <c r="F67" s="38"/>
      <c r="G67" s="40">
        <v>45708</v>
      </c>
      <c r="H67" s="30">
        <v>8405126</v>
      </c>
      <c r="I67" s="34">
        <v>75599498</v>
      </c>
      <c r="J67" s="31" t="s">
        <v>92</v>
      </c>
      <c r="K67" s="16">
        <f t="shared" si="3"/>
        <v>14</v>
      </c>
      <c r="L67" s="35">
        <v>10</v>
      </c>
      <c r="M67" s="16">
        <f t="shared" si="4"/>
        <v>4</v>
      </c>
      <c r="N67" s="36">
        <v>2650</v>
      </c>
      <c r="O67" s="16">
        <f t="shared" si="5"/>
        <v>10600</v>
      </c>
    </row>
    <row r="68" spans="1:17" s="37" customFormat="1" ht="16.5" x14ac:dyDescent="0.25">
      <c r="A68" s="30" t="s">
        <v>19</v>
      </c>
      <c r="B68" s="31" t="s">
        <v>80</v>
      </c>
      <c r="C68" s="32">
        <v>45684</v>
      </c>
      <c r="D68" s="32">
        <v>45695</v>
      </c>
      <c r="E68" s="32"/>
      <c r="F68" s="38"/>
      <c r="G68" s="39">
        <v>45705</v>
      </c>
      <c r="H68" s="30">
        <v>7602474</v>
      </c>
      <c r="I68" s="34">
        <v>75597799</v>
      </c>
      <c r="J68" s="31" t="s">
        <v>17</v>
      </c>
      <c r="K68" s="16">
        <f t="shared" si="3"/>
        <v>11</v>
      </c>
      <c r="L68" s="35">
        <v>10</v>
      </c>
      <c r="M68" s="16">
        <f t="shared" si="4"/>
        <v>1</v>
      </c>
      <c r="N68" s="36">
        <v>2650</v>
      </c>
      <c r="O68" s="16">
        <f t="shared" si="5"/>
        <v>2650</v>
      </c>
    </row>
    <row r="69" spans="1:17" s="37" customFormat="1" ht="16.5" x14ac:dyDescent="0.25">
      <c r="A69" s="30" t="s">
        <v>19</v>
      </c>
      <c r="B69" s="31" t="s">
        <v>81</v>
      </c>
      <c r="C69" s="32">
        <v>45684</v>
      </c>
      <c r="D69" s="32">
        <v>45695</v>
      </c>
      <c r="E69" s="32"/>
      <c r="F69" s="38"/>
      <c r="G69" s="39">
        <v>45705</v>
      </c>
      <c r="H69" s="30">
        <v>7602474</v>
      </c>
      <c r="I69" s="34">
        <v>75598490</v>
      </c>
      <c r="J69" s="31" t="s">
        <v>17</v>
      </c>
      <c r="K69" s="16">
        <f t="shared" si="3"/>
        <v>11</v>
      </c>
      <c r="L69" s="35">
        <v>10</v>
      </c>
      <c r="M69" s="16">
        <f t="shared" si="4"/>
        <v>1</v>
      </c>
      <c r="N69" s="36">
        <v>2650</v>
      </c>
      <c r="O69" s="16">
        <f t="shared" si="5"/>
        <v>2650</v>
      </c>
    </row>
    <row r="70" spans="1:17" s="37" customFormat="1" ht="16.5" x14ac:dyDescent="0.25">
      <c r="A70" s="30" t="s">
        <v>19</v>
      </c>
      <c r="B70" s="31" t="s">
        <v>82</v>
      </c>
      <c r="C70" s="32">
        <v>45684</v>
      </c>
      <c r="D70" s="32">
        <v>45695</v>
      </c>
      <c r="E70" s="32"/>
      <c r="F70" s="38"/>
      <c r="G70" s="39">
        <v>45705</v>
      </c>
      <c r="H70" s="30">
        <v>7602474</v>
      </c>
      <c r="I70" s="34">
        <v>75599597</v>
      </c>
      <c r="J70" s="31" t="s">
        <v>17</v>
      </c>
      <c r="K70" s="16">
        <f t="shared" si="3"/>
        <v>11</v>
      </c>
      <c r="L70" s="35">
        <v>10</v>
      </c>
      <c r="M70" s="16">
        <f t="shared" si="4"/>
        <v>1</v>
      </c>
      <c r="N70" s="36">
        <v>2650</v>
      </c>
      <c r="O70" s="16">
        <f t="shared" si="5"/>
        <v>2650</v>
      </c>
    </row>
    <row r="71" spans="1:17" s="37" customFormat="1" ht="16.5" x14ac:dyDescent="0.25">
      <c r="A71" s="30" t="s">
        <v>19</v>
      </c>
      <c r="B71" s="31" t="s">
        <v>83</v>
      </c>
      <c r="C71" s="32">
        <v>45684</v>
      </c>
      <c r="D71" s="32">
        <v>45695</v>
      </c>
      <c r="E71" s="32"/>
      <c r="F71" s="38"/>
      <c r="G71" s="39">
        <v>45705</v>
      </c>
      <c r="H71" s="30">
        <v>7602473</v>
      </c>
      <c r="I71" s="34">
        <v>75598094</v>
      </c>
      <c r="J71" s="31" t="s">
        <v>17</v>
      </c>
      <c r="K71" s="16">
        <f t="shared" si="3"/>
        <v>11</v>
      </c>
      <c r="L71" s="35">
        <v>10</v>
      </c>
      <c r="M71" s="16">
        <f t="shared" si="4"/>
        <v>1</v>
      </c>
      <c r="N71" s="36">
        <v>2650</v>
      </c>
      <c r="O71" s="16">
        <f t="shared" si="5"/>
        <v>2650</v>
      </c>
    </row>
    <row r="72" spans="1:17" s="37" customFormat="1" ht="16.5" x14ac:dyDescent="0.25">
      <c r="A72" s="30" t="s">
        <v>19</v>
      </c>
      <c r="B72" s="31" t="s">
        <v>84</v>
      </c>
      <c r="C72" s="32">
        <v>45684</v>
      </c>
      <c r="D72" s="32">
        <v>45695</v>
      </c>
      <c r="E72" s="32"/>
      <c r="F72" s="38"/>
      <c r="G72" s="39">
        <v>45705</v>
      </c>
      <c r="H72" s="30">
        <v>7602473</v>
      </c>
      <c r="I72" s="34">
        <v>75599696</v>
      </c>
      <c r="J72" s="31" t="s">
        <v>17</v>
      </c>
      <c r="K72" s="16">
        <f t="shared" si="3"/>
        <v>11</v>
      </c>
      <c r="L72" s="35">
        <v>10</v>
      </c>
      <c r="M72" s="16">
        <f t="shared" si="4"/>
        <v>1</v>
      </c>
      <c r="N72" s="36">
        <v>2650</v>
      </c>
      <c r="O72" s="16">
        <f t="shared" si="5"/>
        <v>2650</v>
      </c>
    </row>
    <row r="73" spans="1:17" s="37" customFormat="1" ht="16.5" x14ac:dyDescent="0.25">
      <c r="A73" s="30" t="s">
        <v>19</v>
      </c>
      <c r="B73" s="31" t="s">
        <v>85</v>
      </c>
      <c r="C73" s="32">
        <v>45684</v>
      </c>
      <c r="D73" s="32">
        <v>45695</v>
      </c>
      <c r="E73" s="32"/>
      <c r="F73" s="38"/>
      <c r="G73" s="39">
        <v>45705</v>
      </c>
      <c r="H73" s="30">
        <v>7602473</v>
      </c>
      <c r="I73" s="34">
        <v>75598391</v>
      </c>
      <c r="J73" s="31" t="s">
        <v>17</v>
      </c>
      <c r="K73" s="16">
        <f t="shared" si="3"/>
        <v>11</v>
      </c>
      <c r="L73" s="35">
        <v>10</v>
      </c>
      <c r="M73" s="16">
        <f t="shared" si="4"/>
        <v>1</v>
      </c>
      <c r="N73" s="36">
        <v>2650</v>
      </c>
      <c r="O73" s="16">
        <f t="shared" si="5"/>
        <v>2650</v>
      </c>
    </row>
    <row r="74" spans="1:17" s="37" customFormat="1" ht="16.5" x14ac:dyDescent="0.25">
      <c r="A74" s="30" t="s">
        <v>19</v>
      </c>
      <c r="B74" s="31" t="s">
        <v>86</v>
      </c>
      <c r="C74" s="32">
        <v>45684</v>
      </c>
      <c r="D74" s="32">
        <v>45695</v>
      </c>
      <c r="E74" s="32"/>
      <c r="F74" s="38"/>
      <c r="G74" s="39">
        <v>45705</v>
      </c>
      <c r="H74" s="30">
        <v>7602472</v>
      </c>
      <c r="I74" s="34">
        <v>75597898</v>
      </c>
      <c r="J74" s="31" t="s">
        <v>17</v>
      </c>
      <c r="K74" s="16">
        <f t="shared" si="3"/>
        <v>11</v>
      </c>
      <c r="L74" s="35">
        <v>10</v>
      </c>
      <c r="M74" s="16">
        <f t="shared" si="4"/>
        <v>1</v>
      </c>
      <c r="N74" s="36">
        <v>2650</v>
      </c>
      <c r="O74" s="16">
        <f t="shared" si="5"/>
        <v>2650</v>
      </c>
    </row>
    <row r="75" spans="1:17" s="37" customFormat="1" ht="16.5" x14ac:dyDescent="0.25">
      <c r="A75" s="30" t="s">
        <v>19</v>
      </c>
      <c r="B75" s="31" t="s">
        <v>87</v>
      </c>
      <c r="C75" s="32">
        <v>45684</v>
      </c>
      <c r="D75" s="32">
        <v>45695</v>
      </c>
      <c r="E75" s="32"/>
      <c r="F75" s="38"/>
      <c r="G75" s="39">
        <v>45705</v>
      </c>
      <c r="H75" s="30">
        <v>7602472</v>
      </c>
      <c r="I75" s="34">
        <v>75598292</v>
      </c>
      <c r="J75" s="31" t="s">
        <v>17</v>
      </c>
      <c r="K75" s="16">
        <f t="shared" si="3"/>
        <v>11</v>
      </c>
      <c r="L75" s="35">
        <v>10</v>
      </c>
      <c r="M75" s="16">
        <f t="shared" si="4"/>
        <v>1</v>
      </c>
      <c r="N75" s="36">
        <v>2650</v>
      </c>
      <c r="O75" s="16">
        <f t="shared" si="5"/>
        <v>2650</v>
      </c>
    </row>
    <row r="76" spans="1:17" s="37" customFormat="1" ht="16.5" x14ac:dyDescent="0.25">
      <c r="A76" s="30" t="s">
        <v>19</v>
      </c>
      <c r="B76" s="31" t="s">
        <v>88</v>
      </c>
      <c r="C76" s="32">
        <v>45684</v>
      </c>
      <c r="D76" s="32">
        <v>45695</v>
      </c>
      <c r="E76" s="32"/>
      <c r="F76" s="38"/>
      <c r="G76" s="39">
        <v>45705</v>
      </c>
      <c r="H76" s="30">
        <v>7602472</v>
      </c>
      <c r="I76" s="34">
        <v>75598193</v>
      </c>
      <c r="J76" s="31" t="s">
        <v>17</v>
      </c>
      <c r="K76" s="16">
        <f t="shared" si="3"/>
        <v>11</v>
      </c>
      <c r="L76" s="35">
        <v>10</v>
      </c>
      <c r="M76" s="16">
        <f t="shared" si="4"/>
        <v>1</v>
      </c>
      <c r="N76" s="36">
        <v>2650</v>
      </c>
      <c r="O76" s="16">
        <f t="shared" si="5"/>
        <v>2650</v>
      </c>
    </row>
    <row r="77" spans="1:17" s="37" customFormat="1" ht="16.5" x14ac:dyDescent="0.25">
      <c r="A77" s="30" t="s">
        <v>19</v>
      </c>
      <c r="B77" s="31" t="s">
        <v>89</v>
      </c>
      <c r="C77" s="32">
        <v>45684</v>
      </c>
      <c r="D77" s="32">
        <v>45695</v>
      </c>
      <c r="E77" s="32"/>
      <c r="F77" s="32"/>
      <c r="G77" s="41">
        <v>45708</v>
      </c>
      <c r="H77" s="31">
        <v>7602575</v>
      </c>
      <c r="I77" s="34">
        <v>75598896</v>
      </c>
      <c r="J77" s="31" t="s">
        <v>17</v>
      </c>
      <c r="K77" s="16">
        <f t="shared" si="3"/>
        <v>14</v>
      </c>
      <c r="L77" s="35">
        <v>10</v>
      </c>
      <c r="M77" s="16">
        <f t="shared" si="4"/>
        <v>4</v>
      </c>
      <c r="N77" s="36">
        <v>2650</v>
      </c>
      <c r="O77" s="16">
        <f t="shared" si="5"/>
        <v>10600</v>
      </c>
    </row>
    <row r="78" spans="1:17" s="37" customFormat="1" ht="16.5" x14ac:dyDescent="0.25">
      <c r="A78" s="30" t="s">
        <v>19</v>
      </c>
      <c r="B78" s="31" t="s">
        <v>90</v>
      </c>
      <c r="C78" s="32">
        <v>45685</v>
      </c>
      <c r="D78" s="32">
        <v>45696</v>
      </c>
      <c r="E78" s="32"/>
      <c r="F78" s="32"/>
      <c r="G78" s="42">
        <v>45707</v>
      </c>
      <c r="H78" s="31">
        <v>7602470</v>
      </c>
      <c r="I78" s="34">
        <v>75480897</v>
      </c>
      <c r="J78" s="31" t="s">
        <v>17</v>
      </c>
      <c r="K78" s="16">
        <f t="shared" si="3"/>
        <v>12</v>
      </c>
      <c r="L78" s="35">
        <v>10</v>
      </c>
      <c r="M78" s="16">
        <f t="shared" si="4"/>
        <v>2</v>
      </c>
      <c r="N78" s="36">
        <v>2650</v>
      </c>
      <c r="O78" s="16">
        <f t="shared" si="5"/>
        <v>5300</v>
      </c>
    </row>
    <row r="79" spans="1:17" s="1" customFormat="1" ht="16.5" x14ac:dyDescent="0.25">
      <c r="A79" s="21" t="s">
        <v>19</v>
      </c>
      <c r="B79" s="22" t="s">
        <v>91</v>
      </c>
      <c r="C79" s="23">
        <v>45685</v>
      </c>
      <c r="D79" s="23">
        <v>45696</v>
      </c>
      <c r="E79" s="23"/>
      <c r="F79" s="23"/>
      <c r="G79" s="27">
        <v>45716</v>
      </c>
      <c r="H79" s="22">
        <v>7602966</v>
      </c>
      <c r="I79" s="24">
        <v>76599091</v>
      </c>
      <c r="J79" s="22" t="s">
        <v>17</v>
      </c>
      <c r="K79" s="12">
        <f t="shared" si="3"/>
        <v>21</v>
      </c>
      <c r="L79" s="25">
        <v>10</v>
      </c>
      <c r="M79" s="12">
        <f t="shared" si="4"/>
        <v>11</v>
      </c>
      <c r="N79" s="26">
        <v>2650</v>
      </c>
      <c r="O79" s="16">
        <f t="shared" si="5"/>
        <v>29150</v>
      </c>
    </row>
    <row r="80" spans="1:17" ht="33.75" customHeight="1" thickBot="1" x14ac:dyDescent="0.35">
      <c r="A80" s="17" t="s">
        <v>9</v>
      </c>
      <c r="B80" s="18"/>
      <c r="C80" s="18"/>
      <c r="D80" s="18"/>
      <c r="E80" s="18"/>
      <c r="F80" s="18"/>
      <c r="G80" s="18"/>
      <c r="H80" s="18"/>
      <c r="I80" s="18"/>
      <c r="J80" s="18"/>
      <c r="K80" s="19">
        <f>SUM(K8:K79)</f>
        <v>1288</v>
      </c>
      <c r="L80" s="19"/>
      <c r="M80" s="19">
        <f>SUM(M8:M79)</f>
        <v>568</v>
      </c>
      <c r="N80" s="19"/>
      <c r="O80" s="28">
        <f>SUM(O8:O79)</f>
        <v>1505200</v>
      </c>
      <c r="P80" s="4"/>
      <c r="Q80" s="4"/>
    </row>
    <row r="81" spans="1:17" ht="15.75" x14ac:dyDescent="0.25">
      <c r="P81" s="4"/>
      <c r="Q81" s="4"/>
    </row>
    <row r="82" spans="1:17" ht="15.75" x14ac:dyDescent="0.25">
      <c r="P82" s="4"/>
      <c r="Q82" s="4"/>
    </row>
    <row r="83" spans="1:17" ht="15.75" x14ac:dyDescent="0.25">
      <c r="A83" t="s">
        <v>93</v>
      </c>
      <c r="P83" s="4"/>
      <c r="Q83" s="4"/>
    </row>
    <row r="84" spans="1:17" s="2" customFormat="1" x14ac:dyDescent="0.25">
      <c r="A84"/>
    </row>
    <row r="86" spans="1:17" s="2" customFormat="1" ht="15" customHeight="1" x14ac:dyDescent="0.25">
      <c r="A86" t="s">
        <v>10</v>
      </c>
      <c r="M86"/>
    </row>
    <row r="87" spans="1:17" s="2" customFormat="1" x14ac:dyDescent="0.25">
      <c r="A87" s="3"/>
      <c r="B87" s="3"/>
      <c r="C87" s="3"/>
      <c r="D87" s="3"/>
      <c r="E87"/>
      <c r="F87" s="3"/>
      <c r="G87" s="3"/>
      <c r="H87" s="3"/>
      <c r="I87" s="3"/>
      <c r="J87" s="3"/>
      <c r="K87" s="3"/>
      <c r="L87" s="3"/>
      <c r="M87" s="3"/>
      <c r="N87"/>
      <c r="O87" s="3"/>
    </row>
    <row r="88" spans="1:17" s="2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7" s="2" customForma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7" s="2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7" s="2" customFormat="1" x14ac:dyDescent="0.25">
      <c r="A91" s="13"/>
      <c r="B91" s="13"/>
      <c r="C91" s="13"/>
      <c r="D91"/>
      <c r="E91"/>
      <c r="F91"/>
      <c r="G91"/>
      <c r="H91"/>
      <c r="I91"/>
      <c r="J91"/>
      <c r="K91"/>
      <c r="L91"/>
      <c r="M91"/>
      <c r="N91"/>
      <c r="O91"/>
    </row>
    <row r="94" spans="1:17" ht="16.5" x14ac:dyDescent="0.3">
      <c r="A94" s="14"/>
    </row>
  </sheetData>
  <autoFilter ref="A7:Q80" xr:uid="{CA08BF52-AFD1-4EF1-B5EC-6C3607B7BF36}"/>
  <mergeCells count="1">
    <mergeCell ref="H3:J3"/>
  </mergeCells>
  <pageMargins left="0.19652778000000001" right="0.19652778000000001" top="0.31527779" bottom="0.31527779" header="0.31527779" footer="0.31527779"/>
  <pageSetup paperSize="9" scale="37" fitToHeight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Приложение к акту Штрафы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Kosheleva Anastasiya</dc:creator>
  <cp:lastModifiedBy>Гусева Екатерина Сергеевна</cp:lastModifiedBy>
  <cp:lastPrinted>2020-12-01T14:13:50Z</cp:lastPrinted>
  <dcterms:created xsi:type="dcterms:W3CDTF">2015-06-08T12:00:18Z</dcterms:created>
  <dcterms:modified xsi:type="dcterms:W3CDTF">2025-04-21T13:39:48Z</dcterms:modified>
</cp:coreProperties>
</file>