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etmonenko_p\Desktop\Полина\ЛИС\"/>
    </mc:Choice>
  </mc:AlternateContent>
  <xr:revisionPtr revIDLastSave="0" documentId="13_ncr:1_{42AF785B-CB45-4C92-AA96-519B3CAF1E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И-ТРАНС вх. претензии" sheetId="1" r:id="rId1"/>
    <sheet name="Претензии исх. РИ-ТРАНС" sheetId="8" r:id="rId2"/>
  </sheets>
  <definedNames>
    <definedName name="_xlnm._FilterDatabase" localSheetId="1" hidden="1">'Претензии исх. РИ-ТРАНС'!$A$11:$L$87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4" i="1" l="1"/>
  <c r="L86" i="1"/>
  <c r="E81" i="8"/>
  <c r="F141" i="1" l="1"/>
  <c r="F28" i="1"/>
  <c r="L27" i="1" l="1"/>
  <c r="L83" i="1"/>
  <c r="L85" i="1"/>
  <c r="F131" i="1" l="1"/>
  <c r="F127" i="1"/>
  <c r="L17" i="8" l="1"/>
</calcChain>
</file>

<file path=xl/sharedStrings.xml><?xml version="1.0" encoding="utf-8"?>
<sst xmlns="http://schemas.openxmlformats.org/spreadsheetml/2006/main" count="1779" uniqueCount="768">
  <si>
    <t>№ п/п</t>
  </si>
  <si>
    <t>Погашено</t>
  </si>
  <si>
    <t>Реквизиты п/п об оплате претензии</t>
  </si>
  <si>
    <t>№04/24-1538 от 09.04.2024</t>
  </si>
  <si>
    <t>№19-СО от 10.04.2024</t>
  </si>
  <si>
    <t>№21-СО от 10.04.2024</t>
  </si>
  <si>
    <t>№20-СО от 10.04.2024</t>
  </si>
  <si>
    <t>№04/24-1537 от 09.04.2024</t>
  </si>
  <si>
    <t>№35-СО от 03.05.2024</t>
  </si>
  <si>
    <t>апрель 2024</t>
  </si>
  <si>
    <t>№ГК000305008 от 03.05.2024</t>
  </si>
  <si>
    <t>Номер и дата письма / претензии (исх.)</t>
  </si>
  <si>
    <t>Дата и рег. номер претензии (вх.)</t>
  </si>
  <si>
    <t>При погрузке / выгрузке</t>
  </si>
  <si>
    <t>погрузка</t>
  </si>
  <si>
    <t>№ГК002506002 от 25.06.2024</t>
  </si>
  <si>
    <t>№51-СО от 25.06.2024</t>
  </si>
  <si>
    <t>выгрузка</t>
  </si>
  <si>
    <t>№ГК002506001 от 25.06.2024</t>
  </si>
  <si>
    <t>№52-СО от 25.06.2024</t>
  </si>
  <si>
    <t>выгрузка (Ишаново)</t>
  </si>
  <si>
    <t>выгрузка (Новочугевка)</t>
  </si>
  <si>
    <t>№200 от 27.06.2024</t>
  </si>
  <si>
    <t>№53-СО от 27.06.2024</t>
  </si>
  <si>
    <t>№201 от 27.06.2024</t>
  </si>
  <si>
    <t>№54-СО от 27.06.2024</t>
  </si>
  <si>
    <t>январь-май 2024</t>
  </si>
  <si>
    <t>№ГК000107018 от 01.07.2024</t>
  </si>
  <si>
    <t>Претензии и письма от ООО "ГК Вагонсервис" по договору №ГКВС-116/2022 от 01.07.2022</t>
  </si>
  <si>
    <t>Претензии и письма от  АО "НефтеТрансСервис" по договору №1-04-77-НТС/21 от 20.09.2021</t>
  </si>
  <si>
    <t>Претензии и письма от РТС ТОО  по договору №2023/РТСО-223 от 15.02.2023</t>
  </si>
  <si>
    <t>Претензии и письма от ООО "БалтТрансСервис" по договору №БТСк-133-22-094 от 10.03.2022</t>
  </si>
  <si>
    <t>Претензии и письма от  ООО "АС Сервис" по договору №ТЭУ-20221201  от 01.12.2022</t>
  </si>
  <si>
    <t>Претензии и письма от ООО "Газпромтранс" по договору №2200232 от 16.05.2024</t>
  </si>
  <si>
    <t>№47-СО от 07.06.2024</t>
  </si>
  <si>
    <t>04.12.2023-12.12.2023</t>
  </si>
  <si>
    <t>выгрузка (Войновка-Авчала)</t>
  </si>
  <si>
    <t>№10/09-03-042024/69707 от 16.05.2024</t>
  </si>
  <si>
    <t>выгрузка
4370600,00
4167650,00
4696550,00</t>
  </si>
  <si>
    <t>№60-СО от 02.07.2024</t>
  </si>
  <si>
    <t xml:space="preserve"> - </t>
  </si>
  <si>
    <t>погрузка 574200,00/выгрузка 1100,00</t>
  </si>
  <si>
    <t>погрузка 909700,00/ выгрузка 261800,00</t>
  </si>
  <si>
    <t>№61-СО от 02.07.2024</t>
  </si>
  <si>
    <t>№ГК000507005 от 05.07.2024</t>
  </si>
  <si>
    <t>№66-СО от 05.07.2024</t>
  </si>
  <si>
    <t xml:space="preserve">выгрузка </t>
  </si>
  <si>
    <t>за пределами РФ</t>
  </si>
  <si>
    <t xml:space="preserve"> №379 от 10.07.2024</t>
  </si>
  <si>
    <t>№ 365 от 05.07.2024</t>
  </si>
  <si>
    <t>№ 364 от 05.07.2024</t>
  </si>
  <si>
    <t>12000</t>
  </si>
  <si>
    <t>№372 от 10.07.2024</t>
  </si>
  <si>
    <t>№371 от 10.07.2024</t>
  </si>
  <si>
    <t>№374 от 10.07.2024</t>
  </si>
  <si>
    <t>№368 от 10.07.2024</t>
  </si>
  <si>
    <t>№375 от 10.07.2024</t>
  </si>
  <si>
    <t>№370 от 10.07.2024</t>
  </si>
  <si>
    <t>№369 от 10.07.2024</t>
  </si>
  <si>
    <t>№п/п</t>
  </si>
  <si>
    <t>выгрузка 6223800 / выгрузка интер 612950</t>
  </si>
  <si>
    <t>при отправлении</t>
  </si>
  <si>
    <t>под выгрузкой</t>
  </si>
  <si>
    <t>№ГК001607001 от 16.07.2024</t>
  </si>
  <si>
    <t>№68-СО от 16.07.2024</t>
  </si>
  <si>
    <t>№ГК000208009 от 02.08.2024</t>
  </si>
  <si>
    <t>№79-СО от 02.08.2024</t>
  </si>
  <si>
    <t>погрузка (Тюмень-Северная-Новочугуевка)</t>
  </si>
  <si>
    <t>№249 от 05.08.2024</t>
  </si>
  <si>
    <t>№83-СО от 07.08.2024</t>
  </si>
  <si>
    <t>июнь-июль 2024</t>
  </si>
  <si>
    <t>выгрузка 7377950/ выгрузка за пределами РФ</t>
  </si>
  <si>
    <t>погрузка 32400/выгрузка 904500</t>
  </si>
  <si>
    <t>выгрузка 9432050/
ин.тер 986050/
погрузка 2470250</t>
  </si>
  <si>
    <t>№ГК002708009 от 27.08.2024</t>
  </si>
  <si>
    <t>№93-СО от 27.08.2024</t>
  </si>
  <si>
    <t>№ГК002708008 от 27.08.2024</t>
  </si>
  <si>
    <t>№92-СО от 27.08.2024</t>
  </si>
  <si>
    <t>погрузка (Тюмень-Северная - Войновка)</t>
  </si>
  <si>
    <t>исх. № 708017 от 27.08.2024</t>
  </si>
  <si>
    <t>№94-СО от 28.08.2024</t>
  </si>
  <si>
    <t>вырузка (Новочугевка)</t>
  </si>
  <si>
    <t>задержка вагонов в пути следования</t>
  </si>
  <si>
    <t>Претензии и письма от ООО "Урал Логистика" по договору №424/2024 от 23.08.2024</t>
  </si>
  <si>
    <t>Вагонсервис</t>
  </si>
  <si>
    <t>убытки (перевыставление штрафа)</t>
  </si>
  <si>
    <t>Наименование контрагента</t>
  </si>
  <si>
    <t>Номер претензии, дата</t>
  </si>
  <si>
    <t>Сумма требований</t>
  </si>
  <si>
    <t>Договор (номер, дата)</t>
  </si>
  <si>
    <t>Предмет требований</t>
  </si>
  <si>
    <t>ООО "РИ-ИНВЕСТ"</t>
  </si>
  <si>
    <t>№1 от 01.10.2021</t>
  </si>
  <si>
    <t>штраф</t>
  </si>
  <si>
    <t>ООО "Балчуг-Петролеум"</t>
  </si>
  <si>
    <t>№27 от 01.08.2024</t>
  </si>
  <si>
    <t xml:space="preserve">ООО "АМЕТ" </t>
  </si>
  <si>
    <t>№28 от 06.08.2024</t>
  </si>
  <si>
    <t>№20230101-1 от 01.01.2023</t>
  </si>
  <si>
    <t>перевыставление от БТС, ЭТГ</t>
  </si>
  <si>
    <t>штрафы получены от Вагонсервис, ЭТГ, Газпромтранс, АС Сервис</t>
  </si>
  <si>
    <t>Данные об оплате</t>
  </si>
  <si>
    <t>№29 от 06.08.2024</t>
  </si>
  <si>
    <t>Комментарии (данные об операторе)</t>
  </si>
  <si>
    <t>ООО "АС Сервис"</t>
  </si>
  <si>
    <t>№38 от 09.09.2024</t>
  </si>
  <si>
    <t>№30 АС-Э22 от 01.06.2022</t>
  </si>
  <si>
    <t>НефтеТрансСервис</t>
  </si>
  <si>
    <t>ООО "ТТК"</t>
  </si>
  <si>
    <t>№37 от 09.09.2024</t>
  </si>
  <si>
    <t>штрафы получены от Вагонсервис, ЭТГ, АС Сервис</t>
  </si>
  <si>
    <t>№39 от 12.09.2024</t>
  </si>
  <si>
    <t>Претензии от ООО "РИ-ТРАНС"</t>
  </si>
  <si>
    <t>№2940/ИП-НТС от 08.08.2024</t>
  </si>
  <si>
    <t>убытки (повреждение вагона)</t>
  </si>
  <si>
    <t>№21 от 05.07.2024</t>
  </si>
  <si>
    <t>№22 от 05.07.2024</t>
  </si>
  <si>
    <t>№8 от 07.05.2024, №20 от 25.06.2024</t>
  </si>
  <si>
    <t>№01/41 (2022)/ 01/03-2022ТЭО от 01.03.2022</t>
  </si>
  <si>
    <t>№ГК001509016 от 15.09.2024</t>
  </si>
  <si>
    <t>№107-со от 17.09.2024</t>
  </si>
  <si>
    <t>№105-со от 19.09.2024</t>
  </si>
  <si>
    <t>№ГК001609014 от 16.09.2024</t>
  </si>
  <si>
    <t>№ГК001609003 от 16.09.2024</t>
  </si>
  <si>
    <t>№3235/ИП-НТС от 03.09.2024</t>
  </si>
  <si>
    <t>№103-со от 17.09.2024</t>
  </si>
  <si>
    <t>выгрузка/ин.территории</t>
  </si>
  <si>
    <t>неосновательное обогащение</t>
  </si>
  <si>
    <t>№10/09-03-072024/71615 от 22.08.2024</t>
  </si>
  <si>
    <t>№109-со от 24.09.2024</t>
  </si>
  <si>
    <t>№49 от 27.09.2024</t>
  </si>
  <si>
    <t>НТС (иностранные территории)</t>
  </si>
  <si>
    <t>№517 от 25.09.2024</t>
  </si>
  <si>
    <t>№ГК003009004 от 30.09.2024</t>
  </si>
  <si>
    <t>№113-СО от 01.10.2024</t>
  </si>
  <si>
    <t>№ГК002709006 от 27.09.2024</t>
  </si>
  <si>
    <t>№111-СО от 27.09.2024</t>
  </si>
  <si>
    <t xml:space="preserve">погрузка </t>
  </si>
  <si>
    <t>№66 от 30.10.2024</t>
  </si>
  <si>
    <t>Вагонсервис, Газпромтранс (погрузка / выгрузка)</t>
  </si>
  <si>
    <t>№11723 от 29.10.2024</t>
  </si>
  <si>
    <t>№136-со от 18.11.2024</t>
  </si>
  <si>
    <t>№10/24-4547 от 10.10.2024</t>
  </si>
  <si>
    <t>№126-со от 21.10.2024</t>
  </si>
  <si>
    <t>№10/24-4548 от 10.10.2024</t>
  </si>
  <si>
    <t>№124-со от 21.10.2024</t>
  </si>
  <si>
    <t>№125-со от 21.10.2024</t>
  </si>
  <si>
    <t>№10/24-4550 от 10.10.2024</t>
  </si>
  <si>
    <t>№10/24-4546 от 10.10.2024</t>
  </si>
  <si>
    <t>№127-со от 21.10.2024</t>
  </si>
  <si>
    <t>№11/24-5052 от 12.11.2024</t>
  </si>
  <si>
    <t>№ГК001510010 от 15.10.2024</t>
  </si>
  <si>
    <t>№123-со от 21.10.2024</t>
  </si>
  <si>
    <t>№ГК000211007 от 02.11.2024</t>
  </si>
  <si>
    <t>№131-со от 06.11.2024</t>
  </si>
  <si>
    <t>№ГК002611011 от 26.11.2024</t>
  </si>
  <si>
    <t>№139-со от 27.11.2024</t>
  </si>
  <si>
    <t>№ГК002611012 от 26.11.2024</t>
  </si>
  <si>
    <t>№140-со от 27.11.2024</t>
  </si>
  <si>
    <t>№126 от 17.12.2024</t>
  </si>
  <si>
    <t>Вагонсервис (погрузка)</t>
  </si>
  <si>
    <t>ООО "ЭнергоТрансГрупп"</t>
  </si>
  <si>
    <t>№116 от 10.12.2024</t>
  </si>
  <si>
    <t>№ РИТ-22-1-140 от 14.03.2022</t>
  </si>
  <si>
    <t>№ГК000612013 от 06.12.2024</t>
  </si>
  <si>
    <t xml:space="preserve">№ГК000612014 от 06.12.2024 </t>
  </si>
  <si>
    <t>№149-со от 13.12.2024</t>
  </si>
  <si>
    <t>№148-со от 13.12.2024</t>
  </si>
  <si>
    <t>№6-со от 23.01.2025</t>
  </si>
  <si>
    <t>№ГК001501010 от 16.01.2025</t>
  </si>
  <si>
    <t>№ГК001501011 от 16.01.2025</t>
  </si>
  <si>
    <t>№5-со от 23.01.2025</t>
  </si>
  <si>
    <t>№4-со от 20.01.2025</t>
  </si>
  <si>
    <t>Счет №1063 от 16.12.2024</t>
  </si>
  <si>
    <t>погрузка/выгрузка</t>
  </si>
  <si>
    <t>УЛ-П/19/2025 от 29.01.2025</t>
  </si>
  <si>
    <t>20-со от 11.02.2025</t>
  </si>
  <si>
    <t>№12071 от 14.02.2025</t>
  </si>
  <si>
    <t>№26-со от 21.02.2025</t>
  </si>
  <si>
    <t>бросание</t>
  </si>
  <si>
    <t>№12075 от 18.02.25</t>
  </si>
  <si>
    <t>погрузка/выгрузка/ин.тер</t>
  </si>
  <si>
    <t>№29-со от 26.02.25</t>
  </si>
  <si>
    <t>Итого:</t>
  </si>
  <si>
    <t>Претензии и письма от ООО "РТС-Транс" по договору №Д-159 от 02.12.2024</t>
  </si>
  <si>
    <t>№125/25 от 06.03.2025</t>
  </si>
  <si>
    <t>№38-со от 07.03.2025</t>
  </si>
  <si>
    <t>Выгрузка</t>
  </si>
  <si>
    <t>№124/25 от 06.03.2025</t>
  </si>
  <si>
    <t>№39-со от 07.03.2025</t>
  </si>
  <si>
    <t>№УЛ-П/146/2024 от 05.12.2024</t>
  </si>
  <si>
    <t>154-со от 24.12.2024</t>
  </si>
  <si>
    <t>ООО "АМЕТ"</t>
  </si>
  <si>
    <t>№47 от 07.03.2025</t>
  </si>
  <si>
    <t>№27 от 11.02.2025</t>
  </si>
  <si>
    <t>Кузбасс-Энерготранс</t>
  </si>
  <si>
    <t>№26 от 19.07.2024</t>
  </si>
  <si>
    <t>п/п №1935 от 04.03.2025</t>
  </si>
  <si>
    <t>Сумма оплаты</t>
  </si>
  <si>
    <t>п/п №241 от 30.01.2025</t>
  </si>
  <si>
    <t>п/п №540 от 24.01.2025</t>
  </si>
  <si>
    <t>п/п №539 от 24.01.2025</t>
  </si>
  <si>
    <t>п/п №7869 от 23.09.2024</t>
  </si>
  <si>
    <t>п/п №9975 от 18.11.2024, №9946 от 15.11.2024</t>
  </si>
  <si>
    <t>п/п №9945 от 15.11.2024</t>
  </si>
  <si>
    <t>п/п №9944 от 15.11.2024</t>
  </si>
  <si>
    <t>п/п №251 от 08.10.2024</t>
  </si>
  <si>
    <t>№913/ИП-НТС от 12.03.2025</t>
  </si>
  <si>
    <t>№44-со от 13.03.2025</t>
  </si>
  <si>
    <t>выгрузка/погрузка/ин.тер.</t>
  </si>
  <si>
    <t>№777/ИП-НТС от 03.03.2025</t>
  </si>
  <si>
    <t>№40-со от 07.03.2025</t>
  </si>
  <si>
    <t>ноябрь 2024</t>
  </si>
  <si>
    <t>№171/ИП-НТС от 20.01.2025</t>
  </si>
  <si>
    <t>№15-со от 31.01.2025</t>
  </si>
  <si>
    <t>№800/ИП-НТС от 05.03.2025</t>
  </si>
  <si>
    <t>№42-со от 07.03.2025</t>
  </si>
  <si>
    <t>№34 от 17.02.2025</t>
  </si>
  <si>
    <t>№02/25-896 от 27.02.2025</t>
  </si>
  <si>
    <t>№32-со от 04.03.2025</t>
  </si>
  <si>
    <t>ин.тер</t>
  </si>
  <si>
    <t>№02/25-895 от 27.02.2025</t>
  </si>
  <si>
    <t>№33-со от 04.03.2025</t>
  </si>
  <si>
    <t>№02/25-874 от 26.02.2025</t>
  </si>
  <si>
    <t>№30-со от 26.02.2025</t>
  </si>
  <si>
    <t>№45 от 05.03.2025</t>
  </si>
  <si>
    <t>п/п №767 от 20.03.2025</t>
  </si>
  <si>
    <t>п/п №2483 от 21.03.2025</t>
  </si>
  <si>
    <t>п/п №2482 от 21.03.2025</t>
  </si>
  <si>
    <t>№132-со от 14.11.2024</t>
  </si>
  <si>
    <t>№20 от 14.02.2025</t>
  </si>
  <si>
    <t>№51-со от 01.04.2025</t>
  </si>
  <si>
    <t>№334/45 от 28.03.2025</t>
  </si>
  <si>
    <t>декабрь 2023-март 2024</t>
  </si>
  <si>
    <t>Выгрузка ин.тер.</t>
  </si>
  <si>
    <t>№71 от 26.03.2025</t>
  </si>
  <si>
    <t>плата (представлены акты и накопительные ведомости)</t>
  </si>
  <si>
    <t>штрафы получены от НТС</t>
  </si>
  <si>
    <t>штрафы получены от Кузбасс-Энерготранс, ГК Вагонсервис, Урал Логистика</t>
  </si>
  <si>
    <t>Штрафы получены от ГК Вагонсервис, Газпромтранс, АС Сервис, ЭТГ</t>
  </si>
  <si>
    <t>№104-со от 17.09.2024</t>
  </si>
  <si>
    <t>БТС</t>
  </si>
  <si>
    <t>штрафы получены от Балттранссервис</t>
  </si>
  <si>
    <t>№УЛ-П/47/2025 от 31.03.2025</t>
  </si>
  <si>
    <t>Претензии  ООО "ПМХ-Транспорт"</t>
  </si>
  <si>
    <t>№ГК002503013 от 25.03.2025</t>
  </si>
  <si>
    <t>№48-со от 31.03.2025</t>
  </si>
  <si>
    <t>№ГК002503012 от 25.03.2025</t>
  </si>
  <si>
    <t>№49-со от 31.03.2025</t>
  </si>
  <si>
    <t>№58 от 17.04.2025</t>
  </si>
  <si>
    <t>№ ГК001704015 от 17.04.2025</t>
  </si>
  <si>
    <t>№59 от 17.04.2025</t>
  </si>
  <si>
    <t>№283/25 от 30.04.2025</t>
  </si>
  <si>
    <t>№67-со от 06.05.2025</t>
  </si>
  <si>
    <t>№УЛ-П/54/2025 от 22.04.2025</t>
  </si>
  <si>
    <t>№64-со от 06.05.2025</t>
  </si>
  <si>
    <t>№12431 от 25.04.2025</t>
  </si>
  <si>
    <t>№66- со от 06.05.2025</t>
  </si>
  <si>
    <t>№1496ИП-НТС от 06.05.2025</t>
  </si>
  <si>
    <t>№69-со от 13.05.2025</t>
  </si>
  <si>
    <t>№1590ИП-НТС от 15.05.2025</t>
  </si>
  <si>
    <t>№73-со от 21.05.2025</t>
  </si>
  <si>
    <t>№1582/ИП-НТС от 15.05.2025</t>
  </si>
  <si>
    <t>№72-со от 21.05.2025</t>
  </si>
  <si>
    <t>№300/25 от 14.05.2025</t>
  </si>
  <si>
    <t>№70-со от 21.05.2025</t>
  </si>
  <si>
    <t>выгрузка/погрузка</t>
  </si>
  <si>
    <t>№05/25-2035 от 14.05.2025</t>
  </si>
  <si>
    <t>№74-со от 23.05.2025</t>
  </si>
  <si>
    <t>№05/25-2036 от 14.05.2025</t>
  </si>
  <si>
    <t>№75-со от 23.05.2025</t>
  </si>
  <si>
    <t>№119 от 20.05.2025</t>
  </si>
  <si>
    <t>№97 от 16.04.2025</t>
  </si>
  <si>
    <t>№69 от 01.04.2025</t>
  </si>
  <si>
    <t>№98 от 15.04.2025</t>
  </si>
  <si>
    <t>№68 от 01.04.2025</t>
  </si>
  <si>
    <t>№67 от 01.04.2025</t>
  </si>
  <si>
    <t>№118 от 20.05.2025</t>
  </si>
  <si>
    <t>№01/25-95 
(2024-2-В/корр/2) 
от 13.01.2025</t>
  </si>
  <si>
    <t>№УЛ-П/74/2025 от 21.05.2025</t>
  </si>
  <si>
    <t>№83-со от 06.06.2025</t>
  </si>
  <si>
    <t>Штрафы получены от Вагонсервис, УЛ</t>
  </si>
  <si>
    <t>Штрафы от РТС-Транс</t>
  </si>
  <si>
    <t>Штрафы от БТС, ЭТГ</t>
  </si>
  <si>
    <t>перевыставление от Вагонсервис, УЛ</t>
  </si>
  <si>
    <t>пернвыставление от ПМХ-Транспорт</t>
  </si>
  <si>
    <t>перевыставление БТС, ЭТГ</t>
  </si>
  <si>
    <t>перевыставление от БТС</t>
  </si>
  <si>
    <t>№УЛ-П/105/2025 от 23.06.2025</t>
  </si>
  <si>
    <t>выгрузка/ин.тер.</t>
  </si>
  <si>
    <t>№УЛ-П/106/2025 от 23.06.2025</t>
  </si>
  <si>
    <t>№94-со от 08.07.2025</t>
  </si>
  <si>
    <t>№93-со от 08.07.2025</t>
  </si>
  <si>
    <t>№ГК 001006017 от 10.06.2025</t>
  </si>
  <si>
    <t>№85-со от 16.06.2025</t>
  </si>
  <si>
    <t>№84-со от 16.06.2025</t>
  </si>
  <si>
    <t>№1239 от 02.06.2025</t>
  </si>
  <si>
    <t>№86-со от 17.06.2025</t>
  </si>
  <si>
    <t>№1241 от 02.06.2025</t>
  </si>
  <si>
    <t>№87-со от 17.06.2025</t>
  </si>
  <si>
    <t>№1244 от 03.06.2025</t>
  </si>
  <si>
    <t>№90-со от 24.06.2025</t>
  </si>
  <si>
    <t>ин.тер.</t>
  </si>
  <si>
    <t>№23 от 31.01.2025</t>
  </si>
  <si>
    <t>№07/25-3253 от 23.07.2025</t>
  </si>
  <si>
    <t>№99-со от 29.07.2025</t>
  </si>
  <si>
    <t>№98-со от 29.07.2025</t>
  </si>
  <si>
    <t xml:space="preserve">№ГК002605008 от 26.05.2025 </t>
  </si>
  <si>
    <t>№ГК002605009 от 26.05.2025</t>
  </si>
  <si>
    <t>№77-со от 27.05.2025</t>
  </si>
  <si>
    <t>№78-со от 27.05.2025</t>
  </si>
  <si>
    <t>№12597 от 17.06.2025</t>
  </si>
  <si>
    <t>№89-со от 24.06.2025</t>
  </si>
  <si>
    <t>№2016/ИП-НТС от 27.06.2025</t>
  </si>
  <si>
    <t>№92-со от 01.07.2025</t>
  </si>
  <si>
    <t>№174 от 24.07.2025</t>
  </si>
  <si>
    <t>неустойка</t>
  </si>
  <si>
    <t>перевыставлние от НТС</t>
  </si>
  <si>
    <t>№08/25-3720 от 20.08.2025</t>
  </si>
  <si>
    <t>№105-со от 26.08.2025</t>
  </si>
  <si>
    <t>ГК001308002 от 13.08.2025</t>
  </si>
  <si>
    <t>№103-со от 25.08.2025</t>
  </si>
  <si>
    <t>№ГК001308001 от 13.08.2025</t>
  </si>
  <si>
    <t>№102-со от 25.08.2025</t>
  </si>
  <si>
    <t>№08/25-3865 от 27.08.2025</t>
  </si>
  <si>
    <t>№106-со от 01.09.2025</t>
  </si>
  <si>
    <t>выгузка</t>
  </si>
  <si>
    <t>№2459433/Укл от 14.07.2025</t>
  </si>
  <si>
    <t>№107-со от 03.09.2025</t>
  </si>
  <si>
    <t>13.10.2024</t>
  </si>
  <si>
    <t>№2459595/Укл от 14.07.2025</t>
  </si>
  <si>
    <t>№108-со от 03.09.2025</t>
  </si>
  <si>
    <t>05.11.2024</t>
  </si>
  <si>
    <t>УЛ</t>
  </si>
  <si>
    <t>№07/25-3252 от 23.07.2025</t>
  </si>
  <si>
    <t>БТС, УЛ</t>
  </si>
  <si>
    <t>№20230101-1 от 01.01.2024</t>
  </si>
  <si>
    <t>первыставление БТС, УЛ</t>
  </si>
  <si>
    <t>п/п №242 от 11.04.2025</t>
  </si>
  <si>
    <t>№ п/п 241 от 11.04.2025</t>
  </si>
  <si>
    <t>№511 от 12.09.2024, №528 от 26.09.2024, №668 ОТ 28.11.2024</t>
  </si>
  <si>
    <t>№573 от 18.10.2024</t>
  </si>
  <si>
    <t>№475 от 29.08.2024</t>
  </si>
  <si>
    <t>№628 ОТ 13.11.2024</t>
  </si>
  <si>
    <t>№172 от 02.04.2024 , №185 от 05.04.2024,  №460 от 20.08.2024, №441 от 09.08.2024, №399 от 16.07.2024, №421 от 31.07.2024</t>
  </si>
  <si>
    <t>№1 от 19.08.2024, №2 от 20.08.2024</t>
  </si>
  <si>
    <t>№02-24/830 от 07.08.2024</t>
  </si>
  <si>
    <t>февраль-май 2024</t>
  </si>
  <si>
    <t>№48 от 21.01.2025</t>
  </si>
  <si>
    <t>№594 от 29.10.2024</t>
  </si>
  <si>
    <t>№84-со от 09.08.2024</t>
  </si>
  <si>
    <t>№121-со от 11.10.2024</t>
  </si>
  <si>
    <t>№ГК001509004 от 15.09.2024</t>
  </si>
  <si>
    <t>№122-со от 11.10.2024</t>
  </si>
  <si>
    <t>№ГК002309020 от 15.09.2024</t>
  </si>
  <si>
    <t>№119-со от 09.10.2024</t>
  </si>
  <si>
    <t>№120-со от 09.10.2024</t>
  </si>
  <si>
    <t>№ГК000810035 от 08.10.2024</t>
  </si>
  <si>
    <t>№ГК000810036 от 08.10.2024</t>
  </si>
  <si>
    <t>№592 от 29.10.2024</t>
  </si>
  <si>
    <t>№ ГК000603013 от 06.03.2025</t>
  </si>
  <si>
    <t>№36-со от 07.03.2025</t>
  </si>
  <si>
    <t>№ ГК000603012 от 06.03.2025</t>
  </si>
  <si>
    <t>№37-со от 07.03.2025</t>
  </si>
  <si>
    <t>№ГК001102017 от 12.02.2025</t>
  </si>
  <si>
    <t>№21-со от 14.02.2025</t>
  </si>
  <si>
    <t>№ГК001102016 от 12.2.2025</t>
  </si>
  <si>
    <t>№22-со от 14.02.2025</t>
  </si>
  <si>
    <t>№184 от 13.03.2025</t>
  </si>
  <si>
    <t>№721 от 17.12.2024</t>
  </si>
  <si>
    <t>№69 от 04.02.2024</t>
  </si>
  <si>
    <t>№419 от 30.07.2024</t>
  </si>
  <si>
    <t>№185 от 13.03.2025</t>
  </si>
  <si>
    <t>№52 от 24.01.2025</t>
  </si>
  <si>
    <t>Претензии ООО "КУЗБАСС-ЭНЕРГОТРАНС"</t>
  </si>
  <si>
    <t>сентябрь - ноябрь 2024</t>
  </si>
  <si>
    <t>№76 от 06.02.2025</t>
  </si>
  <si>
    <t>№540 от 02.09.2025</t>
  </si>
  <si>
    <t>№201 от 24.03.2025</t>
  </si>
  <si>
    <t>№199 от 24.03.2025</t>
  </si>
  <si>
    <t>№202 от 24.03.2025</t>
  </si>
  <si>
    <t>№200 от 24.03.2025</t>
  </si>
  <si>
    <t>№09/24-4353 от 30.09.2024</t>
  </si>
  <si>
    <t>№117-со от 02.10.2024</t>
  </si>
  <si>
    <t>№95 от 07.02.2025</t>
  </si>
  <si>
    <t>№94 от 07.02.2024</t>
  </si>
  <si>
    <t>№09/24-4352 от 30.09.2024</t>
  </si>
  <si>
    <t>№116-со от 02.10.2024</t>
  </si>
  <si>
    <t>№734 от 23.12.2024</t>
  </si>
  <si>
    <t>№733 от 23.12.2024</t>
  </si>
  <si>
    <t>№735 от 23.12.2024</t>
  </si>
  <si>
    <t>№09/25-4032 от 09.09.2025</t>
  </si>
  <si>
    <t>№111-со от 18.09.2025</t>
  </si>
  <si>
    <t>Штрафы от РТС Оператор</t>
  </si>
  <si>
    <t>№167 от 29.05.2025</t>
  </si>
  <si>
    <t>штрафы от РТС-Транс</t>
  </si>
  <si>
    <t>№1912 от 20.08.2025</t>
  </si>
  <si>
    <t>№112-со от 23.09.2025</t>
  </si>
  <si>
    <t>№113-со от 23.09.2025</t>
  </si>
  <si>
    <t>№220 от 12.09.2025</t>
  </si>
  <si>
    <t>Расходы</t>
  </si>
  <si>
    <t>Штрафы от НТС</t>
  </si>
  <si>
    <t>№10/25-4527 от 07.10.2025</t>
  </si>
  <si>
    <t>№118-со от 10.10.2025</t>
  </si>
  <si>
    <t>№12847 от 24.09.2025</t>
  </si>
  <si>
    <t>№117-со от 10.10.2025</t>
  </si>
  <si>
    <t>№610 от 08.10.2025</t>
  </si>
  <si>
    <t>№2459592/Укл от 25.09.2025</t>
  </si>
  <si>
    <t>№120-со от 15.10.2025</t>
  </si>
  <si>
    <t>№ГК001704015 от 17.04.2025</t>
  </si>
  <si>
    <t>№96-со от 22.07.2025</t>
  </si>
  <si>
    <t>Сумма требований предъявлено, руб.</t>
  </si>
  <si>
    <t>№55-со от 15.04.2025</t>
  </si>
  <si>
    <t>№2236 от 06.10.2025</t>
  </si>
  <si>
    <t>№121-со от 20.10.2025</t>
  </si>
  <si>
    <t>№122-со от 20.10.2025</t>
  </si>
  <si>
    <t>№2233 от 03.10.2025</t>
  </si>
  <si>
    <t>№123-со от 20.10.2025</t>
  </si>
  <si>
    <t>№124-со от 20.10.2025</t>
  </si>
  <si>
    <t>№2223 от 03.10.2025</t>
  </si>
  <si>
    <t>№125-со от 20.10.2025</t>
  </si>
  <si>
    <t>№126-со от 20.10.2025</t>
  </si>
  <si>
    <t>№2232 от 03.10.2025</t>
  </si>
  <si>
    <t>Штрафы от Реилго</t>
  </si>
  <si>
    <t>№ 264 от 22.10.2025</t>
  </si>
  <si>
    <t>ООО «Нефтяная Компания «Новый Поток»</t>
  </si>
  <si>
    <t>№263 от 22.10.2025</t>
  </si>
  <si>
    <t xml:space="preserve">№01/3 (2025) от 01.04.2025г. </t>
  </si>
  <si>
    <t>№228 от 26.09.2025</t>
  </si>
  <si>
    <t>Штрафы от БТС</t>
  </si>
  <si>
    <t>№ 280 от 29.10.2025</t>
  </si>
  <si>
    <t>п/п №663 от 30.10.2025</t>
  </si>
  <si>
    <t>№671 от 01.11.2025</t>
  </si>
  <si>
    <t>№672 от 01.11.2025</t>
  </si>
  <si>
    <t>Претензия отозвана</t>
  </si>
  <si>
    <t>№2510 от 10.11.2025</t>
  </si>
  <si>
    <t>№134-со от 25.11.2025</t>
  </si>
  <si>
    <t>№2511 от 10.11.2025</t>
  </si>
  <si>
    <t>№135-со от 25.11.2025</t>
  </si>
  <si>
    <t>№13095 от 01.11.2025</t>
  </si>
  <si>
    <t>№137-со от 26.11.2025</t>
  </si>
  <si>
    <t>под погрузкой</t>
  </si>
  <si>
    <t>повреждение вагона, 56709991</t>
  </si>
  <si>
    <t>повреждение вагона, 54246210</t>
  </si>
  <si>
    <t>повреждение вагона, 75023549</t>
  </si>
  <si>
    <t>№ГК001704016 от 17.04.2025</t>
  </si>
  <si>
    <t>№ГК001006018 от 10.06.2025</t>
  </si>
  <si>
    <t>№227 от 26.09.2025</t>
  </si>
  <si>
    <t>№229 от 26.09.2025</t>
  </si>
  <si>
    <t>Перевыставление БТС</t>
  </si>
  <si>
    <t>№398 от 11.12.2025</t>
  </si>
  <si>
    <t>№396 от 11.12.2025</t>
  </si>
  <si>
    <t>№397 от 11.12.2025</t>
  </si>
  <si>
    <t>№246 от 15.10.2025</t>
  </si>
  <si>
    <t>Переделать на убытки, не выставлена</t>
  </si>
  <si>
    <t>№403 от 17.12.2025</t>
  </si>
  <si>
    <t>№404 от 17.12.2025</t>
  </si>
  <si>
    <t>Скорректировано до
 2 802 500,00 руб.</t>
  </si>
  <si>
    <t>№387 от 03.12.2025</t>
  </si>
  <si>
    <t>№412 от 23.12.2025</t>
  </si>
  <si>
    <t>№411 от 23.12.2025</t>
  </si>
  <si>
    <t>Штрафы от УЛ</t>
  </si>
  <si>
    <t>№410 от 23.12.2025</t>
  </si>
  <si>
    <t>№409 от 23.12.2025</t>
  </si>
  <si>
    <t>№416 от 25.12.2025</t>
  </si>
  <si>
    <t>убытки/штраф</t>
  </si>
  <si>
    <t>№415 от 25.12.2025</t>
  </si>
  <si>
    <t>№414 от 25.12.2025</t>
  </si>
  <si>
    <t>Перевыставление от УЛ</t>
  </si>
  <si>
    <t>№417 от 26.12.2025</t>
  </si>
  <si>
    <t>№418 от 26.12.2025</t>
  </si>
  <si>
    <t>№1 от 01.10.2022</t>
  </si>
  <si>
    <t>п/п №790 от 25.12.2025</t>
  </si>
  <si>
    <t>п/п №791 от 25.12.2025</t>
  </si>
  <si>
    <t>п/п №788 от 25.12.2025</t>
  </si>
  <si>
    <t>п/п №786 от 25.12.2025</t>
  </si>
  <si>
    <t>п/п №787 от 25.12.2025</t>
  </si>
  <si>
    <t>п/п №789 от 25.12.2025</t>
  </si>
  <si>
    <t>№1 от 12.01.2026</t>
  </si>
  <si>
    <t>№4 от 12.01.2026</t>
  </si>
  <si>
    <t>№3 от 12.01.2026</t>
  </si>
  <si>
    <t>№2 от 12.01.2026</t>
  </si>
  <si>
    <t>убытки</t>
  </si>
  <si>
    <r>
      <t>штрафы получены от  АО "НТС"</t>
    </r>
    <r>
      <rPr>
        <sz val="9"/>
        <color theme="1"/>
        <rFont val="Calibri"/>
        <family val="2"/>
        <charset val="204"/>
        <scheme val="minor"/>
      </rPr>
      <t xml:space="preserve">
11723 от 29.10.2024
12075 от 14.02.2025
12431 от 25.04.2025</t>
    </r>
  </si>
  <si>
    <t>№5 от 12.01.2026</t>
  </si>
  <si>
    <t>№6 от 12.01.2026</t>
  </si>
  <si>
    <t>штраф (выгрузка)</t>
  </si>
  <si>
    <t xml:space="preserve">№223 от 17.09.2025 - ОТОЗВАНО исх. 9 от 13.01.2026 г. перевыставлено по №416 от 25.12.2025, 1 от 12.01.2026  </t>
  </si>
  <si>
    <t xml:space="preserve">№182 от 17.09.2025
ОТОЗВАНО исх. 10 от 13.01.2026 г. </t>
  </si>
  <si>
    <t>№2974 от 26.12.2025</t>
  </si>
  <si>
    <t>№2968 от 26.12.2025</t>
  </si>
  <si>
    <t>№2977 от 26.12.2025</t>
  </si>
  <si>
    <t>сентябрь 2025</t>
  </si>
  <si>
    <t>ин. тер.</t>
  </si>
  <si>
    <t>№2548577/Укл от 23.12.2025</t>
  </si>
  <si>
    <t>повреждение вагона №51586998</t>
  </si>
  <si>
    <t>№ 196 от25.09.2025</t>
  </si>
  <si>
    <t>п/п № 485 от 20.01.2026</t>
  </si>
  <si>
    <t>п/п № 486 от 20.01.2026</t>
  </si>
  <si>
    <t>п/п № 473 от 20.01.2026</t>
  </si>
  <si>
    <t>п/п № 475 от 20.01.2026</t>
  </si>
  <si>
    <t>п/п № 477 от 20.01.2026</t>
  </si>
  <si>
    <t>п/п № 478 от 20.01.2026</t>
  </si>
  <si>
    <t>п/п № 480 от 20.01.2026</t>
  </si>
  <si>
    <t>п/п № 483 от 20.01.2026</t>
  </si>
  <si>
    <t>п/п № 482 от 20.01.2026</t>
  </si>
  <si>
    <t>п/п № 484 от 20.01.2026</t>
  </si>
  <si>
    <t>№24 от 19.01.2026</t>
  </si>
  <si>
    <t>№25 от 19.01.2026</t>
  </si>
  <si>
    <t>№26 от 19.01.2026</t>
  </si>
  <si>
    <t>№27 от 12.01.2027</t>
  </si>
  <si>
    <t>№4-со от 22.01.2026</t>
  </si>
  <si>
    <t>№3-со от 22.01.2026</t>
  </si>
  <si>
    <t>№2-со от 22.01.2026</t>
  </si>
  <si>
    <t>№1-со от 22.01.2026</t>
  </si>
  <si>
    <t>№01/26-253 от 23.01.2026</t>
  </si>
  <si>
    <t>№8-со от 27.01.2026</t>
  </si>
  <si>
    <t>№56 от 30.01.2026</t>
  </si>
  <si>
    <t>№54 от 30.01.2026</t>
  </si>
  <si>
    <t>№55 от 30.01.2026</t>
  </si>
  <si>
    <t>12070899,00 с г/п</t>
  </si>
  <si>
    <t>№98 от 12.02.2026</t>
  </si>
  <si>
    <t>№627 от 12.02.2026</t>
  </si>
  <si>
    <t>№ГКВС-2982 от 20.11.2025</t>
  </si>
  <si>
    <t>№139-со от 05.12.2025</t>
  </si>
  <si>
    <t>повреждение вагона</t>
  </si>
  <si>
    <t>№85 от 18.02.2026</t>
  </si>
  <si>
    <t>штраф по ст. Никель</t>
  </si>
  <si>
    <t>п/п №121 от 17.02.2026</t>
  </si>
  <si>
    <t>п/п №120 от 17.02.2026</t>
  </si>
  <si>
    <t>п/п №118 от 17.02.2026</t>
  </si>
  <si>
    <t>п/п №117 от 17.02.2026</t>
  </si>
  <si>
    <t>п/п №119 от 17.02.2026</t>
  </si>
  <si>
    <t>п/п №116 от 17.02.2026</t>
  </si>
  <si>
    <t>п/п №124 от 17.02.2026</t>
  </si>
  <si>
    <t>№ГК002702001 от 27.02.2026</t>
  </si>
  <si>
    <t>№14-со от 27.02.2026</t>
  </si>
  <si>
    <t>№345 от 12.02.2026</t>
  </si>
  <si>
    <t>№15-со от 27.02.2026</t>
  </si>
  <si>
    <t>переадресовка в пути следования</t>
  </si>
  <si>
    <t>№93 от 03.03.2026</t>
  </si>
  <si>
    <t>расходы</t>
  </si>
  <si>
    <t>№452 от 25.02.2026</t>
  </si>
  <si>
    <t>№18-со от 11.03.2026</t>
  </si>
  <si>
    <t>№460 от 25.02.2026</t>
  </si>
  <si>
    <t>№19-со от 11.03.2026</t>
  </si>
  <si>
    <t>№100 от 11.03.2026</t>
  </si>
  <si>
    <t>№104 от 13.03.2026</t>
  </si>
  <si>
    <t>№105 от 13.03.2026</t>
  </si>
  <si>
    <t>№215 от 24.03.2026</t>
  </si>
  <si>
    <t>Штрафы от Реилго (не выставлны)</t>
  </si>
  <si>
    <t>№118 от 27.03.2026</t>
  </si>
  <si>
    <t>п/п №781 от 17.03.2026</t>
  </si>
  <si>
    <t>п/п №73 от 17.03.2026</t>
  </si>
  <si>
    <t>№250 от 08.10.2024</t>
  </si>
  <si>
    <t>Претензии и письма от ООО "Балчуг-Петролеум" №9/01/341 (2023) от 01.05.2023</t>
  </si>
  <si>
    <t>Претензии ООО "РЕИЛГО" №01/1 (2025) от 21.02.2025</t>
  </si>
  <si>
    <t>Адресат</t>
  </si>
  <si>
    <t>Корреспондент</t>
  </si>
  <si>
    <t>РИ-ТРАНС</t>
  </si>
  <si>
    <t>№9/01/341/2023 от 01.05.2023</t>
  </si>
  <si>
    <t>Конец простоя</t>
  </si>
  <si>
    <t>Начало простоя</t>
  </si>
  <si>
    <t>31.03.2024</t>
  </si>
  <si>
    <t>30.06.2024</t>
  </si>
  <si>
    <t>30.09.2024</t>
  </si>
  <si>
    <t>31.12.2025</t>
  </si>
  <si>
    <t>31.12.2024</t>
  </si>
  <si>
    <t>31.03.2025</t>
  </si>
  <si>
    <t>30.06.2025</t>
  </si>
  <si>
    <t>31.07.2025</t>
  </si>
  <si>
    <t>31.08.2025</t>
  </si>
  <si>
    <t>24.09.2025</t>
  </si>
  <si>
    <t>01.01.2024</t>
  </si>
  <si>
    <t>01.04.2024</t>
  </si>
  <si>
    <t>01.07.2024</t>
  </si>
  <si>
    <t>от-04.2024</t>
  </si>
  <si>
    <t>01.10.2024</t>
  </si>
  <si>
    <t>01.01.2025</t>
  </si>
  <si>
    <t>01.04.2025</t>
  </si>
  <si>
    <t>01.07.2025</t>
  </si>
  <si>
    <t>01.08.2025</t>
  </si>
  <si>
    <t>24.05.2025</t>
  </si>
  <si>
    <t>30.11.2024</t>
  </si>
  <si>
    <t>31.10.2024</t>
  </si>
  <si>
    <t>31.01.2025</t>
  </si>
  <si>
    <t>28.02.2025</t>
  </si>
  <si>
    <t>30.04.2025</t>
  </si>
  <si>
    <t>01.12.2024</t>
  </si>
  <si>
    <t>01.02.2025</t>
  </si>
  <si>
    <t>14.04.2024</t>
  </si>
  <si>
    <t>19.06.2024</t>
  </si>
  <si>
    <t>17.06.2024</t>
  </si>
  <si>
    <t>26.06.2024</t>
  </si>
  <si>
    <t>30.070.2024</t>
  </si>
  <si>
    <t>19.08.2024</t>
  </si>
  <si>
    <t>10.08.2024</t>
  </si>
  <si>
    <t>17.08.2024</t>
  </si>
  <si>
    <t>02.09.2024</t>
  </si>
  <si>
    <t>09.09.2024</t>
  </si>
  <si>
    <t>15.09.2024</t>
  </si>
  <si>
    <t>18.09.2024</t>
  </si>
  <si>
    <t>28.08.2024</t>
  </si>
  <si>
    <t>16.09.2024</t>
  </si>
  <si>
    <t>21.09.2024</t>
  </si>
  <si>
    <t>09.10.2024</t>
  </si>
  <si>
    <t>15.10.2024</t>
  </si>
  <si>
    <t>13.11.2024</t>
  </si>
  <si>
    <t>17.11.2024</t>
  </si>
  <si>
    <t>28.11.2024</t>
  </si>
  <si>
    <t>26.02.2025</t>
  </si>
  <si>
    <t>24.02.2025</t>
  </si>
  <si>
    <t>22.12.2024</t>
  </si>
  <si>
    <t>19.12.2024</t>
  </si>
  <si>
    <t>28.01.2025</t>
  </si>
  <si>
    <t>30.01.2025</t>
  </si>
  <si>
    <t>08.03.2025</t>
  </si>
  <si>
    <t>20.03.2025</t>
  </si>
  <si>
    <t>02.04.2025</t>
  </si>
  <si>
    <t>28.05.2025</t>
  </si>
  <si>
    <t>30.05.2025</t>
  </si>
  <si>
    <t>26.04.2025</t>
  </si>
  <si>
    <t>14.06.2025</t>
  </si>
  <si>
    <t>27.06.2025</t>
  </si>
  <si>
    <t>23.04.2025</t>
  </si>
  <si>
    <t>30.12.2024</t>
  </si>
  <si>
    <t>01.03.2024</t>
  </si>
  <si>
    <t>01.05.2024</t>
  </si>
  <si>
    <t>02.06.2024</t>
  </si>
  <si>
    <t xml:space="preserve">10.06.2024 </t>
  </si>
  <si>
    <t>01.06.2024</t>
  </si>
  <si>
    <t xml:space="preserve"> 09.07.2024 </t>
  </si>
  <si>
    <t>29.07.2024</t>
  </si>
  <si>
    <t xml:space="preserve">12.08.2024 </t>
  </si>
  <si>
    <t>20.08.2024</t>
  </si>
  <si>
    <t>23.08.2024</t>
  </si>
  <si>
    <t>18.08.2024</t>
  </si>
  <si>
    <t xml:space="preserve">05.07.2024 </t>
  </si>
  <si>
    <t xml:space="preserve"> 29.08.2024 </t>
  </si>
  <si>
    <t>16.08.2024</t>
  </si>
  <si>
    <t>05.09.2024</t>
  </si>
  <si>
    <t xml:space="preserve"> 05.09.2024</t>
  </si>
  <si>
    <t>07.09.2024</t>
  </si>
  <si>
    <t>24.09.2024</t>
  </si>
  <si>
    <t xml:space="preserve"> 30.09.2024</t>
  </si>
  <si>
    <t xml:space="preserve"> 04.11.2024</t>
  </si>
  <si>
    <t>03.08.2024</t>
  </si>
  <si>
    <t>02.11.2024</t>
  </si>
  <si>
    <t>18.01.2025</t>
  </si>
  <si>
    <t>07.11.2024</t>
  </si>
  <si>
    <t>22.11.2024</t>
  </si>
  <si>
    <t xml:space="preserve"> 12.12.2024</t>
  </si>
  <si>
    <t xml:space="preserve"> 18.02.2025</t>
  </si>
  <si>
    <t>24.04.2025</t>
  </si>
  <si>
    <t>01.05.2025</t>
  </si>
  <si>
    <t>27.02.2025</t>
  </si>
  <si>
    <t>23.05.2025</t>
  </si>
  <si>
    <t>14.05.2025</t>
  </si>
  <si>
    <t>19.02.2025</t>
  </si>
  <si>
    <t>18.02.2025</t>
  </si>
  <si>
    <t>23.11.2024</t>
  </si>
  <si>
    <t>31.10.2023</t>
  </si>
  <si>
    <t>31.08.2022</t>
  </si>
  <si>
    <t>31.12.2022</t>
  </si>
  <si>
    <t>30.04.2024</t>
  </si>
  <si>
    <t>31.12.2023</t>
  </si>
  <si>
    <t>31.05.2024</t>
  </si>
  <si>
    <t>31.07.2024</t>
  </si>
  <si>
    <t>31.08.2024</t>
  </si>
  <si>
    <t>31.05.2025</t>
  </si>
  <si>
    <t>30.09.2025</t>
  </si>
  <si>
    <t>01.01.2023</t>
  </si>
  <si>
    <t>01.07.2022</t>
  </si>
  <si>
    <t>01.12.2022</t>
  </si>
  <si>
    <t>01.11.2023</t>
  </si>
  <si>
    <t>01.02.2024</t>
  </si>
  <si>
    <t>01.09.2024</t>
  </si>
  <si>
    <t>01.11.2024</t>
  </si>
  <si>
    <t>01.03.2025</t>
  </si>
  <si>
    <t>01.08.2024</t>
  </si>
  <si>
    <t>01.12.2025</t>
  </si>
  <si>
    <t>01.030.2025</t>
  </si>
  <si>
    <t>30.06.20225</t>
  </si>
  <si>
    <t>31.10.2025</t>
  </si>
  <si>
    <t>01.10.2025</t>
  </si>
  <si>
    <t>01.06.2025</t>
  </si>
  <si>
    <t>01.09.2025</t>
  </si>
  <si>
    <t>30.11.2023</t>
  </si>
  <si>
    <t>01.11.2025</t>
  </si>
  <si>
    <t>01.12.2023</t>
  </si>
  <si>
    <t>01.01.2026</t>
  </si>
  <si>
    <t>30.10.2024</t>
  </si>
  <si>
    <t>31.01.2024</t>
  </si>
  <si>
    <t>Штрафы от Реилго (переадресация)</t>
  </si>
  <si>
    <t>31.01.2026</t>
  </si>
  <si>
    <t>31.05.2023</t>
  </si>
  <si>
    <t>28.02.2026</t>
  </si>
  <si>
    <t>Номер договора</t>
  </si>
  <si>
    <t>Подрядчик</t>
  </si>
  <si>
    <t>ООО "БалтТрансСервис"</t>
  </si>
  <si>
    <t>№БТСк-133-22-094 от 10.03.2022</t>
  </si>
  <si>
    <t>№10/24-1550 от 10.10.2024</t>
  </si>
  <si>
    <t>Примечание</t>
  </si>
  <si>
    <t>№04/24-1536 от 09.04.2024, ЗАМЕНЕНА НА №10/24-1550 от 10.10.2024</t>
  </si>
  <si>
    <t>ООО "Урал Логистика"</t>
  </si>
  <si>
    <t>№424/2024 от 23.08.2024</t>
  </si>
  <si>
    <t>ООО "ГК Вагонсервис"</t>
  </si>
  <si>
    <t>№ГКВС-116/2022 от 01.07.2022</t>
  </si>
  <si>
    <t xml:space="preserve"> АО "НефтеТрансСервис"</t>
  </si>
  <si>
    <t>№1-04-77-НТС/21 от 20.09.2021</t>
  </si>
  <si>
    <t>№ 10852 от 14.05.2024</t>
  </si>
  <si>
    <t>№44-СО от 30.05.2024</t>
  </si>
  <si>
    <t>№1764/ИП-НТС от 08.04.2024</t>
  </si>
  <si>
    <t>№22-СО от 11.04.2024</t>
  </si>
  <si>
    <t>№11179 от 18.07.2024</t>
  </si>
  <si>
    <t>№78-СО от 30.07.2024</t>
  </si>
  <si>
    <t>№2343-ИП/НТС от 13.06.2024</t>
  </si>
  <si>
    <t>№57-СО от 27.06.2024</t>
  </si>
  <si>
    <t>погрузка 
1088550,00
979900,00</t>
  </si>
  <si>
    <t>№2234/ИП-НТС от 30.05.2024</t>
  </si>
  <si>
    <t xml:space="preserve">№1862/ИП-НТС от 19.04.2024,  </t>
  </si>
  <si>
    <t>№2486/ИП-НТС от 27.06.2024</t>
  </si>
  <si>
    <t>погрузка/ выгрузка</t>
  </si>
  <si>
    <t xml:space="preserve"> №2696/ИП-НТС от 16.07.2024 КОРР</t>
  </si>
  <si>
    <t>№73-СО от 17.07.2024</t>
  </si>
  <si>
    <t>выгрузка / выгрузка ин.тер</t>
  </si>
  <si>
    <t xml:space="preserve"> №11179 от 18.07.2024</t>
  </si>
  <si>
    <t>№3026/ИП-НТС от 16.08.2024</t>
  </si>
  <si>
    <t>№2469/ИП-НТС от 26.06.2024</t>
  </si>
  <si>
    <t>№63-СО от 02.07.2024</t>
  </si>
  <si>
    <t xml:space="preserve">№86-СО от 21.08.2024, </t>
  </si>
  <si>
    <t>№100-со от 06.09.2024</t>
  </si>
  <si>
    <t>выгрузка/ выгрузка ин.тер</t>
  </si>
  <si>
    <t>№11416 от 30.08.2024</t>
  </si>
  <si>
    <t>№3087/ИП-НТС от 22.08.2024</t>
  </si>
  <si>
    <t xml:space="preserve">№2207/ИП-НТС от 29.05.2024, , </t>
  </si>
  <si>
    <t>№89-СО от 23.08.2024</t>
  </si>
  <si>
    <t>-</t>
  </si>
  <si>
    <t>№11415 от 28.08.2024</t>
  </si>
  <si>
    <t>№97-СО от 03.09.2024</t>
  </si>
  <si>
    <t>выгрузка/ин.тер/погрузка</t>
  </si>
  <si>
    <t xml:space="preserve"> №2659/ИП-НТС от 10.07.2024</t>
  </si>
  <si>
    <t>№72-СО от 17.07.2024</t>
  </si>
  <si>
    <t xml:space="preserve">№3235/ИП-НТС от 03.09.2024, </t>
  </si>
  <si>
    <t>№706/ИП-НТС от 25.05.2025</t>
  </si>
  <si>
    <t xml:space="preserve">№103-со от 17.09.2024, </t>
  </si>
  <si>
    <t>№31-со от 28.02.2025</t>
  </si>
  <si>
    <t>ООО "РТС-Транс"</t>
  </si>
  <si>
    <t>№Д-159 от 02.12.2024</t>
  </si>
  <si>
    <t>№9/01/341 (2023) от 01.05.2023</t>
  </si>
  <si>
    <t xml:space="preserve"> ООО "РЕИЛГО"</t>
  </si>
  <si>
    <t>№01/1 (2025) от 21.02.2025</t>
  </si>
  <si>
    <t>№2861 от 15.12.2025 корр</t>
  </si>
  <si>
    <t>№635 от 18.03.2026г. КОРР</t>
  </si>
  <si>
    <t>№142-со от 29.12.2025</t>
  </si>
  <si>
    <t>№26-со от 08.04.2026</t>
  </si>
  <si>
    <t>№1910 от 20.08.2025</t>
  </si>
  <si>
    <t>№114-со от 24.09.2025</t>
  </si>
  <si>
    <t xml:space="preserve">№1908 от 20.08.2025, </t>
  </si>
  <si>
    <t>№2399 от 22.10.2025 корр</t>
  </si>
  <si>
    <t>№2404 от 23.10.2025</t>
  </si>
  <si>
    <t>№2234 от 03.10.2025</t>
  </si>
  <si>
    <t xml:space="preserve">№2222 от 03.10.2025, </t>
  </si>
  <si>
    <t>№2400 от 22.10.2025 корр</t>
  </si>
  <si>
    <t>№638 от 19.03.2026 КОРР</t>
  </si>
  <si>
    <t>№453 от 25.02.2026</t>
  </si>
  <si>
    <t xml:space="preserve">№20-со от 11.03.2026, </t>
  </si>
  <si>
    <t>№25-со от 08.04.2026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</si>
</sst>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₽"/>
    <numFmt numFmtId="165" formatCode="#,##0.00\ &quot;₽&quot;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13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8" fillId="0" borderId="1" xfId="0" applyFont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17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" fontId="0" fillId="0" borderId="0" xfId="0" applyNumberFormat="1"/>
    <xf numFmtId="0" fontId="7" fillId="0" borderId="1" xfId="0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7" fontId="9" fillId="0" borderId="1" xfId="0" applyNumberFormat="1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" fontId="9" fillId="2" borderId="6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/>
    <xf numFmtId="164" fontId="9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center" vertical="center" wrapText="1"/>
    </xf>
    <xf numFmtId="4" fontId="17" fillId="2" borderId="1" xfId="0" applyNumberFormat="1" applyFont="1" applyFill="1" applyBorder="1" applyAlignment="1">
      <alignment horizontal="center" vertical="center" wrapText="1"/>
    </xf>
    <xf numFmtId="14" fontId="9" fillId="2" borderId="3" xfId="0" applyNumberFormat="1" applyFont="1" applyFill="1" applyBorder="1" applyAlignment="1">
      <alignment horizontal="center" vertical="center" wrapText="1"/>
    </xf>
    <xf numFmtId="14" fontId="9" fillId="2" borderId="10" xfId="0" applyNumberFormat="1" applyFont="1" applyFill="1" applyBorder="1" applyAlignment="1">
      <alignment horizontal="center" vertical="center" wrapText="1"/>
    </xf>
    <xf numFmtId="17" fontId="9" fillId="2" borderId="6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4" fontId="18" fillId="2" borderId="3" xfId="0" applyNumberFormat="1" applyFont="1" applyFill="1" applyBorder="1" applyAlignment="1">
      <alignment horizontal="center" vertical="center" wrapText="1"/>
    </xf>
    <xf numFmtId="4" fontId="18" fillId="2" borderId="1" xfId="0" applyNumberFormat="1" applyFont="1" applyFill="1" applyBorder="1" applyAlignment="1">
      <alignment horizontal="center" vertical="center" wrapText="1"/>
    </xf>
    <xf numFmtId="17" fontId="18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vertical="center" wrapText="1"/>
    </xf>
    <xf numFmtId="4" fontId="10" fillId="2" borderId="1" xfId="0" applyNumberFormat="1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/>
    </xf>
    <xf numFmtId="4" fontId="10" fillId="0" borderId="1" xfId="0" applyNumberFormat="1" applyFont="1" applyBorder="1"/>
    <xf numFmtId="0" fontId="9" fillId="2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horizontal="center" vertical="center" wrapText="1"/>
    </xf>
    <xf numFmtId="164" fontId="20" fillId="4" borderId="1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21" fillId="2" borderId="0" xfId="0" applyFont="1" applyFill="1"/>
    <xf numFmtId="0" fontId="19" fillId="0" borderId="1" xfId="0" applyFont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" fontId="19" fillId="2" borderId="1" xfId="0" applyNumberFormat="1" applyFont="1" applyFill="1" applyBorder="1" applyAlignment="1">
      <alignment horizontal="center" vertical="center" wrapText="1"/>
    </xf>
    <xf numFmtId="164" fontId="18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4" fontId="13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" fontId="0" fillId="0" borderId="6" xfId="0" applyNumberForma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4" fontId="21" fillId="0" borderId="1" xfId="0" applyNumberFormat="1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" fontId="19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18" fillId="2" borderId="1" xfId="0" applyNumberFormat="1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 wrapText="1"/>
    </xf>
    <xf numFmtId="49" fontId="18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</cellXfs>
  <cellStyles count="2">
    <cellStyle name="Normal" xfId="1" xr:uid="{D48084E0-FDAA-4685-9F09-DB0B67AAAC46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B279"/>
  <sheetViews>
    <sheetView tabSelected="1" zoomScale="85" zoomScaleNormal="85" workbookViewId="0">
      <pane ySplit="1" topLeftCell="A160" activePane="bottomLeft" state="frozen"/>
      <selection pane="bottomLeft" activeCell="I152" sqref="I152"/>
    </sheetView>
  </sheetViews>
  <sheetFormatPr defaultRowHeight="15" x14ac:dyDescent="0.25"/>
  <cols>
    <col min="1" max="1" width="6.140625" style="1" customWidth="1"/>
    <col min="2" max="2" width="26.7109375" customWidth="1"/>
    <col min="3" max="5" width="27.7109375" customWidth="1"/>
    <col min="6" max="6" width="27" customWidth="1"/>
    <col min="7" max="8" width="25.28515625" style="1" customWidth="1"/>
    <col min="9" max="10" width="20" style="1" customWidth="1"/>
    <col min="11" max="11" width="26.85546875" customWidth="1"/>
    <col min="12" max="12" width="19.42578125" customWidth="1"/>
    <col min="13" max="1458" width="9.140625" style="2"/>
  </cols>
  <sheetData>
    <row r="1" spans="1:37 1458:1458" ht="76.5" customHeight="1" x14ac:dyDescent="0.25">
      <c r="A1" s="65" t="s">
        <v>0</v>
      </c>
      <c r="B1" s="65" t="s">
        <v>11</v>
      </c>
      <c r="C1" s="65" t="s">
        <v>12</v>
      </c>
      <c r="D1" s="65" t="s">
        <v>698</v>
      </c>
      <c r="E1" s="65" t="s">
        <v>697</v>
      </c>
      <c r="F1" s="65" t="s">
        <v>411</v>
      </c>
      <c r="G1" s="65" t="s">
        <v>562</v>
      </c>
      <c r="H1" s="65" t="s">
        <v>561</v>
      </c>
      <c r="I1" s="65" t="s">
        <v>13</v>
      </c>
      <c r="J1" s="65" t="s">
        <v>702</v>
      </c>
      <c r="K1" s="65" t="s">
        <v>2</v>
      </c>
      <c r="L1" s="66" t="s">
        <v>1</v>
      </c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BDB1"/>
    </row>
    <row r="2" spans="1:37 1458:1458" ht="18.75" customHeight="1" x14ac:dyDescent="0.25">
      <c r="A2" s="119" t="s">
        <v>31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BDB2"/>
    </row>
    <row r="3" spans="1:37 1458:1458" ht="39.950000000000003" customHeight="1" x14ac:dyDescent="0.25">
      <c r="A3" s="7">
        <v>1</v>
      </c>
      <c r="B3" s="7" t="s">
        <v>3</v>
      </c>
      <c r="C3" s="39" t="s">
        <v>4</v>
      </c>
      <c r="D3" s="39" t="s">
        <v>699</v>
      </c>
      <c r="E3" s="39" t="s">
        <v>700</v>
      </c>
      <c r="F3" s="8">
        <v>1100000</v>
      </c>
      <c r="G3" s="42" t="s">
        <v>573</v>
      </c>
      <c r="H3" s="42" t="s">
        <v>563</v>
      </c>
      <c r="I3" s="9" t="s">
        <v>47</v>
      </c>
      <c r="J3" s="9"/>
      <c r="K3" s="7" t="s">
        <v>385</v>
      </c>
      <c r="L3" s="41">
        <v>1100000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BDB3"/>
    </row>
    <row r="4" spans="1:37 1458:1458" ht="63" customHeight="1" x14ac:dyDescent="0.25">
      <c r="A4" s="7">
        <v>2</v>
      </c>
      <c r="B4" s="132" t="s">
        <v>701</v>
      </c>
      <c r="C4" s="39" t="s">
        <v>5</v>
      </c>
      <c r="D4" s="39" t="s">
        <v>699</v>
      </c>
      <c r="E4" s="39" t="s">
        <v>700</v>
      </c>
      <c r="F4" s="8">
        <v>5512000</v>
      </c>
      <c r="G4" s="42" t="s">
        <v>573</v>
      </c>
      <c r="H4" s="42" t="s">
        <v>563</v>
      </c>
      <c r="I4" s="9" t="s">
        <v>62</v>
      </c>
      <c r="J4" s="9" t="s">
        <v>703</v>
      </c>
      <c r="K4" s="7"/>
      <c r="L4" s="41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BDB4"/>
    </row>
    <row r="5" spans="1:37 1458:1458" ht="39.950000000000003" customHeight="1" x14ac:dyDescent="0.25">
      <c r="A5" s="7">
        <v>3</v>
      </c>
      <c r="B5" s="7" t="s">
        <v>7</v>
      </c>
      <c r="C5" s="45" t="s">
        <v>6</v>
      </c>
      <c r="D5" s="39" t="s">
        <v>699</v>
      </c>
      <c r="E5" s="45" t="s">
        <v>700</v>
      </c>
      <c r="F5" s="8">
        <v>2605000</v>
      </c>
      <c r="G5" s="42" t="s">
        <v>573</v>
      </c>
      <c r="H5" s="42" t="s">
        <v>563</v>
      </c>
      <c r="I5" s="9" t="s">
        <v>61</v>
      </c>
      <c r="J5" s="9"/>
      <c r="K5" s="7" t="s">
        <v>389</v>
      </c>
      <c r="L5" s="41">
        <v>2605000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BDB5"/>
    </row>
    <row r="6" spans="1:37 1458:1458" ht="39.950000000000003" customHeight="1" x14ac:dyDescent="0.25">
      <c r="A6" s="38"/>
      <c r="B6" s="38" t="s">
        <v>382</v>
      </c>
      <c r="C6" s="46" t="s">
        <v>383</v>
      </c>
      <c r="D6" s="39" t="s">
        <v>699</v>
      </c>
      <c r="E6" s="46" t="s">
        <v>700</v>
      </c>
      <c r="F6" s="37">
        <v>5718000</v>
      </c>
      <c r="G6" s="42" t="s">
        <v>574</v>
      </c>
      <c r="H6" s="106" t="s">
        <v>564</v>
      </c>
      <c r="I6" s="47"/>
      <c r="J6" s="47"/>
      <c r="K6" s="38" t="s">
        <v>384</v>
      </c>
      <c r="L6" s="48">
        <v>5718000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BDB6"/>
    </row>
    <row r="7" spans="1:37 1458:1458" ht="39.950000000000003" customHeight="1" x14ac:dyDescent="0.25">
      <c r="A7" s="38">
        <v>4</v>
      </c>
      <c r="B7" s="38" t="s">
        <v>142</v>
      </c>
      <c r="C7" s="38" t="s">
        <v>143</v>
      </c>
      <c r="D7" s="39" t="s">
        <v>699</v>
      </c>
      <c r="E7" s="46" t="s">
        <v>700</v>
      </c>
      <c r="F7" s="37">
        <v>4090000</v>
      </c>
      <c r="G7" s="42" t="s">
        <v>575</v>
      </c>
      <c r="H7" s="106" t="s">
        <v>565</v>
      </c>
      <c r="I7" s="38" t="s">
        <v>62</v>
      </c>
      <c r="J7" s="38"/>
      <c r="K7" s="38" t="s">
        <v>377</v>
      </c>
      <c r="L7" s="48">
        <v>4090000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BDB7"/>
    </row>
    <row r="8" spans="1:37 1458:1458" ht="39.950000000000003" customHeight="1" x14ac:dyDescent="0.25">
      <c r="A8" s="7">
        <v>5</v>
      </c>
      <c r="B8" s="7" t="s">
        <v>144</v>
      </c>
      <c r="C8" s="45" t="s">
        <v>145</v>
      </c>
      <c r="D8" s="39" t="s">
        <v>699</v>
      </c>
      <c r="E8" s="46" t="s">
        <v>700</v>
      </c>
      <c r="F8" s="8">
        <v>4838000</v>
      </c>
      <c r="G8" s="42" t="s">
        <v>574</v>
      </c>
      <c r="H8" s="42" t="s">
        <v>564</v>
      </c>
      <c r="I8" s="9" t="s">
        <v>62</v>
      </c>
      <c r="J8" s="9"/>
      <c r="K8" s="7"/>
      <c r="L8" s="41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BDB8"/>
    </row>
    <row r="9" spans="1:37 1458:1458" ht="39.950000000000003" customHeight="1" x14ac:dyDescent="0.25">
      <c r="A9" s="7">
        <v>6</v>
      </c>
      <c r="B9" s="7" t="s">
        <v>386</v>
      </c>
      <c r="C9" s="45" t="s">
        <v>387</v>
      </c>
      <c r="D9" s="39" t="s">
        <v>699</v>
      </c>
      <c r="E9" s="46" t="s">
        <v>700</v>
      </c>
      <c r="F9" s="8">
        <v>6107000</v>
      </c>
      <c r="G9" s="42" t="s">
        <v>574</v>
      </c>
      <c r="H9" s="42" t="s">
        <v>564</v>
      </c>
      <c r="I9" s="9" t="s">
        <v>441</v>
      </c>
      <c r="J9" s="9"/>
      <c r="K9" s="7" t="s">
        <v>388</v>
      </c>
      <c r="L9" s="41">
        <v>6107000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BDB9"/>
    </row>
    <row r="10" spans="1:37 1458:1458" ht="39.950000000000003" customHeight="1" x14ac:dyDescent="0.25">
      <c r="A10" s="7">
        <v>7</v>
      </c>
      <c r="B10" s="7" t="s">
        <v>147</v>
      </c>
      <c r="C10" s="45" t="s">
        <v>146</v>
      </c>
      <c r="D10" s="39" t="s">
        <v>699</v>
      </c>
      <c r="E10" s="46" t="s">
        <v>700</v>
      </c>
      <c r="F10" s="8">
        <v>4580000</v>
      </c>
      <c r="G10" s="42" t="s">
        <v>573</v>
      </c>
      <c r="H10" s="42" t="s">
        <v>563</v>
      </c>
      <c r="I10" s="9" t="s">
        <v>62</v>
      </c>
      <c r="J10" s="9"/>
      <c r="K10" s="7" t="s">
        <v>378</v>
      </c>
      <c r="L10" s="41">
        <v>4580000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BDB10"/>
    </row>
    <row r="11" spans="1:37 1458:1458" ht="39.950000000000003" customHeight="1" x14ac:dyDescent="0.25">
      <c r="A11" s="49">
        <v>8</v>
      </c>
      <c r="B11" s="49" t="s">
        <v>148</v>
      </c>
      <c r="C11" s="50" t="s">
        <v>149</v>
      </c>
      <c r="D11" s="39" t="s">
        <v>699</v>
      </c>
      <c r="E11" s="46" t="s">
        <v>700</v>
      </c>
      <c r="F11" s="51">
        <v>1591000</v>
      </c>
      <c r="G11" s="42" t="s">
        <v>575</v>
      </c>
      <c r="H11" s="107" t="s">
        <v>565</v>
      </c>
      <c r="I11" s="52" t="s">
        <v>61</v>
      </c>
      <c r="J11" s="52"/>
      <c r="K11" s="7"/>
      <c r="L11" s="4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BDB11"/>
    </row>
    <row r="12" spans="1:37 1458:1458" ht="39.950000000000003" customHeight="1" x14ac:dyDescent="0.25">
      <c r="A12" s="38">
        <v>9</v>
      </c>
      <c r="B12" s="38" t="s">
        <v>150</v>
      </c>
      <c r="C12" s="38" t="s">
        <v>229</v>
      </c>
      <c r="D12" s="39" t="s">
        <v>699</v>
      </c>
      <c r="E12" s="46" t="s">
        <v>700</v>
      </c>
      <c r="F12" s="37">
        <v>261000</v>
      </c>
      <c r="G12" s="42" t="s">
        <v>575</v>
      </c>
      <c r="H12" s="106" t="s">
        <v>565</v>
      </c>
      <c r="I12" s="38" t="s">
        <v>61</v>
      </c>
      <c r="J12" s="38"/>
      <c r="K12" s="38" t="s">
        <v>390</v>
      </c>
      <c r="L12" s="48">
        <v>261000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BDB12"/>
    </row>
    <row r="13" spans="1:37 1458:1458" ht="39.950000000000003" customHeight="1" x14ac:dyDescent="0.25">
      <c r="A13" s="38">
        <v>10</v>
      </c>
      <c r="B13" s="38" t="s">
        <v>278</v>
      </c>
      <c r="C13" s="38" t="s">
        <v>172</v>
      </c>
      <c r="D13" s="39" t="s">
        <v>699</v>
      </c>
      <c r="E13" s="46" t="s">
        <v>700</v>
      </c>
      <c r="F13" s="37">
        <v>4832000</v>
      </c>
      <c r="G13" s="42" t="s">
        <v>576</v>
      </c>
      <c r="H13" s="106" t="s">
        <v>564</v>
      </c>
      <c r="I13" s="38" t="s">
        <v>62</v>
      </c>
      <c r="J13" s="38"/>
      <c r="K13" s="38" t="s">
        <v>380</v>
      </c>
      <c r="L13" s="48">
        <v>4832000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BDB13"/>
    </row>
    <row r="14" spans="1:37 1458:1458" ht="39.950000000000003" customHeight="1" x14ac:dyDescent="0.25">
      <c r="A14" s="38">
        <v>11</v>
      </c>
      <c r="B14" s="38" t="s">
        <v>223</v>
      </c>
      <c r="C14" s="38" t="s">
        <v>224</v>
      </c>
      <c r="D14" s="39" t="s">
        <v>699</v>
      </c>
      <c r="E14" s="46" t="s">
        <v>700</v>
      </c>
      <c r="F14" s="37">
        <v>5529000</v>
      </c>
      <c r="G14" s="42" t="s">
        <v>577</v>
      </c>
      <c r="H14" s="106" t="s">
        <v>566</v>
      </c>
      <c r="I14" s="38" t="s">
        <v>62</v>
      </c>
      <c r="J14" s="38"/>
      <c r="K14" s="38" t="s">
        <v>406</v>
      </c>
      <c r="L14" s="48">
        <v>5529000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BDB14"/>
    </row>
    <row r="15" spans="1:37 1458:1458" ht="39.950000000000003" customHeight="1" x14ac:dyDescent="0.25">
      <c r="A15" s="38">
        <v>12</v>
      </c>
      <c r="B15" s="38" t="s">
        <v>221</v>
      </c>
      <c r="C15" s="38" t="s">
        <v>222</v>
      </c>
      <c r="D15" s="39" t="s">
        <v>699</v>
      </c>
      <c r="E15" s="46" t="s">
        <v>700</v>
      </c>
      <c r="F15" s="37">
        <v>535000</v>
      </c>
      <c r="G15" s="42" t="s">
        <v>577</v>
      </c>
      <c r="H15" s="106" t="s">
        <v>567</v>
      </c>
      <c r="I15" s="38" t="s">
        <v>61</v>
      </c>
      <c r="J15" s="38"/>
      <c r="K15" s="38" t="s">
        <v>381</v>
      </c>
      <c r="L15" s="48">
        <v>535000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BDB15"/>
    </row>
    <row r="16" spans="1:37 1458:1458" ht="39.950000000000003" customHeight="1" x14ac:dyDescent="0.25">
      <c r="A16" s="7">
        <v>13</v>
      </c>
      <c r="B16" s="7" t="s">
        <v>218</v>
      </c>
      <c r="C16" s="39" t="s">
        <v>219</v>
      </c>
      <c r="D16" s="39" t="s">
        <v>699</v>
      </c>
      <c r="E16" s="46" t="s">
        <v>700</v>
      </c>
      <c r="F16" s="8">
        <v>1232000</v>
      </c>
      <c r="G16" s="42" t="s">
        <v>577</v>
      </c>
      <c r="H16" s="42" t="s">
        <v>567</v>
      </c>
      <c r="I16" s="9" t="s">
        <v>220</v>
      </c>
      <c r="J16" s="9"/>
      <c r="K16" s="7" t="s">
        <v>379</v>
      </c>
      <c r="L16" s="41">
        <v>1232000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BDB16"/>
    </row>
    <row r="17" spans="1:37 1458:1458" ht="39.950000000000003" customHeight="1" x14ac:dyDescent="0.25">
      <c r="A17" s="7">
        <v>14</v>
      </c>
      <c r="B17" s="7" t="s">
        <v>267</v>
      </c>
      <c r="C17" s="7" t="s">
        <v>268</v>
      </c>
      <c r="D17" s="39" t="s">
        <v>699</v>
      </c>
      <c r="E17" s="46" t="s">
        <v>700</v>
      </c>
      <c r="F17" s="8">
        <v>12000</v>
      </c>
      <c r="G17" s="42" t="s">
        <v>578</v>
      </c>
      <c r="H17" s="42" t="s">
        <v>568</v>
      </c>
      <c r="I17" s="9" t="s">
        <v>220</v>
      </c>
      <c r="J17" s="9"/>
      <c r="K17" s="53"/>
      <c r="L17" s="43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BDB17"/>
    </row>
    <row r="18" spans="1:37 1458:1458" ht="39.950000000000003" customHeight="1" x14ac:dyDescent="0.25">
      <c r="A18" s="7">
        <v>15</v>
      </c>
      <c r="B18" s="7" t="s">
        <v>269</v>
      </c>
      <c r="C18" s="7" t="s">
        <v>270</v>
      </c>
      <c r="D18" s="39" t="s">
        <v>699</v>
      </c>
      <c r="E18" s="46" t="s">
        <v>700</v>
      </c>
      <c r="F18" s="8">
        <v>13356000</v>
      </c>
      <c r="G18" s="42" t="s">
        <v>578</v>
      </c>
      <c r="H18" s="42" t="s">
        <v>568</v>
      </c>
      <c r="I18" s="9" t="s">
        <v>17</v>
      </c>
      <c r="J18" s="9"/>
      <c r="K18" s="53"/>
      <c r="L18" s="43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BDB18"/>
    </row>
    <row r="19" spans="1:37 1458:1458" ht="39.950000000000003" customHeight="1" x14ac:dyDescent="0.25">
      <c r="A19" s="7">
        <v>16</v>
      </c>
      <c r="B19" s="7" t="s">
        <v>304</v>
      </c>
      <c r="C19" s="7" t="s">
        <v>305</v>
      </c>
      <c r="D19" s="39" t="s">
        <v>699</v>
      </c>
      <c r="E19" s="46" t="s">
        <v>700</v>
      </c>
      <c r="F19" s="8">
        <v>7321500</v>
      </c>
      <c r="G19" s="42" t="s">
        <v>579</v>
      </c>
      <c r="H19" s="42" t="s">
        <v>569</v>
      </c>
      <c r="I19" s="9" t="s">
        <v>61</v>
      </c>
      <c r="J19" s="9"/>
      <c r="K19" s="53"/>
      <c r="L19" s="43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BDB19"/>
    </row>
    <row r="20" spans="1:37 1458:1458" ht="39.950000000000003" customHeight="1" x14ac:dyDescent="0.25">
      <c r="A20" s="7">
        <v>17</v>
      </c>
      <c r="B20" s="7" t="s">
        <v>334</v>
      </c>
      <c r="C20" s="7" t="s">
        <v>306</v>
      </c>
      <c r="D20" s="39" t="s">
        <v>699</v>
      </c>
      <c r="E20" s="46" t="s">
        <v>700</v>
      </c>
      <c r="F20" s="8">
        <v>7310250</v>
      </c>
      <c r="G20" s="42" t="s">
        <v>578</v>
      </c>
      <c r="H20" s="42" t="s">
        <v>568</v>
      </c>
      <c r="I20" s="9" t="s">
        <v>61</v>
      </c>
      <c r="J20" s="9"/>
      <c r="K20" s="53"/>
      <c r="L20" s="43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BDB20"/>
    </row>
    <row r="21" spans="1:37 1458:1458" ht="39.950000000000003" customHeight="1" x14ac:dyDescent="0.25">
      <c r="A21" s="116">
        <v>18</v>
      </c>
      <c r="B21" s="7" t="s">
        <v>318</v>
      </c>
      <c r="C21" s="7" t="s">
        <v>319</v>
      </c>
      <c r="D21" s="39" t="s">
        <v>699</v>
      </c>
      <c r="E21" s="46" t="s">
        <v>700</v>
      </c>
      <c r="F21" s="8">
        <v>8865000</v>
      </c>
      <c r="G21" s="42" t="s">
        <v>579</v>
      </c>
      <c r="H21" s="42" t="s">
        <v>569</v>
      </c>
      <c r="I21" s="9" t="s">
        <v>17</v>
      </c>
      <c r="J21" s="9"/>
      <c r="K21" s="53"/>
      <c r="L21" s="43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BDB21"/>
    </row>
    <row r="22" spans="1:37 1458:1458" ht="39.950000000000003" customHeight="1" x14ac:dyDescent="0.25">
      <c r="A22" s="117"/>
      <c r="B22" s="7" t="s">
        <v>515</v>
      </c>
      <c r="C22" s="7" t="s">
        <v>516</v>
      </c>
      <c r="D22" s="39" t="s">
        <v>699</v>
      </c>
      <c r="E22" s="46" t="s">
        <v>700</v>
      </c>
      <c r="F22" s="8">
        <v>8815500</v>
      </c>
      <c r="G22" s="42"/>
      <c r="H22" s="42"/>
      <c r="I22" s="9"/>
      <c r="J22" s="9"/>
      <c r="K22" s="53"/>
      <c r="L22" s="43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BDB22"/>
    </row>
    <row r="23" spans="1:37 1458:1458" ht="39.950000000000003" customHeight="1" x14ac:dyDescent="0.25">
      <c r="A23" s="7">
        <v>19</v>
      </c>
      <c r="B23" s="7" t="s">
        <v>324</v>
      </c>
      <c r="C23" s="7" t="s">
        <v>325</v>
      </c>
      <c r="D23" s="39" t="s">
        <v>699</v>
      </c>
      <c r="E23" s="46" t="s">
        <v>700</v>
      </c>
      <c r="F23" s="8">
        <v>1192500</v>
      </c>
      <c r="G23" s="42" t="s">
        <v>580</v>
      </c>
      <c r="H23" s="42" t="s">
        <v>570</v>
      </c>
      <c r="I23" s="9" t="s">
        <v>326</v>
      </c>
      <c r="J23" s="9"/>
      <c r="K23" s="53"/>
      <c r="L23" s="4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BDB23"/>
    </row>
    <row r="24" spans="1:37 1458:1458" ht="39.950000000000003" customHeight="1" x14ac:dyDescent="0.25">
      <c r="A24" s="7">
        <v>20</v>
      </c>
      <c r="B24" s="7" t="s">
        <v>391</v>
      </c>
      <c r="C24" s="7" t="s">
        <v>392</v>
      </c>
      <c r="D24" s="39" t="s">
        <v>699</v>
      </c>
      <c r="E24" s="46" t="s">
        <v>700</v>
      </c>
      <c r="F24" s="8">
        <v>132750</v>
      </c>
      <c r="G24" s="42" t="s">
        <v>581</v>
      </c>
      <c r="H24" s="42" t="s">
        <v>571</v>
      </c>
      <c r="I24" s="9" t="s">
        <v>17</v>
      </c>
      <c r="J24" s="9"/>
      <c r="K24" s="53"/>
      <c r="L24" s="43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BDB24"/>
    </row>
    <row r="25" spans="1:37 1458:1458" ht="39.950000000000003" customHeight="1" x14ac:dyDescent="0.25">
      <c r="A25" s="7">
        <v>21</v>
      </c>
      <c r="B25" s="7" t="s">
        <v>402</v>
      </c>
      <c r="C25" s="7" t="s">
        <v>403</v>
      </c>
      <c r="D25" s="39" t="s">
        <v>699</v>
      </c>
      <c r="E25" s="46" t="s">
        <v>700</v>
      </c>
      <c r="F25" s="8">
        <v>515250</v>
      </c>
      <c r="G25" s="42" t="s">
        <v>582</v>
      </c>
      <c r="H25" s="42" t="s">
        <v>572</v>
      </c>
      <c r="I25" s="9" t="s">
        <v>17</v>
      </c>
      <c r="J25" s="9"/>
      <c r="K25" s="53"/>
      <c r="L25" s="43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BDB25"/>
    </row>
    <row r="26" spans="1:37 1458:1458" ht="18.75" hidden="1" customHeight="1" x14ac:dyDescent="0.25">
      <c r="A26" s="119" t="s">
        <v>30</v>
      </c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BDB26"/>
    </row>
    <row r="27" spans="1:37 1458:1458" ht="23.25" hidden="1" customHeight="1" x14ac:dyDescent="0.25">
      <c r="A27" s="7">
        <v>1</v>
      </c>
      <c r="B27" s="27" t="s">
        <v>346</v>
      </c>
      <c r="C27" s="27"/>
      <c r="D27" s="27"/>
      <c r="E27" s="27"/>
      <c r="F27" s="54">
        <v>3651371.78</v>
      </c>
      <c r="G27" s="27" t="s">
        <v>347</v>
      </c>
      <c r="H27" s="27"/>
      <c r="I27" s="27"/>
      <c r="J27" s="27"/>
      <c r="K27" s="27" t="s">
        <v>345</v>
      </c>
      <c r="L27" s="54">
        <f>1078000+2573371.78</f>
        <v>3651371.78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BDB27"/>
    </row>
    <row r="28" spans="1:37 1458:1458" ht="16.5" hidden="1" customHeight="1" x14ac:dyDescent="0.25">
      <c r="A28" s="123"/>
      <c r="B28" s="123"/>
      <c r="C28" s="123"/>
      <c r="D28" s="53"/>
      <c r="E28" s="53"/>
      <c r="F28" s="44">
        <f>F27</f>
        <v>3651371.78</v>
      </c>
      <c r="G28" s="27"/>
      <c r="H28" s="27"/>
      <c r="I28" s="27"/>
      <c r="J28" s="27"/>
      <c r="K28" s="25"/>
      <c r="L28" s="55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BDB28"/>
    </row>
    <row r="29" spans="1:37 1458:1458" ht="19.5" customHeight="1" x14ac:dyDescent="0.25">
      <c r="A29" s="119" t="s">
        <v>83</v>
      </c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BDB29"/>
    </row>
    <row r="30" spans="1:37 1458:1458" ht="25.5" customHeight="1" x14ac:dyDescent="0.25">
      <c r="A30" s="7">
        <v>1</v>
      </c>
      <c r="B30" s="25" t="s">
        <v>175</v>
      </c>
      <c r="C30" s="26" t="s">
        <v>176</v>
      </c>
      <c r="D30" s="26" t="s">
        <v>704</v>
      </c>
      <c r="E30" s="26" t="s">
        <v>705</v>
      </c>
      <c r="F30" s="8">
        <v>200200</v>
      </c>
      <c r="G30" s="56" t="s">
        <v>577</v>
      </c>
      <c r="H30" s="56" t="s">
        <v>583</v>
      </c>
      <c r="I30" s="56" t="s">
        <v>17</v>
      </c>
      <c r="J30" s="56"/>
      <c r="K30" s="25" t="s">
        <v>372</v>
      </c>
      <c r="L30" s="55">
        <v>200200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BDB30"/>
    </row>
    <row r="31" spans="1:37 1458:1458" ht="25.5" customHeight="1" x14ac:dyDescent="0.25">
      <c r="A31" s="24">
        <v>2</v>
      </c>
      <c r="B31" s="25" t="s">
        <v>190</v>
      </c>
      <c r="C31" s="26" t="s">
        <v>191</v>
      </c>
      <c r="D31" s="26" t="s">
        <v>704</v>
      </c>
      <c r="E31" s="26" t="s">
        <v>705</v>
      </c>
      <c r="F31" s="8">
        <v>6600</v>
      </c>
      <c r="G31" s="56" t="s">
        <v>577</v>
      </c>
      <c r="H31" s="56" t="s">
        <v>584</v>
      </c>
      <c r="I31" s="56" t="s">
        <v>17</v>
      </c>
      <c r="J31" s="56"/>
      <c r="K31" s="25" t="s">
        <v>373</v>
      </c>
      <c r="L31" s="55">
        <v>6600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BDB31"/>
    </row>
    <row r="32" spans="1:37 1458:1458" ht="33.75" customHeight="1" x14ac:dyDescent="0.25">
      <c r="A32" s="24">
        <v>3</v>
      </c>
      <c r="B32" s="25" t="s">
        <v>243</v>
      </c>
      <c r="C32" s="26" t="s">
        <v>412</v>
      </c>
      <c r="D32" s="26" t="s">
        <v>704</v>
      </c>
      <c r="E32" s="26" t="s">
        <v>705</v>
      </c>
      <c r="F32" s="8">
        <v>606250</v>
      </c>
      <c r="G32" s="56" t="s">
        <v>588</v>
      </c>
      <c r="H32" s="56" t="s">
        <v>585</v>
      </c>
      <c r="I32" s="56" t="s">
        <v>126</v>
      </c>
      <c r="J32" s="56"/>
      <c r="K32" s="3" t="s">
        <v>432</v>
      </c>
      <c r="L32" s="55">
        <v>606250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BDB32"/>
    </row>
    <row r="33" spans="1:37 1458:1458" ht="25.5" customHeight="1" x14ac:dyDescent="0.25">
      <c r="A33" s="59">
        <v>5</v>
      </c>
      <c r="B33" s="7" t="s">
        <v>254</v>
      </c>
      <c r="C33" s="39" t="s">
        <v>255</v>
      </c>
      <c r="D33" s="39" t="s">
        <v>704</v>
      </c>
      <c r="E33" s="39" t="s">
        <v>705</v>
      </c>
      <c r="F33" s="8">
        <v>6632500</v>
      </c>
      <c r="G33" s="42" t="s">
        <v>588</v>
      </c>
      <c r="H33" s="42" t="s">
        <v>586</v>
      </c>
      <c r="I33" s="42" t="s">
        <v>209</v>
      </c>
      <c r="J33" s="42"/>
      <c r="K33" s="3" t="s">
        <v>433</v>
      </c>
      <c r="L33" s="55">
        <v>6632500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BDB33"/>
    </row>
    <row r="34" spans="1:37 1458:1458" ht="55.5" customHeight="1" x14ac:dyDescent="0.25">
      <c r="A34" s="59">
        <v>6</v>
      </c>
      <c r="B34" s="7" t="s">
        <v>279</v>
      </c>
      <c r="C34" s="39" t="s">
        <v>280</v>
      </c>
      <c r="D34" s="39" t="s">
        <v>704</v>
      </c>
      <c r="E34" s="39" t="s">
        <v>705</v>
      </c>
      <c r="F34" s="8">
        <v>3604000</v>
      </c>
      <c r="G34" s="42" t="s">
        <v>589</v>
      </c>
      <c r="H34" s="42" t="s">
        <v>568</v>
      </c>
      <c r="I34" s="42" t="s">
        <v>126</v>
      </c>
      <c r="J34" s="42"/>
      <c r="K34" s="3" t="s">
        <v>475</v>
      </c>
      <c r="L34" s="91">
        <v>3604000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BDB34"/>
    </row>
    <row r="35" spans="1:37 1458:1458" ht="63" customHeight="1" x14ac:dyDescent="0.25">
      <c r="A35" s="59">
        <v>7</v>
      </c>
      <c r="B35" s="7" t="s">
        <v>288</v>
      </c>
      <c r="C35" s="39" t="s">
        <v>292</v>
      </c>
      <c r="D35" s="39" t="s">
        <v>704</v>
      </c>
      <c r="E35" s="39" t="s">
        <v>705</v>
      </c>
      <c r="F35" s="8">
        <v>4706400</v>
      </c>
      <c r="G35" s="42" t="s">
        <v>578</v>
      </c>
      <c r="H35" s="42" t="s">
        <v>587</v>
      </c>
      <c r="I35" s="42" t="s">
        <v>289</v>
      </c>
      <c r="J35" s="42"/>
      <c r="K35" s="3" t="s">
        <v>476</v>
      </c>
      <c r="L35" s="91">
        <v>4706400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BDB35"/>
    </row>
    <row r="36" spans="1:37 1458:1458" ht="63" customHeight="1" x14ac:dyDescent="0.25">
      <c r="A36" s="59">
        <v>8</v>
      </c>
      <c r="B36" s="7" t="s">
        <v>290</v>
      </c>
      <c r="C36" s="39" t="s">
        <v>291</v>
      </c>
      <c r="D36" s="39" t="s">
        <v>704</v>
      </c>
      <c r="E36" s="39" t="s">
        <v>705</v>
      </c>
      <c r="F36" s="8">
        <v>1693350</v>
      </c>
      <c r="G36" s="42" t="s">
        <v>579</v>
      </c>
      <c r="H36" s="42" t="s">
        <v>569</v>
      </c>
      <c r="I36" s="42" t="s">
        <v>289</v>
      </c>
      <c r="J36" s="42"/>
      <c r="K36" s="3" t="s">
        <v>474</v>
      </c>
      <c r="L36" s="91">
        <v>1693350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BDB36"/>
    </row>
    <row r="37" spans="1:37 1458:1458" ht="21.75" customHeight="1" x14ac:dyDescent="0.25">
      <c r="A37" s="119" t="s">
        <v>28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BDB37"/>
    </row>
    <row r="38" spans="1:37 1458:1458" ht="44.25" customHeight="1" x14ac:dyDescent="0.25">
      <c r="A38" s="7">
        <v>1</v>
      </c>
      <c r="B38" s="25" t="s">
        <v>10</v>
      </c>
      <c r="C38" s="26" t="s">
        <v>8</v>
      </c>
      <c r="D38" s="26" t="s">
        <v>706</v>
      </c>
      <c r="E38" s="26" t="s">
        <v>707</v>
      </c>
      <c r="F38" s="8">
        <v>48000</v>
      </c>
      <c r="G38" s="56" t="s">
        <v>626</v>
      </c>
      <c r="H38" s="56" t="s">
        <v>590</v>
      </c>
      <c r="I38" s="27" t="s">
        <v>21</v>
      </c>
      <c r="J38" s="27"/>
      <c r="K38" s="25" t="s">
        <v>52</v>
      </c>
      <c r="L38" s="55">
        <v>48000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BDB38"/>
    </row>
    <row r="39" spans="1:37 1458:1458" ht="22.5" customHeight="1" x14ac:dyDescent="0.25">
      <c r="A39" s="7">
        <v>2</v>
      </c>
      <c r="B39" s="25" t="s">
        <v>15</v>
      </c>
      <c r="C39" s="26" t="s">
        <v>16</v>
      </c>
      <c r="D39" s="26" t="s">
        <v>706</v>
      </c>
      <c r="E39" s="26" t="s">
        <v>707</v>
      </c>
      <c r="F39" s="8">
        <v>159000</v>
      </c>
      <c r="G39" s="56" t="s">
        <v>574</v>
      </c>
      <c r="H39" s="56" t="s">
        <v>591</v>
      </c>
      <c r="I39" s="27" t="s">
        <v>20</v>
      </c>
      <c r="J39" s="27"/>
      <c r="K39" s="25" t="s">
        <v>55</v>
      </c>
      <c r="L39" s="55">
        <v>159000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BDB39"/>
    </row>
    <row r="40" spans="1:37 1458:1458" ht="22.5" customHeight="1" x14ac:dyDescent="0.25">
      <c r="A40" s="7">
        <v>3</v>
      </c>
      <c r="B40" s="25" t="s">
        <v>18</v>
      </c>
      <c r="C40" s="26" t="s">
        <v>19</v>
      </c>
      <c r="D40" s="39" t="s">
        <v>706</v>
      </c>
      <c r="E40" s="26" t="s">
        <v>707</v>
      </c>
      <c r="F40" s="8">
        <v>480000</v>
      </c>
      <c r="G40" s="56" t="s">
        <v>627</v>
      </c>
      <c r="H40" s="56" t="s">
        <v>592</v>
      </c>
      <c r="I40" s="27" t="s">
        <v>21</v>
      </c>
      <c r="J40" s="27"/>
      <c r="K40" s="25" t="s">
        <v>58</v>
      </c>
      <c r="L40" s="55">
        <v>480000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BDB40"/>
    </row>
    <row r="41" spans="1:37 1458:1458" ht="22.5" customHeight="1" x14ac:dyDescent="0.25">
      <c r="A41" s="7">
        <v>4</v>
      </c>
      <c r="B41" s="25" t="s">
        <v>27</v>
      </c>
      <c r="C41" s="26" t="s">
        <v>39</v>
      </c>
      <c r="D41" s="39" t="s">
        <v>706</v>
      </c>
      <c r="E41" s="26" t="s">
        <v>707</v>
      </c>
      <c r="F41" s="8">
        <v>369000</v>
      </c>
      <c r="G41" s="56" t="s">
        <v>628</v>
      </c>
      <c r="H41" s="56" t="s">
        <v>593</v>
      </c>
      <c r="I41" s="27" t="s">
        <v>21</v>
      </c>
      <c r="J41" s="27"/>
      <c r="K41" s="25" t="s">
        <v>57</v>
      </c>
      <c r="L41" s="55">
        <v>369000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BDB41"/>
    </row>
    <row r="42" spans="1:37 1458:1458" ht="22.5" customHeight="1" x14ac:dyDescent="0.25">
      <c r="A42" s="7">
        <v>5</v>
      </c>
      <c r="B42" s="25" t="s">
        <v>44</v>
      </c>
      <c r="C42" s="26" t="s">
        <v>45</v>
      </c>
      <c r="D42" s="39" t="s">
        <v>706</v>
      </c>
      <c r="E42" s="26" t="s">
        <v>707</v>
      </c>
      <c r="F42" s="8">
        <v>60000</v>
      </c>
      <c r="G42" s="56" t="s">
        <v>629</v>
      </c>
      <c r="H42" s="56" t="s">
        <v>564</v>
      </c>
      <c r="I42" s="27" t="s">
        <v>21</v>
      </c>
      <c r="J42" s="27"/>
      <c r="K42" s="25" t="s">
        <v>53</v>
      </c>
      <c r="L42" s="55">
        <v>60000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BDB42"/>
    </row>
    <row r="43" spans="1:37 1458:1458" ht="22.5" customHeight="1" x14ac:dyDescent="0.25">
      <c r="A43" s="7">
        <v>6</v>
      </c>
      <c r="B43" s="25" t="s">
        <v>63</v>
      </c>
      <c r="C43" s="26" t="s">
        <v>64</v>
      </c>
      <c r="D43" s="39" t="s">
        <v>706</v>
      </c>
      <c r="E43" s="26" t="s">
        <v>707</v>
      </c>
      <c r="F43" s="8">
        <v>132000</v>
      </c>
      <c r="G43" s="56" t="s">
        <v>630</v>
      </c>
      <c r="H43" s="56" t="s">
        <v>564</v>
      </c>
      <c r="I43" s="27" t="s">
        <v>67</v>
      </c>
      <c r="J43" s="27"/>
      <c r="K43" s="26" t="s">
        <v>371</v>
      </c>
      <c r="L43" s="55">
        <v>132000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BDB43"/>
    </row>
    <row r="44" spans="1:37 1458:1458" ht="22.5" customHeight="1" x14ac:dyDescent="0.25">
      <c r="A44" s="7">
        <v>7</v>
      </c>
      <c r="B44" s="25" t="s">
        <v>65</v>
      </c>
      <c r="C44" s="26" t="s">
        <v>66</v>
      </c>
      <c r="D44" s="39" t="s">
        <v>706</v>
      </c>
      <c r="E44" s="26" t="s">
        <v>707</v>
      </c>
      <c r="F44" s="8">
        <v>93000</v>
      </c>
      <c r="G44" s="56" t="s">
        <v>564</v>
      </c>
      <c r="H44" s="56" t="s">
        <v>594</v>
      </c>
      <c r="I44" s="27" t="s">
        <v>67</v>
      </c>
      <c r="J44" s="27"/>
      <c r="K44" s="122" t="s">
        <v>132</v>
      </c>
      <c r="L44" s="114">
        <v>198000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BDB44"/>
    </row>
    <row r="45" spans="1:37 1458:1458" ht="22.5" customHeight="1" x14ac:dyDescent="0.25">
      <c r="A45" s="7">
        <v>8</v>
      </c>
      <c r="B45" s="25" t="s">
        <v>74</v>
      </c>
      <c r="C45" s="26" t="s">
        <v>75</v>
      </c>
      <c r="D45" s="39" t="s">
        <v>706</v>
      </c>
      <c r="E45" s="26" t="s">
        <v>707</v>
      </c>
      <c r="F45" s="8">
        <v>90000</v>
      </c>
      <c r="G45" s="56" t="s">
        <v>631</v>
      </c>
      <c r="H45" s="56" t="s">
        <v>595</v>
      </c>
      <c r="I45" s="27" t="s">
        <v>78</v>
      </c>
      <c r="J45" s="27"/>
      <c r="K45" s="122"/>
      <c r="L45" s="114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BDB45"/>
    </row>
    <row r="46" spans="1:37 1458:1458" ht="22.5" customHeight="1" x14ac:dyDescent="0.25">
      <c r="A46" s="7">
        <v>9</v>
      </c>
      <c r="B46" s="25" t="s">
        <v>76</v>
      </c>
      <c r="C46" s="26" t="s">
        <v>77</v>
      </c>
      <c r="D46" s="39" t="s">
        <v>706</v>
      </c>
      <c r="E46" s="26" t="s">
        <v>707</v>
      </c>
      <c r="F46" s="8">
        <v>15000</v>
      </c>
      <c r="G46" s="56" t="s">
        <v>632</v>
      </c>
      <c r="H46" s="56" t="s">
        <v>596</v>
      </c>
      <c r="I46" s="27" t="s">
        <v>81</v>
      </c>
      <c r="J46" s="27"/>
      <c r="K46" s="122"/>
      <c r="L46" s="114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BDB46"/>
    </row>
    <row r="47" spans="1:37 1458:1458" ht="22.5" customHeight="1" x14ac:dyDescent="0.25">
      <c r="A47" s="7">
        <v>10</v>
      </c>
      <c r="B47" s="25" t="s">
        <v>79</v>
      </c>
      <c r="C47" s="26" t="s">
        <v>80</v>
      </c>
      <c r="D47" s="39" t="s">
        <v>706</v>
      </c>
      <c r="E47" s="26" t="s">
        <v>707</v>
      </c>
      <c r="F47" s="8">
        <v>18000</v>
      </c>
      <c r="G47" s="56" t="s">
        <v>633</v>
      </c>
      <c r="H47" s="56" t="s">
        <v>597</v>
      </c>
      <c r="I47" s="27" t="s">
        <v>82</v>
      </c>
      <c r="J47" s="27"/>
      <c r="K47" s="57"/>
      <c r="L47" s="58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BDB47"/>
    </row>
    <row r="48" spans="1:37 1458:1458" ht="22.5" customHeight="1" x14ac:dyDescent="0.25">
      <c r="A48" s="7">
        <v>11</v>
      </c>
      <c r="B48" s="25" t="s">
        <v>119</v>
      </c>
      <c r="C48" s="39" t="s">
        <v>240</v>
      </c>
      <c r="D48" s="39" t="s">
        <v>706</v>
      </c>
      <c r="E48" s="26" t="s">
        <v>707</v>
      </c>
      <c r="F48" s="8">
        <v>54000</v>
      </c>
      <c r="G48" s="56" t="s">
        <v>634</v>
      </c>
      <c r="H48" s="56" t="s">
        <v>598</v>
      </c>
      <c r="I48" s="27" t="s">
        <v>14</v>
      </c>
      <c r="J48" s="27"/>
      <c r="K48" s="122" t="s">
        <v>359</v>
      </c>
      <c r="L48" s="114">
        <v>829000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BDB48"/>
    </row>
    <row r="49" spans="1:37 1458:1458" ht="22.5" customHeight="1" x14ac:dyDescent="0.25">
      <c r="A49" s="7">
        <v>12</v>
      </c>
      <c r="B49" s="25" t="s">
        <v>122</v>
      </c>
      <c r="C49" s="39" t="s">
        <v>120</v>
      </c>
      <c r="D49" s="39" t="s">
        <v>706</v>
      </c>
      <c r="E49" s="26" t="s">
        <v>707</v>
      </c>
      <c r="F49" s="8">
        <v>72000</v>
      </c>
      <c r="G49" s="56" t="s">
        <v>635</v>
      </c>
      <c r="H49" s="56" t="s">
        <v>599</v>
      </c>
      <c r="I49" s="27" t="s">
        <v>137</v>
      </c>
      <c r="J49" s="27"/>
      <c r="K49" s="122"/>
      <c r="L49" s="114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BDB49"/>
    </row>
    <row r="50" spans="1:37 1458:1458" ht="22.5" customHeight="1" x14ac:dyDescent="0.25">
      <c r="A50" s="7">
        <v>13</v>
      </c>
      <c r="B50" s="25" t="s">
        <v>123</v>
      </c>
      <c r="C50" s="39" t="s">
        <v>121</v>
      </c>
      <c r="D50" s="39" t="s">
        <v>706</v>
      </c>
      <c r="E50" s="26" t="s">
        <v>707</v>
      </c>
      <c r="F50" s="8">
        <v>78000</v>
      </c>
      <c r="G50" s="56" t="s">
        <v>636</v>
      </c>
      <c r="H50" s="56" t="s">
        <v>598</v>
      </c>
      <c r="I50" s="27" t="s">
        <v>17</v>
      </c>
      <c r="J50" s="27"/>
      <c r="K50" s="122"/>
      <c r="L50" s="114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BDB50"/>
    </row>
    <row r="51" spans="1:37 1458:1458" ht="22.5" customHeight="1" x14ac:dyDescent="0.25">
      <c r="A51" s="7">
        <v>14</v>
      </c>
      <c r="B51" s="25" t="s">
        <v>135</v>
      </c>
      <c r="C51" s="39" t="s">
        <v>136</v>
      </c>
      <c r="D51" s="39" t="s">
        <v>706</v>
      </c>
      <c r="E51" s="26" t="s">
        <v>707</v>
      </c>
      <c r="F51" s="8">
        <v>328000</v>
      </c>
      <c r="G51" s="56" t="s">
        <v>637</v>
      </c>
      <c r="H51" s="56" t="s">
        <v>600</v>
      </c>
      <c r="I51" s="27" t="s">
        <v>46</v>
      </c>
      <c r="J51" s="27"/>
      <c r="K51" s="122"/>
      <c r="L51" s="114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BDB51"/>
    </row>
    <row r="52" spans="1:37 1458:1458" ht="22.5" customHeight="1" x14ac:dyDescent="0.25">
      <c r="A52" s="7">
        <v>15</v>
      </c>
      <c r="B52" s="25" t="s">
        <v>133</v>
      </c>
      <c r="C52" s="39" t="s">
        <v>134</v>
      </c>
      <c r="D52" s="39" t="s">
        <v>706</v>
      </c>
      <c r="E52" s="26" t="s">
        <v>707</v>
      </c>
      <c r="F52" s="8">
        <v>57000</v>
      </c>
      <c r="G52" s="56" t="s">
        <v>638</v>
      </c>
      <c r="H52" s="56" t="s">
        <v>601</v>
      </c>
      <c r="I52" s="27" t="s">
        <v>17</v>
      </c>
      <c r="J52" s="27"/>
      <c r="K52" s="122"/>
      <c r="L52" s="114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BDB52"/>
    </row>
    <row r="53" spans="1:37 1458:1458" ht="22.5" customHeight="1" x14ac:dyDescent="0.25">
      <c r="A53" s="7">
        <v>16</v>
      </c>
      <c r="B53" s="25" t="s">
        <v>352</v>
      </c>
      <c r="C53" s="39" t="s">
        <v>351</v>
      </c>
      <c r="D53" s="39" t="s">
        <v>706</v>
      </c>
      <c r="E53" s="26" t="s">
        <v>707</v>
      </c>
      <c r="F53" s="8">
        <v>21000</v>
      </c>
      <c r="G53" s="56" t="s">
        <v>639</v>
      </c>
      <c r="H53" s="56" t="s">
        <v>602</v>
      </c>
      <c r="I53" s="27" t="s">
        <v>17</v>
      </c>
      <c r="J53" s="27"/>
      <c r="K53" s="122"/>
      <c r="L53" s="114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BDB53"/>
    </row>
    <row r="54" spans="1:37 1458:1458" ht="22.5" customHeight="1" x14ac:dyDescent="0.25">
      <c r="A54" s="7">
        <v>17</v>
      </c>
      <c r="B54" s="25" t="s">
        <v>354</v>
      </c>
      <c r="C54" s="39" t="s">
        <v>353</v>
      </c>
      <c r="D54" s="39" t="s">
        <v>706</v>
      </c>
      <c r="E54" s="26" t="s">
        <v>707</v>
      </c>
      <c r="F54" s="8">
        <v>21000</v>
      </c>
      <c r="G54" s="56" t="s">
        <v>640</v>
      </c>
      <c r="H54" s="56" t="s">
        <v>603</v>
      </c>
      <c r="I54" s="27" t="s">
        <v>17</v>
      </c>
      <c r="J54" s="27"/>
      <c r="K54" s="122"/>
      <c r="L54" s="11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BDB54"/>
    </row>
    <row r="55" spans="1:37 1458:1458" ht="22.5" customHeight="1" x14ac:dyDescent="0.25">
      <c r="A55" s="7">
        <v>18</v>
      </c>
      <c r="B55" s="25" t="s">
        <v>358</v>
      </c>
      <c r="C55" s="39" t="s">
        <v>355</v>
      </c>
      <c r="D55" s="39" t="s">
        <v>706</v>
      </c>
      <c r="E55" s="26" t="s">
        <v>707</v>
      </c>
      <c r="F55" s="8">
        <v>165000</v>
      </c>
      <c r="G55" s="56" t="s">
        <v>641</v>
      </c>
      <c r="H55" s="56" t="s">
        <v>604</v>
      </c>
      <c r="I55" s="27" t="s">
        <v>17</v>
      </c>
      <c r="J55" s="27"/>
      <c r="K55" s="122"/>
      <c r="L55" s="114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BDB55"/>
    </row>
    <row r="56" spans="1:37 1458:1458" ht="22.5" customHeight="1" x14ac:dyDescent="0.25">
      <c r="A56" s="7">
        <v>19</v>
      </c>
      <c r="B56" s="25" t="s">
        <v>357</v>
      </c>
      <c r="C56" s="39" t="s">
        <v>356</v>
      </c>
      <c r="D56" s="39" t="s">
        <v>706</v>
      </c>
      <c r="E56" s="26" t="s">
        <v>707</v>
      </c>
      <c r="F56" s="8">
        <v>33000</v>
      </c>
      <c r="G56" s="56" t="s">
        <v>642</v>
      </c>
      <c r="H56" s="56" t="s">
        <v>603</v>
      </c>
      <c r="I56" s="27" t="s">
        <v>14</v>
      </c>
      <c r="J56" s="27"/>
      <c r="K56" s="122"/>
      <c r="L56" s="114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BDB56"/>
    </row>
    <row r="57" spans="1:37 1458:1458" ht="22.5" customHeight="1" x14ac:dyDescent="0.25">
      <c r="A57" s="7">
        <v>20</v>
      </c>
      <c r="B57" s="25" t="s">
        <v>151</v>
      </c>
      <c r="C57" s="39" t="s">
        <v>152</v>
      </c>
      <c r="D57" s="39" t="s">
        <v>706</v>
      </c>
      <c r="E57" s="26" t="s">
        <v>707</v>
      </c>
      <c r="F57" s="8">
        <v>18000</v>
      </c>
      <c r="G57" s="56" t="s">
        <v>643</v>
      </c>
      <c r="H57" s="56" t="s">
        <v>605</v>
      </c>
      <c r="I57" s="27" t="s">
        <v>14</v>
      </c>
      <c r="J57" s="27"/>
      <c r="K57" s="122" t="s">
        <v>369</v>
      </c>
      <c r="L57" s="114">
        <v>60000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BDB57"/>
    </row>
    <row r="58" spans="1:37 1458:1458" ht="22.5" customHeight="1" x14ac:dyDescent="0.25">
      <c r="A58" s="7">
        <v>21</v>
      </c>
      <c r="B58" s="25" t="s">
        <v>153</v>
      </c>
      <c r="C58" s="39" t="s">
        <v>154</v>
      </c>
      <c r="D58" s="39" t="s">
        <v>706</v>
      </c>
      <c r="E58" s="26" t="s">
        <v>707</v>
      </c>
      <c r="F58" s="8">
        <v>27000</v>
      </c>
      <c r="G58" s="56" t="s">
        <v>644</v>
      </c>
      <c r="H58" s="56" t="s">
        <v>606</v>
      </c>
      <c r="I58" s="27" t="s">
        <v>14</v>
      </c>
      <c r="J58" s="27"/>
      <c r="K58" s="122"/>
      <c r="L58" s="114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BDB58"/>
    </row>
    <row r="59" spans="1:37 1458:1458" ht="22.5" customHeight="1" x14ac:dyDescent="0.25">
      <c r="A59" s="7">
        <v>22</v>
      </c>
      <c r="B59" s="25" t="s">
        <v>157</v>
      </c>
      <c r="C59" s="39" t="s">
        <v>158</v>
      </c>
      <c r="D59" s="39" t="s">
        <v>706</v>
      </c>
      <c r="E59" s="26" t="s">
        <v>707</v>
      </c>
      <c r="F59" s="8">
        <v>15000</v>
      </c>
      <c r="G59" s="56" t="s">
        <v>645</v>
      </c>
      <c r="H59" s="56" t="s">
        <v>607</v>
      </c>
      <c r="I59" s="27" t="s">
        <v>14</v>
      </c>
      <c r="J59" s="27"/>
      <c r="K59" s="122"/>
      <c r="L59" s="114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BDB59"/>
    </row>
    <row r="60" spans="1:37 1458:1458" ht="22.5" customHeight="1" x14ac:dyDescent="0.25">
      <c r="A60" s="7">
        <v>23</v>
      </c>
      <c r="B60" s="25" t="s">
        <v>155</v>
      </c>
      <c r="C60" s="26" t="s">
        <v>156</v>
      </c>
      <c r="D60" s="39" t="s">
        <v>706</v>
      </c>
      <c r="E60" s="26" t="s">
        <v>707</v>
      </c>
      <c r="F60" s="8">
        <v>405000</v>
      </c>
      <c r="G60" s="56" t="s">
        <v>646</v>
      </c>
      <c r="H60" s="56" t="s">
        <v>608</v>
      </c>
      <c r="I60" s="27" t="s">
        <v>17</v>
      </c>
      <c r="J60" s="27"/>
      <c r="K60" s="57"/>
      <c r="L60" s="58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BDB60"/>
    </row>
    <row r="61" spans="1:37 1458:1458" ht="22.5" customHeight="1" x14ac:dyDescent="0.25">
      <c r="A61" s="7">
        <v>24</v>
      </c>
      <c r="B61" s="25" t="s">
        <v>164</v>
      </c>
      <c r="C61" s="39" t="s">
        <v>166</v>
      </c>
      <c r="D61" s="39" t="s">
        <v>706</v>
      </c>
      <c r="E61" s="26" t="s">
        <v>707</v>
      </c>
      <c r="F61" s="8">
        <v>126000</v>
      </c>
      <c r="G61" s="56" t="s">
        <v>647</v>
      </c>
      <c r="H61" s="56" t="s">
        <v>583</v>
      </c>
      <c r="I61" s="27" t="s">
        <v>17</v>
      </c>
      <c r="J61" s="27"/>
      <c r="K61" s="122" t="s">
        <v>370</v>
      </c>
      <c r="L61" s="114">
        <v>153000</v>
      </c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BDB61"/>
    </row>
    <row r="62" spans="1:37 1458:1458" ht="22.5" customHeight="1" x14ac:dyDescent="0.25">
      <c r="A62" s="7">
        <v>25</v>
      </c>
      <c r="B62" s="25" t="s">
        <v>165</v>
      </c>
      <c r="C62" s="39" t="s">
        <v>167</v>
      </c>
      <c r="D62" s="39" t="s">
        <v>706</v>
      </c>
      <c r="E62" s="26" t="s">
        <v>707</v>
      </c>
      <c r="F62" s="8">
        <v>27000</v>
      </c>
      <c r="G62" s="56" t="s">
        <v>608</v>
      </c>
      <c r="H62" s="56" t="s">
        <v>609</v>
      </c>
      <c r="I62" s="27" t="s">
        <v>14</v>
      </c>
      <c r="J62" s="27"/>
      <c r="K62" s="122"/>
      <c r="L62" s="114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BDB62"/>
    </row>
    <row r="63" spans="1:37 1458:1458" ht="22.5" customHeight="1" x14ac:dyDescent="0.25">
      <c r="A63" s="7">
        <v>26</v>
      </c>
      <c r="B63" s="25" t="s">
        <v>360</v>
      </c>
      <c r="C63" s="39" t="s">
        <v>361</v>
      </c>
      <c r="D63" s="39" t="s">
        <v>706</v>
      </c>
      <c r="E63" s="26" t="s">
        <v>707</v>
      </c>
      <c r="F63" s="8">
        <v>369000</v>
      </c>
      <c r="G63" s="56" t="s">
        <v>648</v>
      </c>
      <c r="H63" s="56" t="s">
        <v>610</v>
      </c>
      <c r="I63" s="27" t="s">
        <v>17</v>
      </c>
      <c r="J63" s="27"/>
      <c r="K63" s="122" t="s">
        <v>368</v>
      </c>
      <c r="L63" s="114">
        <v>1998000</v>
      </c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BDB63"/>
    </row>
    <row r="64" spans="1:37 1458:1458" ht="22.5" customHeight="1" x14ac:dyDescent="0.25">
      <c r="A64" s="7">
        <v>27</v>
      </c>
      <c r="B64" s="25" t="s">
        <v>362</v>
      </c>
      <c r="C64" s="39" t="s">
        <v>363</v>
      </c>
      <c r="D64" s="39" t="s">
        <v>706</v>
      </c>
      <c r="E64" s="26" t="s">
        <v>707</v>
      </c>
      <c r="F64" s="8">
        <v>18000</v>
      </c>
      <c r="G64" s="56" t="s">
        <v>614</v>
      </c>
      <c r="H64" s="56" t="s">
        <v>611</v>
      </c>
      <c r="I64" s="27" t="s">
        <v>14</v>
      </c>
      <c r="J64" s="27"/>
      <c r="K64" s="122"/>
      <c r="L64" s="11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BDB64"/>
    </row>
    <row r="65" spans="1:37 1458:1458" ht="22.5" customHeight="1" x14ac:dyDescent="0.25">
      <c r="A65" s="7">
        <v>28</v>
      </c>
      <c r="B65" s="25" t="s">
        <v>170</v>
      </c>
      <c r="C65" s="39" t="s">
        <v>168</v>
      </c>
      <c r="D65" s="39" t="s">
        <v>706</v>
      </c>
      <c r="E65" s="26" t="s">
        <v>707</v>
      </c>
      <c r="F65" s="8">
        <v>447000</v>
      </c>
      <c r="G65" s="56" t="s">
        <v>649</v>
      </c>
      <c r="H65" s="56" t="s">
        <v>612</v>
      </c>
      <c r="I65" s="27" t="s">
        <v>14</v>
      </c>
      <c r="J65" s="27"/>
      <c r="K65" s="122"/>
      <c r="L65" s="114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BDB65"/>
    </row>
    <row r="66" spans="1:37 1458:1458" ht="22.5" customHeight="1" x14ac:dyDescent="0.25">
      <c r="A66" s="7">
        <v>29</v>
      </c>
      <c r="B66" s="25" t="s">
        <v>169</v>
      </c>
      <c r="C66" s="39" t="s">
        <v>171</v>
      </c>
      <c r="D66" s="39" t="s">
        <v>706</v>
      </c>
      <c r="E66" s="26" t="s">
        <v>707</v>
      </c>
      <c r="F66" s="8">
        <v>132000</v>
      </c>
      <c r="G66" s="56" t="s">
        <v>650</v>
      </c>
      <c r="H66" s="56" t="s">
        <v>613</v>
      </c>
      <c r="I66" s="27" t="s">
        <v>17</v>
      </c>
      <c r="J66" s="27"/>
      <c r="K66" s="122"/>
      <c r="L66" s="114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BDB66"/>
    </row>
    <row r="67" spans="1:37 1458:1458" ht="22.5" customHeight="1" x14ac:dyDescent="0.25">
      <c r="A67" s="7">
        <v>30</v>
      </c>
      <c r="B67" s="25" t="s">
        <v>364</v>
      </c>
      <c r="C67" s="39" t="s">
        <v>365</v>
      </c>
      <c r="D67" s="39" t="s">
        <v>706</v>
      </c>
      <c r="E67" s="26" t="s">
        <v>707</v>
      </c>
      <c r="F67" s="8">
        <v>639000</v>
      </c>
      <c r="G67" s="56" t="s">
        <v>583</v>
      </c>
      <c r="H67" s="56" t="s">
        <v>614</v>
      </c>
      <c r="I67" s="27" t="s">
        <v>17</v>
      </c>
      <c r="J67" s="27"/>
      <c r="K67" s="122"/>
      <c r="L67" s="114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BDB67"/>
    </row>
    <row r="68" spans="1:37 1458:1458" ht="22.5" customHeight="1" x14ac:dyDescent="0.25">
      <c r="A68" s="7">
        <v>31</v>
      </c>
      <c r="B68" s="25" t="s">
        <v>366</v>
      </c>
      <c r="C68" s="39" t="s">
        <v>367</v>
      </c>
      <c r="D68" s="39" t="s">
        <v>706</v>
      </c>
      <c r="E68" s="26" t="s">
        <v>707</v>
      </c>
      <c r="F68" s="8">
        <v>393000</v>
      </c>
      <c r="G68" s="56" t="s">
        <v>651</v>
      </c>
      <c r="H68" s="56" t="s">
        <v>615</v>
      </c>
      <c r="I68" s="27" t="s">
        <v>14</v>
      </c>
      <c r="J68" s="27"/>
      <c r="K68" s="122"/>
      <c r="L68" s="114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BDB68"/>
    </row>
    <row r="69" spans="1:37 1458:1458" ht="23.25" customHeight="1" x14ac:dyDescent="0.25">
      <c r="A69" s="7">
        <v>32</v>
      </c>
      <c r="B69" s="7" t="s">
        <v>245</v>
      </c>
      <c r="C69" s="39" t="s">
        <v>246</v>
      </c>
      <c r="D69" s="39" t="s">
        <v>706</v>
      </c>
      <c r="E69" s="26" t="s">
        <v>707</v>
      </c>
      <c r="F69" s="8">
        <v>978900</v>
      </c>
      <c r="G69" s="56" t="s">
        <v>604</v>
      </c>
      <c r="H69" s="42" t="s">
        <v>586</v>
      </c>
      <c r="I69" s="9" t="s">
        <v>14</v>
      </c>
      <c r="J69" s="9"/>
      <c r="K69" s="57"/>
      <c r="L69" s="58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BDB69"/>
    </row>
    <row r="70" spans="1:37 1458:1458" ht="23.25" customHeight="1" x14ac:dyDescent="0.25">
      <c r="A70" s="7">
        <v>33</v>
      </c>
      <c r="B70" s="7" t="s">
        <v>247</v>
      </c>
      <c r="C70" s="39" t="s">
        <v>248</v>
      </c>
      <c r="D70" s="39" t="s">
        <v>706</v>
      </c>
      <c r="E70" s="26" t="s">
        <v>707</v>
      </c>
      <c r="F70" s="8">
        <v>1065600</v>
      </c>
      <c r="G70" s="56" t="s">
        <v>565</v>
      </c>
      <c r="H70" s="42" t="s">
        <v>616</v>
      </c>
      <c r="I70" s="9" t="s">
        <v>17</v>
      </c>
      <c r="J70" s="9"/>
      <c r="K70" s="57"/>
      <c r="L70" s="58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BDB70"/>
    </row>
    <row r="71" spans="1:37 1458:1458" ht="23.25" customHeight="1" x14ac:dyDescent="0.25">
      <c r="A71" s="7">
        <v>34</v>
      </c>
      <c r="B71" s="7" t="s">
        <v>445</v>
      </c>
      <c r="C71" s="39" t="s">
        <v>249</v>
      </c>
      <c r="D71" s="39" t="s">
        <v>706</v>
      </c>
      <c r="E71" s="26" t="s">
        <v>707</v>
      </c>
      <c r="F71" s="8">
        <v>231000</v>
      </c>
      <c r="G71" s="56" t="s">
        <v>612</v>
      </c>
      <c r="H71" s="42" t="s">
        <v>617</v>
      </c>
      <c r="I71" s="9" t="s">
        <v>17</v>
      </c>
      <c r="J71" s="9"/>
      <c r="K71" s="57"/>
      <c r="L71" s="58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BDB71"/>
    </row>
    <row r="72" spans="1:37 1458:1458" ht="23.25" customHeight="1" x14ac:dyDescent="0.25">
      <c r="A72" s="7">
        <v>35</v>
      </c>
      <c r="B72" s="7" t="s">
        <v>250</v>
      </c>
      <c r="C72" s="39" t="s">
        <v>251</v>
      </c>
      <c r="D72" s="39" t="s">
        <v>706</v>
      </c>
      <c r="E72" s="26" t="s">
        <v>707</v>
      </c>
      <c r="F72" s="8">
        <v>2175000</v>
      </c>
      <c r="G72" s="56" t="s">
        <v>652</v>
      </c>
      <c r="H72" s="42" t="s">
        <v>618</v>
      </c>
      <c r="I72" s="9" t="s">
        <v>14</v>
      </c>
      <c r="J72" s="9"/>
      <c r="K72" s="57"/>
      <c r="L72" s="58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BDB72"/>
    </row>
    <row r="73" spans="1:37 1458:1458" ht="23.25" customHeight="1" x14ac:dyDescent="0.25">
      <c r="A73" s="7">
        <v>36</v>
      </c>
      <c r="B73" s="7" t="s">
        <v>293</v>
      </c>
      <c r="C73" s="39" t="s">
        <v>294</v>
      </c>
      <c r="D73" s="39" t="s">
        <v>706</v>
      </c>
      <c r="E73" s="26" t="s">
        <v>707</v>
      </c>
      <c r="F73" s="8">
        <v>312000</v>
      </c>
      <c r="G73" s="56" t="s">
        <v>653</v>
      </c>
      <c r="H73" s="42" t="s">
        <v>619</v>
      </c>
      <c r="I73" s="9" t="s">
        <v>14</v>
      </c>
      <c r="J73" s="9"/>
      <c r="K73" s="57"/>
      <c r="L73" s="58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BDB73"/>
    </row>
    <row r="74" spans="1:37 1458:1458" ht="23.25" customHeight="1" x14ac:dyDescent="0.25">
      <c r="A74" s="7">
        <v>37</v>
      </c>
      <c r="B74" s="7" t="s">
        <v>446</v>
      </c>
      <c r="C74" s="39" t="s">
        <v>295</v>
      </c>
      <c r="D74" s="39" t="s">
        <v>706</v>
      </c>
      <c r="E74" s="26" t="s">
        <v>707</v>
      </c>
      <c r="F74" s="8">
        <v>54000</v>
      </c>
      <c r="G74" s="56" t="s">
        <v>654</v>
      </c>
      <c r="H74" s="42" t="s">
        <v>620</v>
      </c>
      <c r="I74" s="9" t="s">
        <v>17</v>
      </c>
      <c r="J74" s="9"/>
      <c r="K74" s="57"/>
      <c r="L74" s="58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BDB74"/>
    </row>
    <row r="75" spans="1:37 1458:1458" ht="23.25" customHeight="1" x14ac:dyDescent="0.25">
      <c r="A75" s="7">
        <v>38</v>
      </c>
      <c r="B75" s="7" t="s">
        <v>307</v>
      </c>
      <c r="C75" s="39" t="s">
        <v>309</v>
      </c>
      <c r="D75" s="39" t="s">
        <v>706</v>
      </c>
      <c r="E75" s="26" t="s">
        <v>707</v>
      </c>
      <c r="F75" s="8">
        <v>447500</v>
      </c>
      <c r="G75" s="56" t="s">
        <v>655</v>
      </c>
      <c r="H75" s="42" t="s">
        <v>621</v>
      </c>
      <c r="I75" s="9" t="s">
        <v>17</v>
      </c>
      <c r="J75" s="9"/>
      <c r="K75" s="57"/>
      <c r="L75" s="58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BDB75"/>
    </row>
    <row r="76" spans="1:37 1458:1458" ht="23.25" customHeight="1" x14ac:dyDescent="0.25">
      <c r="A76" s="7">
        <v>39</v>
      </c>
      <c r="B76" s="7" t="s">
        <v>320</v>
      </c>
      <c r="C76" s="39" t="s">
        <v>321</v>
      </c>
      <c r="D76" s="39" t="s">
        <v>706</v>
      </c>
      <c r="E76" s="26" t="s">
        <v>707</v>
      </c>
      <c r="F76" s="8">
        <v>279000</v>
      </c>
      <c r="G76" s="56" t="s">
        <v>656</v>
      </c>
      <c r="H76" s="42" t="s">
        <v>622</v>
      </c>
      <c r="I76" s="9" t="s">
        <v>17</v>
      </c>
      <c r="J76" s="9"/>
      <c r="K76" s="57"/>
      <c r="L76" s="58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BDB76"/>
    </row>
    <row r="77" spans="1:37 1458:1458" ht="23.25" customHeight="1" x14ac:dyDescent="0.25">
      <c r="A77" s="7">
        <v>40</v>
      </c>
      <c r="B77" s="7" t="s">
        <v>322</v>
      </c>
      <c r="C77" s="39" t="s">
        <v>323</v>
      </c>
      <c r="D77" s="39" t="s">
        <v>706</v>
      </c>
      <c r="E77" s="26" t="s">
        <v>707</v>
      </c>
      <c r="F77" s="8">
        <v>1263000</v>
      </c>
      <c r="G77" s="56" t="s">
        <v>657</v>
      </c>
      <c r="H77" s="42" t="s">
        <v>623</v>
      </c>
      <c r="I77" s="9" t="s">
        <v>14</v>
      </c>
      <c r="J77" s="9"/>
      <c r="K77" s="57"/>
      <c r="L77" s="58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BDB77"/>
    </row>
    <row r="78" spans="1:37 1458:1458" ht="27" customHeight="1" x14ac:dyDescent="0.25">
      <c r="A78" s="7">
        <v>41</v>
      </c>
      <c r="B78" s="7" t="s">
        <v>308</v>
      </c>
      <c r="C78" s="39" t="s">
        <v>310</v>
      </c>
      <c r="D78" s="39" t="s">
        <v>706</v>
      </c>
      <c r="E78" s="26" t="s">
        <v>707</v>
      </c>
      <c r="F78" s="8">
        <v>375000</v>
      </c>
      <c r="G78" s="56" t="s">
        <v>658</v>
      </c>
      <c r="H78" s="42" t="s">
        <v>624</v>
      </c>
      <c r="I78" s="9" t="s">
        <v>14</v>
      </c>
      <c r="J78" s="9"/>
      <c r="K78" s="57"/>
      <c r="L78" s="5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BDB78"/>
    </row>
    <row r="79" spans="1:37 1458:1458" ht="25.5" customHeight="1" x14ac:dyDescent="0.25">
      <c r="A79" s="7">
        <v>42</v>
      </c>
      <c r="B79" s="7" t="s">
        <v>409</v>
      </c>
      <c r="C79" s="39" t="s">
        <v>410</v>
      </c>
      <c r="D79" s="39" t="s">
        <v>706</v>
      </c>
      <c r="E79" s="26" t="s">
        <v>707</v>
      </c>
      <c r="F79" s="8">
        <v>1383000</v>
      </c>
      <c r="G79" s="56" t="s">
        <v>659</v>
      </c>
      <c r="H79" s="42" t="s">
        <v>618</v>
      </c>
      <c r="I79" s="9" t="s">
        <v>14</v>
      </c>
      <c r="J79" s="9"/>
      <c r="K79" s="57"/>
      <c r="L79" s="58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BDB79"/>
    </row>
    <row r="80" spans="1:37 1458:1458" ht="25.5" customHeight="1" x14ac:dyDescent="0.25">
      <c r="A80" s="7">
        <v>43</v>
      </c>
      <c r="B80" s="7" t="s">
        <v>523</v>
      </c>
      <c r="C80" s="39" t="s">
        <v>524</v>
      </c>
      <c r="D80" s="39" t="s">
        <v>706</v>
      </c>
      <c r="E80" s="26" t="s">
        <v>707</v>
      </c>
      <c r="F80" s="8">
        <v>1137119</v>
      </c>
      <c r="G80" s="56" t="s">
        <v>525</v>
      </c>
      <c r="H80" s="42"/>
      <c r="I80" s="9"/>
      <c r="J80" s="9"/>
      <c r="K80" s="57"/>
      <c r="L80" s="58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BDB80"/>
    </row>
    <row r="81" spans="1:1458" ht="25.5" customHeight="1" x14ac:dyDescent="0.25">
      <c r="A81" s="7">
        <v>44</v>
      </c>
      <c r="B81" s="7" t="s">
        <v>535</v>
      </c>
      <c r="C81" s="39" t="s">
        <v>536</v>
      </c>
      <c r="D81" s="39" t="s">
        <v>706</v>
      </c>
      <c r="E81" s="26" t="s">
        <v>707</v>
      </c>
      <c r="F81" s="8">
        <v>108650</v>
      </c>
      <c r="G81" s="56" t="s">
        <v>660</v>
      </c>
      <c r="H81" s="42" t="s">
        <v>625</v>
      </c>
      <c r="I81" s="9" t="s">
        <v>17</v>
      </c>
      <c r="J81" s="9"/>
      <c r="K81" s="57"/>
      <c r="L81" s="58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BDB81"/>
    </row>
    <row r="82" spans="1:1458" ht="21.75" customHeight="1" x14ac:dyDescent="0.25">
      <c r="A82" s="119" t="s">
        <v>29</v>
      </c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BDB82"/>
    </row>
    <row r="83" spans="1:1458" s="68" customFormat="1" ht="87" customHeight="1" x14ac:dyDescent="0.25">
      <c r="A83" s="49">
        <v>1</v>
      </c>
      <c r="B83" s="49" t="s">
        <v>712</v>
      </c>
      <c r="C83" s="105" t="s">
        <v>713</v>
      </c>
      <c r="D83" s="105" t="s">
        <v>708</v>
      </c>
      <c r="E83" s="105" t="s">
        <v>709</v>
      </c>
      <c r="F83" s="51">
        <v>12257000</v>
      </c>
      <c r="G83" s="107" t="s">
        <v>671</v>
      </c>
      <c r="H83" s="42" t="s">
        <v>661</v>
      </c>
      <c r="I83" s="52"/>
      <c r="J83" s="52"/>
      <c r="K83" s="49" t="s">
        <v>344</v>
      </c>
      <c r="L83" s="74">
        <f>1865700+1425600+1730700+1142100+3079350+3211650</f>
        <v>12455100</v>
      </c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</row>
    <row r="84" spans="1:1458" s="68" customFormat="1" ht="42.75" customHeight="1" x14ac:dyDescent="0.25">
      <c r="A84" s="49">
        <v>2</v>
      </c>
      <c r="B84" s="49" t="s">
        <v>710</v>
      </c>
      <c r="C84" s="105" t="s">
        <v>711</v>
      </c>
      <c r="D84" s="105" t="s">
        <v>708</v>
      </c>
      <c r="E84" s="105" t="s">
        <v>709</v>
      </c>
      <c r="F84" s="51">
        <v>12257000</v>
      </c>
      <c r="G84" s="107" t="s">
        <v>671</v>
      </c>
      <c r="H84" s="42" t="s">
        <v>661</v>
      </c>
      <c r="I84" s="52"/>
      <c r="J84" s="52"/>
      <c r="K84" s="49" t="s">
        <v>344</v>
      </c>
      <c r="L84" s="74">
        <f>1865700+1425600+1730700+1142100+3079350+3211650</f>
        <v>12455100</v>
      </c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</row>
    <row r="85" spans="1:1458" s="68" customFormat="1" ht="24.75" customHeight="1" x14ac:dyDescent="0.25">
      <c r="A85" s="49">
        <v>3</v>
      </c>
      <c r="B85" s="71" t="s">
        <v>716</v>
      </c>
      <c r="C85" s="71" t="s">
        <v>717</v>
      </c>
      <c r="D85" s="105" t="s">
        <v>708</v>
      </c>
      <c r="E85" s="71" t="s">
        <v>709</v>
      </c>
      <c r="F85" s="51">
        <v>17039600</v>
      </c>
      <c r="G85" s="70" t="s">
        <v>573</v>
      </c>
      <c r="H85" s="42" t="s">
        <v>563</v>
      </c>
      <c r="I85" s="52" t="s">
        <v>14</v>
      </c>
      <c r="J85" s="52" t="s">
        <v>718</v>
      </c>
      <c r="K85" s="49" t="s">
        <v>340</v>
      </c>
      <c r="L85" s="74">
        <f>1928550+3998300+5867700</f>
        <v>11794550</v>
      </c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</row>
    <row r="86" spans="1:1458" s="67" customFormat="1" ht="24.75" customHeight="1" x14ac:dyDescent="0.25">
      <c r="A86" s="49">
        <v>4</v>
      </c>
      <c r="B86" s="71" t="s">
        <v>714</v>
      </c>
      <c r="C86" s="71" t="s">
        <v>715</v>
      </c>
      <c r="D86" s="71" t="s">
        <v>708</v>
      </c>
      <c r="E86" s="71" t="s">
        <v>709</v>
      </c>
      <c r="F86" s="51">
        <v>17039600</v>
      </c>
      <c r="G86" s="70" t="s">
        <v>573</v>
      </c>
      <c r="H86" s="42" t="s">
        <v>563</v>
      </c>
      <c r="I86" s="71" t="s">
        <v>17</v>
      </c>
      <c r="J86" s="71" t="s">
        <v>38</v>
      </c>
      <c r="K86" s="49" t="s">
        <v>340</v>
      </c>
      <c r="L86" s="74">
        <f>1928550+3998300+5867700</f>
        <v>11794550</v>
      </c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Q86" s="68"/>
      <c r="BR86" s="68"/>
      <c r="BS86" s="68"/>
      <c r="BT86" s="68"/>
      <c r="BU86" s="68"/>
      <c r="BV86" s="68"/>
      <c r="BW86" s="68"/>
      <c r="BX86" s="68"/>
      <c r="BY86" s="68"/>
      <c r="BZ86" s="68"/>
      <c r="CA86" s="68"/>
      <c r="CB86" s="68"/>
      <c r="CC86" s="68"/>
      <c r="CD86" s="68"/>
      <c r="CE86" s="68"/>
      <c r="CF86" s="68"/>
      <c r="CG86" s="68"/>
      <c r="CH86" s="68"/>
      <c r="CI86" s="68"/>
      <c r="CJ86" s="68"/>
      <c r="CK86" s="68"/>
      <c r="CL86" s="68"/>
      <c r="CM86" s="68"/>
      <c r="CN86" s="68"/>
      <c r="CO86" s="68"/>
      <c r="CP86" s="68"/>
      <c r="CQ86" s="68"/>
      <c r="CR86" s="68"/>
      <c r="CS86" s="68"/>
      <c r="CT86" s="68"/>
      <c r="CU86" s="68"/>
      <c r="CV86" s="68"/>
      <c r="CW86" s="68"/>
      <c r="CX86" s="68"/>
      <c r="CY86" s="68"/>
      <c r="CZ86" s="68"/>
      <c r="DA86" s="68"/>
      <c r="DB86" s="68"/>
      <c r="DC86" s="68"/>
      <c r="DD86" s="68"/>
      <c r="DE86" s="68"/>
      <c r="DF86" s="68"/>
      <c r="DG86" s="68"/>
      <c r="DH86" s="68"/>
      <c r="DI86" s="68"/>
      <c r="DJ86" s="68"/>
      <c r="DK86" s="68"/>
      <c r="DL86" s="68"/>
      <c r="DM86" s="68"/>
      <c r="DN86" s="68"/>
      <c r="DO86" s="68"/>
      <c r="DP86" s="68"/>
      <c r="DQ86" s="68"/>
      <c r="DR86" s="68"/>
      <c r="DS86" s="68"/>
      <c r="DT86" s="68"/>
      <c r="DU86" s="68"/>
      <c r="DV86" s="68"/>
      <c r="DW86" s="68"/>
      <c r="DX86" s="68"/>
      <c r="DY86" s="68"/>
      <c r="DZ86" s="68"/>
      <c r="EA86" s="68"/>
      <c r="EB86" s="68"/>
      <c r="EC86" s="68"/>
      <c r="ED86" s="68"/>
      <c r="EE86" s="68"/>
      <c r="EF86" s="68"/>
      <c r="EG86" s="68"/>
      <c r="EH86" s="68"/>
      <c r="EI86" s="68"/>
      <c r="EJ86" s="68"/>
      <c r="EK86" s="68"/>
      <c r="EL86" s="68"/>
      <c r="EM86" s="68"/>
      <c r="EN86" s="68"/>
      <c r="EO86" s="68"/>
      <c r="EP86" s="68"/>
      <c r="EQ86" s="68"/>
      <c r="ER86" s="68"/>
      <c r="ES86" s="68"/>
      <c r="ET86" s="68"/>
      <c r="EU86" s="68"/>
      <c r="EV86" s="68"/>
      <c r="EW86" s="68"/>
      <c r="EX86" s="68"/>
      <c r="EY86" s="68"/>
      <c r="EZ86" s="68"/>
      <c r="FA86" s="68"/>
      <c r="FB86" s="68"/>
      <c r="FC86" s="68"/>
      <c r="FD86" s="68"/>
      <c r="FE86" s="68"/>
      <c r="FF86" s="68"/>
      <c r="FG86" s="68"/>
      <c r="FH86" s="68"/>
      <c r="FI86" s="68"/>
      <c r="FJ86" s="68"/>
      <c r="FK86" s="68"/>
      <c r="FL86" s="68"/>
      <c r="FM86" s="68"/>
      <c r="FN86" s="68"/>
      <c r="FO86" s="68"/>
      <c r="FP86" s="68"/>
      <c r="FQ86" s="68"/>
      <c r="FR86" s="68"/>
      <c r="FS86" s="68"/>
      <c r="FT86" s="68"/>
      <c r="FU86" s="68"/>
      <c r="FV86" s="68"/>
      <c r="FW86" s="68"/>
      <c r="FX86" s="68"/>
      <c r="FY86" s="68"/>
      <c r="FZ86" s="68"/>
      <c r="GA86" s="68"/>
      <c r="GB86" s="68"/>
      <c r="GC86" s="68"/>
      <c r="GD86" s="68"/>
      <c r="GE86" s="68"/>
      <c r="GF86" s="68"/>
      <c r="GG86" s="68"/>
      <c r="GH86" s="68"/>
      <c r="GI86" s="68"/>
      <c r="GJ86" s="68"/>
      <c r="GK86" s="68"/>
      <c r="GL86" s="68"/>
      <c r="GM86" s="68"/>
      <c r="GN86" s="68"/>
      <c r="GO86" s="68"/>
      <c r="GP86" s="68"/>
      <c r="GQ86" s="68"/>
      <c r="GR86" s="68"/>
      <c r="GS86" s="68"/>
      <c r="GT86" s="68"/>
      <c r="GU86" s="68"/>
      <c r="GV86" s="68"/>
      <c r="GW86" s="68"/>
      <c r="GX86" s="68"/>
      <c r="GY86" s="68"/>
      <c r="GZ86" s="68"/>
      <c r="HA86" s="68"/>
      <c r="HB86" s="68"/>
      <c r="HC86" s="68"/>
      <c r="HD86" s="68"/>
      <c r="HE86" s="68"/>
      <c r="HF86" s="68"/>
      <c r="HG86" s="68"/>
      <c r="HH86" s="68"/>
      <c r="HI86" s="68"/>
      <c r="HJ86" s="68"/>
      <c r="HK86" s="68"/>
      <c r="HL86" s="68"/>
      <c r="HM86" s="68"/>
      <c r="HN86" s="68"/>
      <c r="HO86" s="68"/>
      <c r="HP86" s="68"/>
      <c r="HQ86" s="68"/>
      <c r="HR86" s="68"/>
      <c r="HS86" s="68"/>
      <c r="HT86" s="68"/>
      <c r="HU86" s="68"/>
      <c r="HV86" s="68"/>
      <c r="HW86" s="68"/>
      <c r="HX86" s="68"/>
      <c r="HY86" s="68"/>
      <c r="HZ86" s="68"/>
      <c r="IA86" s="68"/>
      <c r="IB86" s="68"/>
      <c r="IC86" s="68"/>
      <c r="ID86" s="68"/>
      <c r="IE86" s="68"/>
      <c r="IF86" s="68"/>
      <c r="IG86" s="68"/>
      <c r="IH86" s="68"/>
      <c r="II86" s="68"/>
      <c r="IJ86" s="68"/>
      <c r="IK86" s="68"/>
      <c r="IL86" s="68"/>
      <c r="IM86" s="68"/>
      <c r="IN86" s="68"/>
      <c r="IO86" s="68"/>
      <c r="IP86" s="68"/>
      <c r="IQ86" s="68"/>
      <c r="IR86" s="68"/>
      <c r="IS86" s="68"/>
      <c r="IT86" s="68"/>
      <c r="IU86" s="68"/>
      <c r="IV86" s="68"/>
      <c r="IW86" s="68"/>
      <c r="IX86" s="68"/>
      <c r="IY86" s="68"/>
      <c r="IZ86" s="68"/>
      <c r="JA86" s="68"/>
      <c r="JB86" s="68"/>
      <c r="JC86" s="68"/>
      <c r="JD86" s="68"/>
      <c r="JE86" s="68"/>
      <c r="JF86" s="68"/>
      <c r="JG86" s="68"/>
      <c r="JH86" s="68"/>
      <c r="JI86" s="68"/>
      <c r="JJ86" s="68"/>
      <c r="JK86" s="68"/>
      <c r="JL86" s="68"/>
      <c r="JM86" s="68"/>
      <c r="JN86" s="68"/>
      <c r="JO86" s="68"/>
      <c r="JP86" s="68"/>
      <c r="JQ86" s="68"/>
      <c r="JR86" s="68"/>
      <c r="JS86" s="68"/>
      <c r="JT86" s="68"/>
      <c r="JU86" s="68"/>
      <c r="JV86" s="68"/>
      <c r="JW86" s="68"/>
      <c r="JX86" s="68"/>
      <c r="JY86" s="68"/>
      <c r="JZ86" s="68"/>
      <c r="KA86" s="68"/>
      <c r="KB86" s="68"/>
      <c r="KC86" s="68"/>
      <c r="KD86" s="68"/>
      <c r="KE86" s="68"/>
      <c r="KF86" s="68"/>
      <c r="KG86" s="68"/>
      <c r="KH86" s="68"/>
      <c r="KI86" s="68"/>
      <c r="KJ86" s="68"/>
      <c r="KK86" s="68"/>
      <c r="KL86" s="68"/>
      <c r="KM86" s="68"/>
      <c r="KN86" s="68"/>
      <c r="KO86" s="68"/>
      <c r="KP86" s="68"/>
      <c r="KQ86" s="68"/>
      <c r="KR86" s="68"/>
      <c r="KS86" s="68"/>
      <c r="KT86" s="68"/>
      <c r="KU86" s="68"/>
      <c r="KV86" s="68"/>
      <c r="KW86" s="68"/>
      <c r="KX86" s="68"/>
      <c r="KY86" s="68"/>
      <c r="KZ86" s="68"/>
      <c r="LA86" s="68"/>
      <c r="LB86" s="68"/>
      <c r="LC86" s="68"/>
      <c r="LD86" s="68"/>
      <c r="LE86" s="68"/>
      <c r="LF86" s="68"/>
      <c r="LG86" s="68"/>
      <c r="LH86" s="68"/>
      <c r="LI86" s="68"/>
      <c r="LJ86" s="68"/>
      <c r="LK86" s="68"/>
      <c r="LL86" s="68"/>
      <c r="LM86" s="68"/>
      <c r="LN86" s="68"/>
      <c r="LO86" s="68"/>
      <c r="LP86" s="68"/>
      <c r="LQ86" s="68"/>
      <c r="LR86" s="68"/>
      <c r="LS86" s="68"/>
      <c r="LT86" s="68"/>
      <c r="LU86" s="68"/>
      <c r="LV86" s="68"/>
      <c r="LW86" s="68"/>
      <c r="LX86" s="68"/>
      <c r="LY86" s="68"/>
      <c r="LZ86" s="68"/>
      <c r="MA86" s="68"/>
      <c r="MB86" s="68"/>
      <c r="MC86" s="68"/>
      <c r="MD86" s="68"/>
      <c r="ME86" s="68"/>
      <c r="MF86" s="68"/>
      <c r="MG86" s="68"/>
      <c r="MH86" s="68"/>
      <c r="MI86" s="68"/>
      <c r="MJ86" s="68"/>
      <c r="MK86" s="68"/>
      <c r="ML86" s="68"/>
      <c r="MM86" s="68"/>
      <c r="MN86" s="68"/>
      <c r="MO86" s="68"/>
      <c r="MP86" s="68"/>
      <c r="MQ86" s="68"/>
      <c r="MR86" s="68"/>
      <c r="MS86" s="68"/>
      <c r="MT86" s="68"/>
      <c r="MU86" s="68"/>
      <c r="MV86" s="68"/>
      <c r="MW86" s="68"/>
      <c r="MX86" s="68"/>
      <c r="MY86" s="68"/>
      <c r="MZ86" s="68"/>
      <c r="NA86" s="68"/>
      <c r="NB86" s="68"/>
      <c r="NC86" s="68"/>
      <c r="ND86" s="68"/>
      <c r="NE86" s="68"/>
      <c r="NF86" s="68"/>
      <c r="NG86" s="68"/>
      <c r="NH86" s="68"/>
      <c r="NI86" s="68"/>
      <c r="NJ86" s="68"/>
      <c r="NK86" s="68"/>
      <c r="NL86" s="68"/>
      <c r="NM86" s="68"/>
      <c r="NN86" s="68"/>
      <c r="NO86" s="68"/>
      <c r="NP86" s="68"/>
      <c r="NQ86" s="68"/>
      <c r="NR86" s="68"/>
      <c r="NS86" s="68"/>
      <c r="NT86" s="68"/>
      <c r="NU86" s="68"/>
      <c r="NV86" s="68"/>
      <c r="NW86" s="68"/>
      <c r="NX86" s="68"/>
      <c r="NY86" s="68"/>
      <c r="NZ86" s="68"/>
      <c r="OA86" s="68"/>
      <c r="OB86" s="68"/>
      <c r="OC86" s="68"/>
      <c r="OD86" s="68"/>
      <c r="OE86" s="68"/>
      <c r="OF86" s="68"/>
      <c r="OG86" s="68"/>
      <c r="OH86" s="68"/>
      <c r="OI86" s="68"/>
      <c r="OJ86" s="68"/>
      <c r="OK86" s="68"/>
      <c r="OL86" s="68"/>
      <c r="OM86" s="68"/>
      <c r="ON86" s="68"/>
      <c r="OO86" s="68"/>
      <c r="OP86" s="68"/>
      <c r="OQ86" s="68"/>
      <c r="OR86" s="68"/>
      <c r="OS86" s="68"/>
      <c r="OT86" s="68"/>
      <c r="OU86" s="68"/>
      <c r="OV86" s="68"/>
      <c r="OW86" s="68"/>
      <c r="OX86" s="68"/>
      <c r="OY86" s="68"/>
      <c r="OZ86" s="68"/>
      <c r="PA86" s="68"/>
      <c r="PB86" s="68"/>
      <c r="PC86" s="68"/>
      <c r="PD86" s="68"/>
      <c r="PE86" s="68"/>
      <c r="PF86" s="68"/>
      <c r="PG86" s="68"/>
      <c r="PH86" s="68"/>
      <c r="PI86" s="68"/>
      <c r="PJ86" s="68"/>
      <c r="PK86" s="68"/>
      <c r="PL86" s="68"/>
      <c r="PM86" s="68"/>
      <c r="PN86" s="68"/>
      <c r="PO86" s="68"/>
      <c r="PP86" s="68"/>
      <c r="PQ86" s="68"/>
      <c r="PR86" s="68"/>
      <c r="PS86" s="68"/>
      <c r="PT86" s="68"/>
      <c r="PU86" s="68"/>
      <c r="PV86" s="68"/>
      <c r="PW86" s="68"/>
      <c r="PX86" s="68"/>
      <c r="PY86" s="68"/>
      <c r="PZ86" s="68"/>
      <c r="QA86" s="68"/>
      <c r="QB86" s="68"/>
      <c r="QC86" s="68"/>
      <c r="QD86" s="68"/>
      <c r="QE86" s="68"/>
      <c r="QF86" s="68"/>
      <c r="QG86" s="68"/>
      <c r="QH86" s="68"/>
      <c r="QI86" s="68"/>
      <c r="QJ86" s="68"/>
      <c r="QK86" s="68"/>
      <c r="QL86" s="68"/>
      <c r="QM86" s="68"/>
      <c r="QN86" s="68"/>
      <c r="QO86" s="68"/>
      <c r="QP86" s="68"/>
      <c r="QQ86" s="68"/>
      <c r="QR86" s="68"/>
      <c r="QS86" s="68"/>
      <c r="QT86" s="68"/>
      <c r="QU86" s="68"/>
      <c r="QV86" s="68"/>
      <c r="QW86" s="68"/>
      <c r="QX86" s="68"/>
      <c r="QY86" s="68"/>
      <c r="QZ86" s="68"/>
      <c r="RA86" s="68"/>
      <c r="RB86" s="68"/>
      <c r="RC86" s="68"/>
      <c r="RD86" s="68"/>
      <c r="RE86" s="68"/>
      <c r="RF86" s="68"/>
      <c r="RG86" s="68"/>
      <c r="RH86" s="68"/>
      <c r="RI86" s="68"/>
      <c r="RJ86" s="68"/>
      <c r="RK86" s="68"/>
      <c r="RL86" s="68"/>
      <c r="RM86" s="68"/>
      <c r="RN86" s="68"/>
      <c r="RO86" s="68"/>
      <c r="RP86" s="68"/>
      <c r="RQ86" s="68"/>
      <c r="RR86" s="68"/>
      <c r="RS86" s="68"/>
      <c r="RT86" s="68"/>
      <c r="RU86" s="68"/>
      <c r="RV86" s="68"/>
      <c r="RW86" s="68"/>
      <c r="RX86" s="68"/>
      <c r="RY86" s="68"/>
      <c r="RZ86" s="68"/>
      <c r="SA86" s="68"/>
      <c r="SB86" s="68"/>
      <c r="SC86" s="68"/>
      <c r="SD86" s="68"/>
      <c r="SE86" s="68"/>
      <c r="SF86" s="68"/>
      <c r="SG86" s="68"/>
      <c r="SH86" s="68"/>
      <c r="SI86" s="68"/>
      <c r="SJ86" s="68"/>
      <c r="SK86" s="68"/>
      <c r="SL86" s="68"/>
      <c r="SM86" s="68"/>
      <c r="SN86" s="68"/>
      <c r="SO86" s="68"/>
      <c r="SP86" s="68"/>
      <c r="SQ86" s="68"/>
      <c r="SR86" s="68"/>
      <c r="SS86" s="68"/>
      <c r="ST86" s="68"/>
      <c r="SU86" s="68"/>
      <c r="SV86" s="68"/>
      <c r="SW86" s="68"/>
      <c r="SX86" s="68"/>
      <c r="SY86" s="68"/>
      <c r="SZ86" s="68"/>
      <c r="TA86" s="68"/>
      <c r="TB86" s="68"/>
      <c r="TC86" s="68"/>
      <c r="TD86" s="68"/>
      <c r="TE86" s="68"/>
      <c r="TF86" s="68"/>
      <c r="TG86" s="68"/>
      <c r="TH86" s="68"/>
      <c r="TI86" s="68"/>
      <c r="TJ86" s="68"/>
      <c r="TK86" s="68"/>
      <c r="TL86" s="68"/>
      <c r="TM86" s="68"/>
      <c r="TN86" s="68"/>
      <c r="TO86" s="68"/>
      <c r="TP86" s="68"/>
      <c r="TQ86" s="68"/>
      <c r="TR86" s="68"/>
      <c r="TS86" s="68"/>
      <c r="TT86" s="68"/>
      <c r="TU86" s="68"/>
      <c r="TV86" s="68"/>
      <c r="TW86" s="68"/>
      <c r="TX86" s="68"/>
      <c r="TY86" s="68"/>
      <c r="TZ86" s="68"/>
      <c r="UA86" s="68"/>
      <c r="UB86" s="68"/>
      <c r="UC86" s="68"/>
      <c r="UD86" s="68"/>
      <c r="UE86" s="68"/>
      <c r="UF86" s="68"/>
      <c r="UG86" s="68"/>
      <c r="UH86" s="68"/>
      <c r="UI86" s="68"/>
      <c r="UJ86" s="68"/>
      <c r="UK86" s="68"/>
      <c r="UL86" s="68"/>
      <c r="UM86" s="68"/>
      <c r="UN86" s="68"/>
      <c r="UO86" s="68"/>
      <c r="UP86" s="68"/>
      <c r="UQ86" s="68"/>
      <c r="UR86" s="68"/>
      <c r="US86" s="68"/>
      <c r="UT86" s="68"/>
      <c r="UU86" s="68"/>
      <c r="UV86" s="68"/>
      <c r="UW86" s="68"/>
      <c r="UX86" s="68"/>
      <c r="UY86" s="68"/>
      <c r="UZ86" s="68"/>
      <c r="VA86" s="68"/>
      <c r="VB86" s="68"/>
      <c r="VC86" s="68"/>
      <c r="VD86" s="68"/>
      <c r="VE86" s="68"/>
      <c r="VF86" s="68"/>
      <c r="VG86" s="68"/>
      <c r="VH86" s="68"/>
      <c r="VI86" s="68"/>
      <c r="VJ86" s="68"/>
      <c r="VK86" s="68"/>
      <c r="VL86" s="68"/>
      <c r="VM86" s="68"/>
      <c r="VN86" s="68"/>
      <c r="VO86" s="68"/>
      <c r="VP86" s="68"/>
      <c r="VQ86" s="68"/>
      <c r="VR86" s="68"/>
      <c r="VS86" s="68"/>
      <c r="VT86" s="68"/>
      <c r="VU86" s="68"/>
      <c r="VV86" s="68"/>
      <c r="VW86" s="68"/>
      <c r="VX86" s="68"/>
      <c r="VY86" s="68"/>
      <c r="VZ86" s="68"/>
      <c r="WA86" s="68"/>
      <c r="WB86" s="68"/>
      <c r="WC86" s="68"/>
      <c r="WD86" s="68"/>
      <c r="WE86" s="68"/>
      <c r="WF86" s="68"/>
      <c r="WG86" s="68"/>
      <c r="WH86" s="68"/>
      <c r="WI86" s="68"/>
      <c r="WJ86" s="68"/>
      <c r="WK86" s="68"/>
      <c r="WL86" s="68"/>
      <c r="WM86" s="68"/>
      <c r="WN86" s="68"/>
      <c r="WO86" s="68"/>
      <c r="WP86" s="68"/>
      <c r="WQ86" s="68"/>
      <c r="WR86" s="68"/>
      <c r="WS86" s="68"/>
      <c r="WT86" s="68"/>
      <c r="WU86" s="68"/>
      <c r="WV86" s="68"/>
      <c r="WW86" s="68"/>
      <c r="WX86" s="68"/>
      <c r="WY86" s="68"/>
      <c r="WZ86" s="68"/>
      <c r="XA86" s="68"/>
      <c r="XB86" s="68"/>
      <c r="XC86" s="68"/>
      <c r="XD86" s="68"/>
      <c r="XE86" s="68"/>
      <c r="XF86" s="68"/>
      <c r="XG86" s="68"/>
      <c r="XH86" s="68"/>
      <c r="XI86" s="68"/>
      <c r="XJ86" s="68"/>
      <c r="XK86" s="68"/>
      <c r="XL86" s="68"/>
      <c r="XM86" s="68"/>
      <c r="XN86" s="68"/>
      <c r="XO86" s="68"/>
      <c r="XP86" s="68"/>
      <c r="XQ86" s="68"/>
      <c r="XR86" s="68"/>
      <c r="XS86" s="68"/>
      <c r="XT86" s="68"/>
      <c r="XU86" s="68"/>
      <c r="XV86" s="68"/>
      <c r="XW86" s="68"/>
      <c r="XX86" s="68"/>
      <c r="XY86" s="68"/>
      <c r="XZ86" s="68"/>
      <c r="YA86" s="68"/>
      <c r="YB86" s="68"/>
      <c r="YC86" s="68"/>
      <c r="YD86" s="68"/>
      <c r="YE86" s="68"/>
      <c r="YF86" s="68"/>
      <c r="YG86" s="68"/>
      <c r="YH86" s="68"/>
      <c r="YI86" s="68"/>
      <c r="YJ86" s="68"/>
      <c r="YK86" s="68"/>
      <c r="YL86" s="68"/>
      <c r="YM86" s="68"/>
      <c r="YN86" s="68"/>
      <c r="YO86" s="68"/>
      <c r="YP86" s="68"/>
      <c r="YQ86" s="68"/>
      <c r="YR86" s="68"/>
      <c r="YS86" s="68"/>
      <c r="YT86" s="68"/>
      <c r="YU86" s="68"/>
      <c r="YV86" s="68"/>
      <c r="YW86" s="68"/>
      <c r="YX86" s="68"/>
      <c r="YY86" s="68"/>
      <c r="YZ86" s="68"/>
      <c r="ZA86" s="68"/>
      <c r="ZB86" s="68"/>
      <c r="ZC86" s="68"/>
      <c r="ZD86" s="68"/>
      <c r="ZE86" s="68"/>
      <c r="ZF86" s="68"/>
      <c r="ZG86" s="68"/>
      <c r="ZH86" s="68"/>
      <c r="ZI86" s="68"/>
      <c r="ZJ86" s="68"/>
      <c r="ZK86" s="68"/>
      <c r="ZL86" s="68"/>
      <c r="ZM86" s="68"/>
      <c r="ZN86" s="68"/>
      <c r="ZO86" s="68"/>
      <c r="ZP86" s="68"/>
      <c r="ZQ86" s="68"/>
      <c r="ZR86" s="68"/>
      <c r="ZS86" s="68"/>
      <c r="ZT86" s="68"/>
      <c r="ZU86" s="68"/>
      <c r="ZV86" s="68"/>
      <c r="ZW86" s="68"/>
      <c r="ZX86" s="68"/>
      <c r="ZY86" s="68"/>
      <c r="ZZ86" s="68"/>
      <c r="AAA86" s="68"/>
      <c r="AAB86" s="68"/>
      <c r="AAC86" s="68"/>
      <c r="AAD86" s="68"/>
      <c r="AAE86" s="68"/>
      <c r="AAF86" s="68"/>
      <c r="AAG86" s="68"/>
      <c r="AAH86" s="68"/>
      <c r="AAI86" s="68"/>
      <c r="AAJ86" s="68"/>
      <c r="AAK86" s="68"/>
      <c r="AAL86" s="68"/>
      <c r="AAM86" s="68"/>
      <c r="AAN86" s="68"/>
      <c r="AAO86" s="68"/>
      <c r="AAP86" s="68"/>
      <c r="AAQ86" s="68"/>
      <c r="AAR86" s="68"/>
      <c r="AAS86" s="68"/>
      <c r="AAT86" s="68"/>
      <c r="AAU86" s="68"/>
      <c r="AAV86" s="68"/>
      <c r="AAW86" s="68"/>
      <c r="AAX86" s="68"/>
      <c r="AAY86" s="68"/>
      <c r="AAZ86" s="68"/>
      <c r="ABA86" s="68"/>
      <c r="ABB86" s="68"/>
      <c r="ABC86" s="68"/>
      <c r="ABD86" s="68"/>
      <c r="ABE86" s="68"/>
      <c r="ABF86" s="68"/>
      <c r="ABG86" s="68"/>
      <c r="ABH86" s="68"/>
      <c r="ABI86" s="68"/>
      <c r="ABJ86" s="68"/>
      <c r="ABK86" s="68"/>
      <c r="ABL86" s="68"/>
      <c r="ABM86" s="68"/>
      <c r="ABN86" s="68"/>
      <c r="ABO86" s="68"/>
      <c r="ABP86" s="68"/>
      <c r="ABQ86" s="68"/>
      <c r="ABR86" s="68"/>
      <c r="ABS86" s="68"/>
      <c r="ABT86" s="68"/>
      <c r="ABU86" s="68"/>
      <c r="ABV86" s="68"/>
      <c r="ABW86" s="68"/>
      <c r="ABX86" s="68"/>
      <c r="ABY86" s="68"/>
      <c r="ABZ86" s="68"/>
      <c r="ACA86" s="68"/>
      <c r="ACB86" s="68"/>
      <c r="ACC86" s="68"/>
      <c r="ACD86" s="68"/>
      <c r="ACE86" s="68"/>
      <c r="ACF86" s="68"/>
      <c r="ACG86" s="68"/>
      <c r="ACH86" s="68"/>
      <c r="ACI86" s="68"/>
      <c r="ACJ86" s="68"/>
      <c r="ACK86" s="68"/>
      <c r="ACL86" s="68"/>
      <c r="ACM86" s="68"/>
      <c r="ACN86" s="68"/>
      <c r="ACO86" s="68"/>
      <c r="ACP86" s="68"/>
      <c r="ACQ86" s="68"/>
      <c r="ACR86" s="68"/>
      <c r="ACS86" s="68"/>
      <c r="ACT86" s="68"/>
      <c r="ACU86" s="68"/>
      <c r="ACV86" s="68"/>
      <c r="ACW86" s="68"/>
      <c r="ACX86" s="68"/>
      <c r="ACY86" s="68"/>
      <c r="ACZ86" s="68"/>
      <c r="ADA86" s="68"/>
      <c r="ADB86" s="68"/>
      <c r="ADC86" s="68"/>
      <c r="ADD86" s="68"/>
      <c r="ADE86" s="68"/>
      <c r="ADF86" s="68"/>
      <c r="ADG86" s="68"/>
      <c r="ADH86" s="68"/>
      <c r="ADI86" s="68"/>
      <c r="ADJ86" s="68"/>
      <c r="ADK86" s="68"/>
      <c r="ADL86" s="68"/>
      <c r="ADM86" s="68"/>
      <c r="ADN86" s="68"/>
      <c r="ADO86" s="68"/>
      <c r="ADP86" s="68"/>
      <c r="ADQ86" s="68"/>
      <c r="ADR86" s="68"/>
      <c r="ADS86" s="68"/>
      <c r="ADT86" s="68"/>
      <c r="ADU86" s="68"/>
      <c r="ADV86" s="68"/>
      <c r="ADW86" s="68"/>
      <c r="ADX86" s="68"/>
      <c r="ADY86" s="68"/>
      <c r="ADZ86" s="68"/>
      <c r="AEA86" s="68"/>
      <c r="AEB86" s="68"/>
      <c r="AEC86" s="68"/>
      <c r="AED86" s="68"/>
      <c r="AEE86" s="68"/>
      <c r="AEF86" s="68"/>
      <c r="AEG86" s="68"/>
      <c r="AEH86" s="68"/>
      <c r="AEI86" s="68"/>
      <c r="AEJ86" s="68"/>
      <c r="AEK86" s="68"/>
      <c r="AEL86" s="68"/>
      <c r="AEM86" s="68"/>
      <c r="AEN86" s="68"/>
      <c r="AEO86" s="68"/>
      <c r="AEP86" s="68"/>
      <c r="AEQ86" s="68"/>
      <c r="AER86" s="68"/>
      <c r="AES86" s="68"/>
      <c r="AET86" s="68"/>
      <c r="AEU86" s="68"/>
      <c r="AEV86" s="68"/>
      <c r="AEW86" s="68"/>
      <c r="AEX86" s="68"/>
      <c r="AEY86" s="68"/>
      <c r="AEZ86" s="68"/>
      <c r="AFA86" s="68"/>
      <c r="AFB86" s="68"/>
      <c r="AFC86" s="68"/>
      <c r="AFD86" s="68"/>
      <c r="AFE86" s="68"/>
      <c r="AFF86" s="68"/>
      <c r="AFG86" s="68"/>
      <c r="AFH86" s="68"/>
      <c r="AFI86" s="68"/>
      <c r="AFJ86" s="68"/>
      <c r="AFK86" s="68"/>
      <c r="AFL86" s="68"/>
      <c r="AFM86" s="68"/>
      <c r="AFN86" s="68"/>
      <c r="AFO86" s="68"/>
      <c r="AFP86" s="68"/>
      <c r="AFQ86" s="68"/>
      <c r="AFR86" s="68"/>
      <c r="AFS86" s="68"/>
      <c r="AFT86" s="68"/>
      <c r="AFU86" s="68"/>
      <c r="AFV86" s="68"/>
      <c r="AFW86" s="68"/>
      <c r="AFX86" s="68"/>
      <c r="AFY86" s="68"/>
      <c r="AFZ86" s="68"/>
      <c r="AGA86" s="68"/>
      <c r="AGB86" s="68"/>
      <c r="AGC86" s="68"/>
      <c r="AGD86" s="68"/>
      <c r="AGE86" s="68"/>
      <c r="AGF86" s="68"/>
      <c r="AGG86" s="68"/>
      <c r="AGH86" s="68"/>
      <c r="AGI86" s="68"/>
      <c r="AGJ86" s="68"/>
      <c r="AGK86" s="68"/>
      <c r="AGL86" s="68"/>
      <c r="AGM86" s="68"/>
      <c r="AGN86" s="68"/>
      <c r="AGO86" s="68"/>
      <c r="AGP86" s="68"/>
      <c r="AGQ86" s="68"/>
      <c r="AGR86" s="68"/>
      <c r="AGS86" s="68"/>
      <c r="AGT86" s="68"/>
      <c r="AGU86" s="68"/>
      <c r="AGV86" s="68"/>
      <c r="AGW86" s="68"/>
      <c r="AGX86" s="68"/>
      <c r="AGY86" s="68"/>
      <c r="AGZ86" s="68"/>
      <c r="AHA86" s="68"/>
      <c r="AHB86" s="68"/>
      <c r="AHC86" s="68"/>
      <c r="AHD86" s="68"/>
      <c r="AHE86" s="68"/>
      <c r="AHF86" s="68"/>
      <c r="AHG86" s="68"/>
      <c r="AHH86" s="68"/>
      <c r="AHI86" s="68"/>
      <c r="AHJ86" s="68"/>
      <c r="AHK86" s="68"/>
      <c r="AHL86" s="68"/>
      <c r="AHM86" s="68"/>
      <c r="AHN86" s="68"/>
      <c r="AHO86" s="68"/>
      <c r="AHP86" s="68"/>
      <c r="AHQ86" s="68"/>
      <c r="AHR86" s="68"/>
      <c r="AHS86" s="68"/>
      <c r="AHT86" s="68"/>
      <c r="AHU86" s="68"/>
      <c r="AHV86" s="68"/>
      <c r="AHW86" s="68"/>
      <c r="AHX86" s="68"/>
      <c r="AHY86" s="68"/>
      <c r="AHZ86" s="68"/>
      <c r="AIA86" s="68"/>
      <c r="AIB86" s="68"/>
      <c r="AIC86" s="68"/>
      <c r="AID86" s="68"/>
      <c r="AIE86" s="68"/>
      <c r="AIF86" s="68"/>
      <c r="AIG86" s="68"/>
      <c r="AIH86" s="68"/>
      <c r="AII86" s="68"/>
      <c r="AIJ86" s="68"/>
      <c r="AIK86" s="68"/>
      <c r="AIL86" s="68"/>
      <c r="AIM86" s="68"/>
      <c r="AIN86" s="68"/>
      <c r="AIO86" s="68"/>
      <c r="AIP86" s="68"/>
      <c r="AIQ86" s="68"/>
      <c r="AIR86" s="68"/>
      <c r="AIS86" s="68"/>
      <c r="AIT86" s="68"/>
      <c r="AIU86" s="68"/>
      <c r="AIV86" s="68"/>
      <c r="AIW86" s="68"/>
      <c r="AIX86" s="68"/>
      <c r="AIY86" s="68"/>
      <c r="AIZ86" s="68"/>
      <c r="AJA86" s="68"/>
      <c r="AJB86" s="68"/>
      <c r="AJC86" s="68"/>
      <c r="AJD86" s="68"/>
      <c r="AJE86" s="68"/>
      <c r="AJF86" s="68"/>
      <c r="AJG86" s="68"/>
      <c r="AJH86" s="68"/>
      <c r="AJI86" s="68"/>
      <c r="AJJ86" s="68"/>
      <c r="AJK86" s="68"/>
      <c r="AJL86" s="68"/>
      <c r="AJM86" s="68"/>
      <c r="AJN86" s="68"/>
      <c r="AJO86" s="68"/>
      <c r="AJP86" s="68"/>
      <c r="AJQ86" s="68"/>
      <c r="AJR86" s="68"/>
      <c r="AJS86" s="68"/>
      <c r="AJT86" s="68"/>
      <c r="AJU86" s="68"/>
      <c r="AJV86" s="68"/>
      <c r="AJW86" s="68"/>
      <c r="AJX86" s="68"/>
      <c r="AJY86" s="68"/>
      <c r="AJZ86" s="68"/>
      <c r="AKA86" s="68"/>
      <c r="AKB86" s="68"/>
      <c r="AKC86" s="68"/>
      <c r="AKD86" s="68"/>
      <c r="AKE86" s="68"/>
      <c r="AKF86" s="68"/>
      <c r="AKG86" s="68"/>
      <c r="AKH86" s="68"/>
      <c r="AKI86" s="68"/>
      <c r="AKJ86" s="68"/>
      <c r="AKK86" s="68"/>
      <c r="AKL86" s="68"/>
      <c r="AKM86" s="68"/>
      <c r="AKN86" s="68"/>
      <c r="AKO86" s="68"/>
      <c r="AKP86" s="68"/>
      <c r="AKQ86" s="68"/>
      <c r="AKR86" s="68"/>
      <c r="AKS86" s="68"/>
      <c r="AKT86" s="68"/>
      <c r="AKU86" s="68"/>
      <c r="AKV86" s="68"/>
      <c r="AKW86" s="68"/>
      <c r="AKX86" s="68"/>
      <c r="AKY86" s="68"/>
      <c r="AKZ86" s="68"/>
      <c r="ALA86" s="68"/>
      <c r="ALB86" s="68"/>
      <c r="ALC86" s="68"/>
      <c r="ALD86" s="68"/>
      <c r="ALE86" s="68"/>
      <c r="ALF86" s="68"/>
      <c r="ALG86" s="68"/>
      <c r="ALH86" s="68"/>
      <c r="ALI86" s="68"/>
      <c r="ALJ86" s="68"/>
      <c r="ALK86" s="68"/>
      <c r="ALL86" s="68"/>
      <c r="ALM86" s="68"/>
      <c r="ALN86" s="68"/>
      <c r="ALO86" s="68"/>
      <c r="ALP86" s="68"/>
      <c r="ALQ86" s="68"/>
      <c r="ALR86" s="68"/>
      <c r="ALS86" s="68"/>
      <c r="ALT86" s="68"/>
      <c r="ALU86" s="68"/>
      <c r="ALV86" s="68"/>
      <c r="ALW86" s="68"/>
      <c r="ALX86" s="68"/>
      <c r="ALY86" s="68"/>
      <c r="ALZ86" s="68"/>
      <c r="AMA86" s="68"/>
      <c r="AMB86" s="68"/>
      <c r="AMC86" s="68"/>
      <c r="AMD86" s="68"/>
      <c r="AME86" s="68"/>
      <c r="AMF86" s="68"/>
      <c r="AMG86" s="68"/>
      <c r="AMH86" s="68"/>
      <c r="AMI86" s="68"/>
      <c r="AMJ86" s="68"/>
      <c r="AMK86" s="68"/>
      <c r="AML86" s="68"/>
      <c r="AMM86" s="68"/>
      <c r="AMN86" s="68"/>
      <c r="AMO86" s="68"/>
      <c r="AMP86" s="68"/>
      <c r="AMQ86" s="68"/>
      <c r="AMR86" s="68"/>
      <c r="AMS86" s="68"/>
      <c r="AMT86" s="68"/>
      <c r="AMU86" s="68"/>
      <c r="AMV86" s="68"/>
      <c r="AMW86" s="68"/>
      <c r="AMX86" s="68"/>
      <c r="AMY86" s="68"/>
      <c r="AMZ86" s="68"/>
      <c r="ANA86" s="68"/>
      <c r="ANB86" s="68"/>
      <c r="ANC86" s="68"/>
      <c r="AND86" s="68"/>
      <c r="ANE86" s="68"/>
      <c r="ANF86" s="68"/>
      <c r="ANG86" s="68"/>
      <c r="ANH86" s="68"/>
      <c r="ANI86" s="68"/>
      <c r="ANJ86" s="68"/>
      <c r="ANK86" s="68"/>
      <c r="ANL86" s="68"/>
      <c r="ANM86" s="68"/>
      <c r="ANN86" s="68"/>
      <c r="ANO86" s="68"/>
      <c r="ANP86" s="68"/>
      <c r="ANQ86" s="68"/>
      <c r="ANR86" s="68"/>
      <c r="ANS86" s="68"/>
      <c r="ANT86" s="68"/>
      <c r="ANU86" s="68"/>
      <c r="ANV86" s="68"/>
      <c r="ANW86" s="68"/>
      <c r="ANX86" s="68"/>
      <c r="ANY86" s="68"/>
      <c r="ANZ86" s="68"/>
      <c r="AOA86" s="68"/>
      <c r="AOB86" s="68"/>
      <c r="AOC86" s="68"/>
      <c r="AOD86" s="68"/>
      <c r="AOE86" s="68"/>
      <c r="AOF86" s="68"/>
      <c r="AOG86" s="68"/>
      <c r="AOH86" s="68"/>
      <c r="AOI86" s="68"/>
      <c r="AOJ86" s="68"/>
      <c r="AOK86" s="68"/>
      <c r="AOL86" s="68"/>
      <c r="AOM86" s="68"/>
      <c r="AON86" s="68"/>
      <c r="AOO86" s="68"/>
      <c r="AOP86" s="68"/>
      <c r="AOQ86" s="68"/>
      <c r="AOR86" s="68"/>
      <c r="AOS86" s="68"/>
      <c r="AOT86" s="68"/>
      <c r="AOU86" s="68"/>
      <c r="AOV86" s="68"/>
      <c r="AOW86" s="68"/>
      <c r="AOX86" s="68"/>
      <c r="AOY86" s="68"/>
      <c r="AOZ86" s="68"/>
      <c r="APA86" s="68"/>
      <c r="APB86" s="68"/>
      <c r="APC86" s="68"/>
      <c r="APD86" s="68"/>
      <c r="APE86" s="68"/>
      <c r="APF86" s="68"/>
      <c r="APG86" s="68"/>
      <c r="APH86" s="68"/>
      <c r="API86" s="68"/>
      <c r="APJ86" s="68"/>
      <c r="APK86" s="68"/>
      <c r="APL86" s="68"/>
      <c r="APM86" s="68"/>
      <c r="APN86" s="68"/>
      <c r="APO86" s="68"/>
      <c r="APP86" s="68"/>
      <c r="APQ86" s="68"/>
      <c r="APR86" s="68"/>
      <c r="APS86" s="68"/>
      <c r="APT86" s="68"/>
      <c r="APU86" s="68"/>
      <c r="APV86" s="68"/>
      <c r="APW86" s="68"/>
      <c r="APX86" s="68"/>
      <c r="APY86" s="68"/>
      <c r="APZ86" s="68"/>
      <c r="AQA86" s="68"/>
      <c r="AQB86" s="68"/>
      <c r="AQC86" s="68"/>
      <c r="AQD86" s="68"/>
      <c r="AQE86" s="68"/>
      <c r="AQF86" s="68"/>
      <c r="AQG86" s="68"/>
      <c r="AQH86" s="68"/>
      <c r="AQI86" s="68"/>
      <c r="AQJ86" s="68"/>
      <c r="AQK86" s="68"/>
      <c r="AQL86" s="68"/>
      <c r="AQM86" s="68"/>
      <c r="AQN86" s="68"/>
      <c r="AQO86" s="68"/>
      <c r="AQP86" s="68"/>
      <c r="AQQ86" s="68"/>
      <c r="AQR86" s="68"/>
      <c r="AQS86" s="68"/>
      <c r="AQT86" s="68"/>
      <c r="AQU86" s="68"/>
      <c r="AQV86" s="68"/>
      <c r="AQW86" s="68"/>
      <c r="AQX86" s="68"/>
      <c r="AQY86" s="68"/>
      <c r="AQZ86" s="68"/>
      <c r="ARA86" s="68"/>
      <c r="ARB86" s="68"/>
      <c r="ARC86" s="68"/>
      <c r="ARD86" s="68"/>
      <c r="ARE86" s="68"/>
      <c r="ARF86" s="68"/>
      <c r="ARG86" s="68"/>
      <c r="ARH86" s="68"/>
      <c r="ARI86" s="68"/>
      <c r="ARJ86" s="68"/>
      <c r="ARK86" s="68"/>
      <c r="ARL86" s="68"/>
      <c r="ARM86" s="68"/>
      <c r="ARN86" s="68"/>
      <c r="ARO86" s="68"/>
      <c r="ARP86" s="68"/>
      <c r="ARQ86" s="68"/>
      <c r="ARR86" s="68"/>
      <c r="ARS86" s="68"/>
      <c r="ART86" s="68"/>
      <c r="ARU86" s="68"/>
      <c r="ARV86" s="68"/>
      <c r="ARW86" s="68"/>
      <c r="ARX86" s="68"/>
      <c r="ARY86" s="68"/>
      <c r="ARZ86" s="68"/>
      <c r="ASA86" s="68"/>
      <c r="ASB86" s="68"/>
      <c r="ASC86" s="68"/>
      <c r="ASD86" s="68"/>
      <c r="ASE86" s="68"/>
      <c r="ASF86" s="68"/>
      <c r="ASG86" s="68"/>
      <c r="ASH86" s="68"/>
      <c r="ASI86" s="68"/>
      <c r="ASJ86" s="68"/>
      <c r="ASK86" s="68"/>
      <c r="ASL86" s="68"/>
      <c r="ASM86" s="68"/>
      <c r="ASN86" s="68"/>
      <c r="ASO86" s="68"/>
      <c r="ASP86" s="68"/>
      <c r="ASQ86" s="68"/>
      <c r="ASR86" s="68"/>
      <c r="ASS86" s="68"/>
      <c r="AST86" s="68"/>
      <c r="ASU86" s="68"/>
      <c r="ASV86" s="68"/>
      <c r="ASW86" s="68"/>
      <c r="ASX86" s="68"/>
      <c r="ASY86" s="68"/>
      <c r="ASZ86" s="68"/>
      <c r="ATA86" s="68"/>
      <c r="ATB86" s="68"/>
      <c r="ATC86" s="68"/>
      <c r="ATD86" s="68"/>
      <c r="ATE86" s="68"/>
      <c r="ATF86" s="68"/>
      <c r="ATG86" s="68"/>
      <c r="ATH86" s="68"/>
      <c r="ATI86" s="68"/>
      <c r="ATJ86" s="68"/>
      <c r="ATK86" s="68"/>
      <c r="ATL86" s="68"/>
      <c r="ATM86" s="68"/>
      <c r="ATN86" s="68"/>
      <c r="ATO86" s="68"/>
      <c r="ATP86" s="68"/>
      <c r="ATQ86" s="68"/>
      <c r="ATR86" s="68"/>
      <c r="ATS86" s="68"/>
      <c r="ATT86" s="68"/>
      <c r="ATU86" s="68"/>
      <c r="ATV86" s="68"/>
      <c r="ATW86" s="68"/>
      <c r="ATX86" s="68"/>
      <c r="ATY86" s="68"/>
      <c r="ATZ86" s="68"/>
      <c r="AUA86" s="68"/>
      <c r="AUB86" s="68"/>
      <c r="AUC86" s="68"/>
      <c r="AUD86" s="68"/>
      <c r="AUE86" s="68"/>
      <c r="AUF86" s="68"/>
      <c r="AUG86" s="68"/>
      <c r="AUH86" s="68"/>
      <c r="AUI86" s="68"/>
      <c r="AUJ86" s="68"/>
      <c r="AUK86" s="68"/>
      <c r="AUL86" s="68"/>
      <c r="AUM86" s="68"/>
      <c r="AUN86" s="68"/>
      <c r="AUO86" s="68"/>
      <c r="AUP86" s="68"/>
      <c r="AUQ86" s="68"/>
      <c r="AUR86" s="68"/>
      <c r="AUS86" s="68"/>
      <c r="AUT86" s="68"/>
      <c r="AUU86" s="68"/>
      <c r="AUV86" s="68"/>
      <c r="AUW86" s="68"/>
      <c r="AUX86" s="68"/>
      <c r="AUY86" s="68"/>
      <c r="AUZ86" s="68"/>
      <c r="AVA86" s="68"/>
      <c r="AVB86" s="68"/>
      <c r="AVC86" s="68"/>
      <c r="AVD86" s="68"/>
      <c r="AVE86" s="68"/>
      <c r="AVF86" s="68"/>
      <c r="AVG86" s="68"/>
      <c r="AVH86" s="68"/>
      <c r="AVI86" s="68"/>
      <c r="AVJ86" s="68"/>
      <c r="AVK86" s="68"/>
      <c r="AVL86" s="68"/>
      <c r="AVM86" s="68"/>
      <c r="AVN86" s="68"/>
      <c r="AVO86" s="68"/>
      <c r="AVP86" s="68"/>
      <c r="AVQ86" s="68"/>
      <c r="AVR86" s="68"/>
      <c r="AVS86" s="68"/>
      <c r="AVT86" s="68"/>
      <c r="AVU86" s="68"/>
      <c r="AVV86" s="68"/>
      <c r="AVW86" s="68"/>
      <c r="AVX86" s="68"/>
      <c r="AVY86" s="68"/>
      <c r="AVZ86" s="68"/>
      <c r="AWA86" s="68"/>
      <c r="AWB86" s="68"/>
      <c r="AWC86" s="68"/>
      <c r="AWD86" s="68"/>
      <c r="AWE86" s="68"/>
      <c r="AWF86" s="68"/>
      <c r="AWG86" s="68"/>
      <c r="AWH86" s="68"/>
      <c r="AWI86" s="68"/>
      <c r="AWJ86" s="68"/>
      <c r="AWK86" s="68"/>
      <c r="AWL86" s="68"/>
      <c r="AWM86" s="68"/>
      <c r="AWN86" s="68"/>
      <c r="AWO86" s="68"/>
      <c r="AWP86" s="68"/>
      <c r="AWQ86" s="68"/>
      <c r="AWR86" s="68"/>
      <c r="AWS86" s="68"/>
      <c r="AWT86" s="68"/>
      <c r="AWU86" s="68"/>
      <c r="AWV86" s="68"/>
      <c r="AWW86" s="68"/>
      <c r="AWX86" s="68"/>
      <c r="AWY86" s="68"/>
      <c r="AWZ86" s="68"/>
      <c r="AXA86" s="68"/>
      <c r="AXB86" s="68"/>
      <c r="AXC86" s="68"/>
      <c r="AXD86" s="68"/>
      <c r="AXE86" s="68"/>
      <c r="AXF86" s="68"/>
      <c r="AXG86" s="68"/>
      <c r="AXH86" s="68"/>
      <c r="AXI86" s="68"/>
      <c r="AXJ86" s="68"/>
      <c r="AXK86" s="68"/>
      <c r="AXL86" s="68"/>
      <c r="AXM86" s="68"/>
      <c r="AXN86" s="68"/>
      <c r="AXO86" s="68"/>
      <c r="AXP86" s="68"/>
      <c r="AXQ86" s="68"/>
      <c r="AXR86" s="68"/>
      <c r="AXS86" s="68"/>
      <c r="AXT86" s="68"/>
      <c r="AXU86" s="68"/>
      <c r="AXV86" s="68"/>
      <c r="AXW86" s="68"/>
      <c r="AXX86" s="68"/>
      <c r="AXY86" s="68"/>
      <c r="AXZ86" s="68"/>
      <c r="AYA86" s="68"/>
      <c r="AYB86" s="68"/>
      <c r="AYC86" s="68"/>
      <c r="AYD86" s="68"/>
      <c r="AYE86" s="68"/>
      <c r="AYF86" s="68"/>
      <c r="AYG86" s="68"/>
      <c r="AYH86" s="68"/>
      <c r="AYI86" s="68"/>
      <c r="AYJ86" s="68"/>
      <c r="AYK86" s="68"/>
      <c r="AYL86" s="68"/>
      <c r="AYM86" s="68"/>
      <c r="AYN86" s="68"/>
      <c r="AYO86" s="68"/>
      <c r="AYP86" s="68"/>
      <c r="AYQ86" s="68"/>
      <c r="AYR86" s="68"/>
      <c r="AYS86" s="68"/>
      <c r="AYT86" s="68"/>
      <c r="AYU86" s="68"/>
      <c r="AYV86" s="68"/>
      <c r="AYW86" s="68"/>
      <c r="AYX86" s="68"/>
      <c r="AYY86" s="68"/>
      <c r="AYZ86" s="68"/>
      <c r="AZA86" s="68"/>
      <c r="AZB86" s="68"/>
      <c r="AZC86" s="68"/>
      <c r="AZD86" s="68"/>
      <c r="AZE86" s="68"/>
      <c r="AZF86" s="68"/>
      <c r="AZG86" s="68"/>
      <c r="AZH86" s="68"/>
      <c r="AZI86" s="68"/>
      <c r="AZJ86" s="68"/>
      <c r="AZK86" s="68"/>
      <c r="AZL86" s="68"/>
      <c r="AZM86" s="68"/>
      <c r="AZN86" s="68"/>
      <c r="AZO86" s="68"/>
      <c r="AZP86" s="68"/>
      <c r="AZQ86" s="68"/>
      <c r="AZR86" s="68"/>
      <c r="AZS86" s="68"/>
      <c r="AZT86" s="68"/>
      <c r="AZU86" s="68"/>
      <c r="AZV86" s="68"/>
      <c r="AZW86" s="68"/>
      <c r="AZX86" s="68"/>
      <c r="AZY86" s="68"/>
      <c r="AZZ86" s="68"/>
      <c r="BAA86" s="68"/>
      <c r="BAB86" s="68"/>
      <c r="BAC86" s="68"/>
      <c r="BAD86" s="68"/>
      <c r="BAE86" s="68"/>
      <c r="BAF86" s="68"/>
      <c r="BAG86" s="68"/>
      <c r="BAH86" s="68"/>
      <c r="BAI86" s="68"/>
      <c r="BAJ86" s="68"/>
      <c r="BAK86" s="68"/>
      <c r="BAL86" s="68"/>
      <c r="BAM86" s="68"/>
      <c r="BAN86" s="68"/>
      <c r="BAO86" s="68"/>
      <c r="BAP86" s="68"/>
      <c r="BAQ86" s="68"/>
      <c r="BAR86" s="68"/>
      <c r="BAS86" s="68"/>
      <c r="BAT86" s="68"/>
      <c r="BAU86" s="68"/>
      <c r="BAV86" s="68"/>
      <c r="BAW86" s="68"/>
      <c r="BAX86" s="68"/>
      <c r="BAY86" s="68"/>
      <c r="BAZ86" s="68"/>
      <c r="BBA86" s="68"/>
      <c r="BBB86" s="68"/>
      <c r="BBC86" s="68"/>
      <c r="BBD86" s="68"/>
      <c r="BBE86" s="68"/>
      <c r="BBF86" s="68"/>
      <c r="BBG86" s="68"/>
      <c r="BBH86" s="68"/>
      <c r="BBI86" s="68"/>
      <c r="BBJ86" s="68"/>
      <c r="BBK86" s="68"/>
      <c r="BBL86" s="68"/>
      <c r="BBM86" s="68"/>
      <c r="BBN86" s="68"/>
      <c r="BBO86" s="68"/>
      <c r="BBP86" s="68"/>
      <c r="BBQ86" s="68"/>
      <c r="BBR86" s="68"/>
      <c r="BBS86" s="68"/>
      <c r="BBT86" s="68"/>
      <c r="BBU86" s="68"/>
      <c r="BBV86" s="68"/>
      <c r="BBW86" s="68"/>
      <c r="BBX86" s="68"/>
      <c r="BBY86" s="68"/>
      <c r="BBZ86" s="68"/>
      <c r="BCA86" s="68"/>
      <c r="BCB86" s="68"/>
      <c r="BCC86" s="68"/>
      <c r="BCD86" s="68"/>
      <c r="BCE86" s="68"/>
      <c r="BCF86" s="68"/>
      <c r="BCG86" s="68"/>
      <c r="BCH86" s="68"/>
      <c r="BCI86" s="68"/>
      <c r="BCJ86" s="68"/>
      <c r="BCK86" s="68"/>
      <c r="BCL86" s="68"/>
      <c r="BCM86" s="68"/>
      <c r="BCN86" s="68"/>
      <c r="BCO86" s="68"/>
      <c r="BCP86" s="68"/>
      <c r="BCQ86" s="68"/>
      <c r="BCR86" s="68"/>
      <c r="BCS86" s="68"/>
      <c r="BCT86" s="68"/>
      <c r="BCU86" s="68"/>
      <c r="BCV86" s="68"/>
      <c r="BCW86" s="68"/>
      <c r="BCX86" s="68"/>
      <c r="BCY86" s="68"/>
      <c r="BCZ86" s="68"/>
      <c r="BDA86" s="68"/>
    </row>
    <row r="87" spans="1:1458" s="67" customFormat="1" ht="24.75" customHeight="1" x14ac:dyDescent="0.25">
      <c r="A87" s="49">
        <v>5</v>
      </c>
      <c r="B87" s="71" t="s">
        <v>720</v>
      </c>
      <c r="C87" s="71" t="s">
        <v>43</v>
      </c>
      <c r="D87" s="71" t="s">
        <v>708</v>
      </c>
      <c r="E87" s="71" t="s">
        <v>709</v>
      </c>
      <c r="F87" s="51">
        <v>575300</v>
      </c>
      <c r="G87" s="70" t="s">
        <v>672</v>
      </c>
      <c r="H87" s="42" t="s">
        <v>662</v>
      </c>
      <c r="I87" s="71" t="s">
        <v>41</v>
      </c>
      <c r="J87" s="71"/>
      <c r="K87" s="71" t="s">
        <v>50</v>
      </c>
      <c r="L87" s="51">
        <v>575300</v>
      </c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  <c r="BT87" s="68"/>
      <c r="BU87" s="68"/>
      <c r="BV87" s="68"/>
      <c r="BW87" s="68"/>
      <c r="BX87" s="68"/>
      <c r="BY87" s="68"/>
      <c r="BZ87" s="68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K87" s="68"/>
      <c r="CL87" s="68"/>
      <c r="CM87" s="68"/>
      <c r="CN87" s="68"/>
      <c r="CO87" s="68"/>
      <c r="CP87" s="68"/>
      <c r="CQ87" s="68"/>
      <c r="CR87" s="68"/>
      <c r="CS87" s="68"/>
      <c r="CT87" s="68"/>
      <c r="CU87" s="68"/>
      <c r="CV87" s="68"/>
      <c r="CW87" s="68"/>
      <c r="CX87" s="68"/>
      <c r="CY87" s="68"/>
      <c r="CZ87" s="68"/>
      <c r="DA87" s="68"/>
      <c r="DB87" s="68"/>
      <c r="DC87" s="68"/>
      <c r="DD87" s="68"/>
      <c r="DE87" s="68"/>
      <c r="DF87" s="68"/>
      <c r="DG87" s="68"/>
      <c r="DH87" s="68"/>
      <c r="DI87" s="68"/>
      <c r="DJ87" s="68"/>
      <c r="DK87" s="68"/>
      <c r="DL87" s="68"/>
      <c r="DM87" s="68"/>
      <c r="DN87" s="68"/>
      <c r="DO87" s="68"/>
      <c r="DP87" s="68"/>
      <c r="DQ87" s="68"/>
      <c r="DR87" s="68"/>
      <c r="DS87" s="68"/>
      <c r="DT87" s="68"/>
      <c r="DU87" s="68"/>
      <c r="DV87" s="68"/>
      <c r="DW87" s="68"/>
      <c r="DX87" s="68"/>
      <c r="DY87" s="68"/>
      <c r="DZ87" s="68"/>
      <c r="EA87" s="68"/>
      <c r="EB87" s="68"/>
      <c r="EC87" s="68"/>
      <c r="ED87" s="68"/>
      <c r="EE87" s="68"/>
      <c r="EF87" s="68"/>
      <c r="EG87" s="68"/>
      <c r="EH87" s="68"/>
      <c r="EI87" s="68"/>
      <c r="EJ87" s="68"/>
      <c r="EK87" s="68"/>
      <c r="EL87" s="68"/>
      <c r="EM87" s="68"/>
      <c r="EN87" s="68"/>
      <c r="EO87" s="68"/>
      <c r="EP87" s="68"/>
      <c r="EQ87" s="68"/>
      <c r="ER87" s="68"/>
      <c r="ES87" s="68"/>
      <c r="ET87" s="68"/>
      <c r="EU87" s="68"/>
      <c r="EV87" s="68"/>
      <c r="EW87" s="68"/>
      <c r="EX87" s="68"/>
      <c r="EY87" s="68"/>
      <c r="EZ87" s="68"/>
      <c r="FA87" s="68"/>
      <c r="FB87" s="68"/>
      <c r="FC87" s="68"/>
      <c r="FD87" s="68"/>
      <c r="FE87" s="68"/>
      <c r="FF87" s="68"/>
      <c r="FG87" s="68"/>
      <c r="FH87" s="68"/>
      <c r="FI87" s="68"/>
      <c r="FJ87" s="68"/>
      <c r="FK87" s="68"/>
      <c r="FL87" s="68"/>
      <c r="FM87" s="68"/>
      <c r="FN87" s="68"/>
      <c r="FO87" s="68"/>
      <c r="FP87" s="68"/>
      <c r="FQ87" s="68"/>
      <c r="FR87" s="68"/>
      <c r="FS87" s="68"/>
      <c r="FT87" s="68"/>
      <c r="FU87" s="68"/>
      <c r="FV87" s="68"/>
      <c r="FW87" s="68"/>
      <c r="FX87" s="68"/>
      <c r="FY87" s="68"/>
      <c r="FZ87" s="68"/>
      <c r="GA87" s="68"/>
      <c r="GB87" s="68"/>
      <c r="GC87" s="68"/>
      <c r="GD87" s="68"/>
      <c r="GE87" s="68"/>
      <c r="GF87" s="68"/>
      <c r="GG87" s="68"/>
      <c r="GH87" s="68"/>
      <c r="GI87" s="68"/>
      <c r="GJ87" s="68"/>
      <c r="GK87" s="68"/>
      <c r="GL87" s="68"/>
      <c r="GM87" s="68"/>
      <c r="GN87" s="68"/>
      <c r="GO87" s="68"/>
      <c r="GP87" s="68"/>
      <c r="GQ87" s="68"/>
      <c r="GR87" s="68"/>
      <c r="GS87" s="68"/>
      <c r="GT87" s="68"/>
      <c r="GU87" s="68"/>
      <c r="GV87" s="68"/>
      <c r="GW87" s="68"/>
      <c r="GX87" s="68"/>
      <c r="GY87" s="68"/>
      <c r="GZ87" s="68"/>
      <c r="HA87" s="68"/>
      <c r="HB87" s="68"/>
      <c r="HC87" s="68"/>
      <c r="HD87" s="68"/>
      <c r="HE87" s="68"/>
      <c r="HF87" s="68"/>
      <c r="HG87" s="68"/>
      <c r="HH87" s="68"/>
      <c r="HI87" s="68"/>
      <c r="HJ87" s="68"/>
      <c r="HK87" s="68"/>
      <c r="HL87" s="68"/>
      <c r="HM87" s="68"/>
      <c r="HN87" s="68"/>
      <c r="HO87" s="68"/>
      <c r="HP87" s="68"/>
      <c r="HQ87" s="68"/>
      <c r="HR87" s="68"/>
      <c r="HS87" s="68"/>
      <c r="HT87" s="68"/>
      <c r="HU87" s="68"/>
      <c r="HV87" s="68"/>
      <c r="HW87" s="68"/>
      <c r="HX87" s="68"/>
      <c r="HY87" s="68"/>
      <c r="HZ87" s="68"/>
      <c r="IA87" s="68"/>
      <c r="IB87" s="68"/>
      <c r="IC87" s="68"/>
      <c r="ID87" s="68"/>
      <c r="IE87" s="68"/>
      <c r="IF87" s="68"/>
      <c r="IG87" s="68"/>
      <c r="IH87" s="68"/>
      <c r="II87" s="68"/>
      <c r="IJ87" s="68"/>
      <c r="IK87" s="68"/>
      <c r="IL87" s="68"/>
      <c r="IM87" s="68"/>
      <c r="IN87" s="68"/>
      <c r="IO87" s="68"/>
      <c r="IP87" s="68"/>
      <c r="IQ87" s="68"/>
      <c r="IR87" s="68"/>
      <c r="IS87" s="68"/>
      <c r="IT87" s="68"/>
      <c r="IU87" s="68"/>
      <c r="IV87" s="68"/>
      <c r="IW87" s="68"/>
      <c r="IX87" s="68"/>
      <c r="IY87" s="68"/>
      <c r="IZ87" s="68"/>
      <c r="JA87" s="68"/>
      <c r="JB87" s="68"/>
      <c r="JC87" s="68"/>
      <c r="JD87" s="68"/>
      <c r="JE87" s="68"/>
      <c r="JF87" s="68"/>
      <c r="JG87" s="68"/>
      <c r="JH87" s="68"/>
      <c r="JI87" s="68"/>
      <c r="JJ87" s="68"/>
      <c r="JK87" s="68"/>
      <c r="JL87" s="68"/>
      <c r="JM87" s="68"/>
      <c r="JN87" s="68"/>
      <c r="JO87" s="68"/>
      <c r="JP87" s="68"/>
      <c r="JQ87" s="68"/>
      <c r="JR87" s="68"/>
      <c r="JS87" s="68"/>
      <c r="JT87" s="68"/>
      <c r="JU87" s="68"/>
      <c r="JV87" s="68"/>
      <c r="JW87" s="68"/>
      <c r="JX87" s="68"/>
      <c r="JY87" s="68"/>
      <c r="JZ87" s="68"/>
      <c r="KA87" s="68"/>
      <c r="KB87" s="68"/>
      <c r="KC87" s="68"/>
      <c r="KD87" s="68"/>
      <c r="KE87" s="68"/>
      <c r="KF87" s="68"/>
      <c r="KG87" s="68"/>
      <c r="KH87" s="68"/>
      <c r="KI87" s="68"/>
      <c r="KJ87" s="68"/>
      <c r="KK87" s="68"/>
      <c r="KL87" s="68"/>
      <c r="KM87" s="68"/>
      <c r="KN87" s="68"/>
      <c r="KO87" s="68"/>
      <c r="KP87" s="68"/>
      <c r="KQ87" s="68"/>
      <c r="KR87" s="68"/>
      <c r="KS87" s="68"/>
      <c r="KT87" s="68"/>
      <c r="KU87" s="68"/>
      <c r="KV87" s="68"/>
      <c r="KW87" s="68"/>
      <c r="KX87" s="68"/>
      <c r="KY87" s="68"/>
      <c r="KZ87" s="68"/>
      <c r="LA87" s="68"/>
      <c r="LB87" s="68"/>
      <c r="LC87" s="68"/>
      <c r="LD87" s="68"/>
      <c r="LE87" s="68"/>
      <c r="LF87" s="68"/>
      <c r="LG87" s="68"/>
      <c r="LH87" s="68"/>
      <c r="LI87" s="68"/>
      <c r="LJ87" s="68"/>
      <c r="LK87" s="68"/>
      <c r="LL87" s="68"/>
      <c r="LM87" s="68"/>
      <c r="LN87" s="68"/>
      <c r="LO87" s="68"/>
      <c r="LP87" s="68"/>
      <c r="LQ87" s="68"/>
      <c r="LR87" s="68"/>
      <c r="LS87" s="68"/>
      <c r="LT87" s="68"/>
      <c r="LU87" s="68"/>
      <c r="LV87" s="68"/>
      <c r="LW87" s="68"/>
      <c r="LX87" s="68"/>
      <c r="LY87" s="68"/>
      <c r="LZ87" s="68"/>
      <c r="MA87" s="68"/>
      <c r="MB87" s="68"/>
      <c r="MC87" s="68"/>
      <c r="MD87" s="68"/>
      <c r="ME87" s="68"/>
      <c r="MF87" s="68"/>
      <c r="MG87" s="68"/>
      <c r="MH87" s="68"/>
      <c r="MI87" s="68"/>
      <c r="MJ87" s="68"/>
      <c r="MK87" s="68"/>
      <c r="ML87" s="68"/>
      <c r="MM87" s="68"/>
      <c r="MN87" s="68"/>
      <c r="MO87" s="68"/>
      <c r="MP87" s="68"/>
      <c r="MQ87" s="68"/>
      <c r="MR87" s="68"/>
      <c r="MS87" s="68"/>
      <c r="MT87" s="68"/>
      <c r="MU87" s="68"/>
      <c r="MV87" s="68"/>
      <c r="MW87" s="68"/>
      <c r="MX87" s="68"/>
      <c r="MY87" s="68"/>
      <c r="MZ87" s="68"/>
      <c r="NA87" s="68"/>
      <c r="NB87" s="68"/>
      <c r="NC87" s="68"/>
      <c r="ND87" s="68"/>
      <c r="NE87" s="68"/>
      <c r="NF87" s="68"/>
      <c r="NG87" s="68"/>
      <c r="NH87" s="68"/>
      <c r="NI87" s="68"/>
      <c r="NJ87" s="68"/>
      <c r="NK87" s="68"/>
      <c r="NL87" s="68"/>
      <c r="NM87" s="68"/>
      <c r="NN87" s="68"/>
      <c r="NO87" s="68"/>
      <c r="NP87" s="68"/>
      <c r="NQ87" s="68"/>
      <c r="NR87" s="68"/>
      <c r="NS87" s="68"/>
      <c r="NT87" s="68"/>
      <c r="NU87" s="68"/>
      <c r="NV87" s="68"/>
      <c r="NW87" s="68"/>
      <c r="NX87" s="68"/>
      <c r="NY87" s="68"/>
      <c r="NZ87" s="68"/>
      <c r="OA87" s="68"/>
      <c r="OB87" s="68"/>
      <c r="OC87" s="68"/>
      <c r="OD87" s="68"/>
      <c r="OE87" s="68"/>
      <c r="OF87" s="68"/>
      <c r="OG87" s="68"/>
      <c r="OH87" s="68"/>
      <c r="OI87" s="68"/>
      <c r="OJ87" s="68"/>
      <c r="OK87" s="68"/>
      <c r="OL87" s="68"/>
      <c r="OM87" s="68"/>
      <c r="ON87" s="68"/>
      <c r="OO87" s="68"/>
      <c r="OP87" s="68"/>
      <c r="OQ87" s="68"/>
      <c r="OR87" s="68"/>
      <c r="OS87" s="68"/>
      <c r="OT87" s="68"/>
      <c r="OU87" s="68"/>
      <c r="OV87" s="68"/>
      <c r="OW87" s="68"/>
      <c r="OX87" s="68"/>
      <c r="OY87" s="68"/>
      <c r="OZ87" s="68"/>
      <c r="PA87" s="68"/>
      <c r="PB87" s="68"/>
      <c r="PC87" s="68"/>
      <c r="PD87" s="68"/>
      <c r="PE87" s="68"/>
      <c r="PF87" s="68"/>
      <c r="PG87" s="68"/>
      <c r="PH87" s="68"/>
      <c r="PI87" s="68"/>
      <c r="PJ87" s="68"/>
      <c r="PK87" s="68"/>
      <c r="PL87" s="68"/>
      <c r="PM87" s="68"/>
      <c r="PN87" s="68"/>
      <c r="PO87" s="68"/>
      <c r="PP87" s="68"/>
      <c r="PQ87" s="68"/>
      <c r="PR87" s="68"/>
      <c r="PS87" s="68"/>
      <c r="PT87" s="68"/>
      <c r="PU87" s="68"/>
      <c r="PV87" s="68"/>
      <c r="PW87" s="68"/>
      <c r="PX87" s="68"/>
      <c r="PY87" s="68"/>
      <c r="PZ87" s="68"/>
      <c r="QA87" s="68"/>
      <c r="QB87" s="68"/>
      <c r="QC87" s="68"/>
      <c r="QD87" s="68"/>
      <c r="QE87" s="68"/>
      <c r="QF87" s="68"/>
      <c r="QG87" s="68"/>
      <c r="QH87" s="68"/>
      <c r="QI87" s="68"/>
      <c r="QJ87" s="68"/>
      <c r="QK87" s="68"/>
      <c r="QL87" s="68"/>
      <c r="QM87" s="68"/>
      <c r="QN87" s="68"/>
      <c r="QO87" s="68"/>
      <c r="QP87" s="68"/>
      <c r="QQ87" s="68"/>
      <c r="QR87" s="68"/>
      <c r="QS87" s="68"/>
      <c r="QT87" s="68"/>
      <c r="QU87" s="68"/>
      <c r="QV87" s="68"/>
      <c r="QW87" s="68"/>
      <c r="QX87" s="68"/>
      <c r="QY87" s="68"/>
      <c r="QZ87" s="68"/>
      <c r="RA87" s="68"/>
      <c r="RB87" s="68"/>
      <c r="RC87" s="68"/>
      <c r="RD87" s="68"/>
      <c r="RE87" s="68"/>
      <c r="RF87" s="68"/>
      <c r="RG87" s="68"/>
      <c r="RH87" s="68"/>
      <c r="RI87" s="68"/>
      <c r="RJ87" s="68"/>
      <c r="RK87" s="68"/>
      <c r="RL87" s="68"/>
      <c r="RM87" s="68"/>
      <c r="RN87" s="68"/>
      <c r="RO87" s="68"/>
      <c r="RP87" s="68"/>
      <c r="RQ87" s="68"/>
      <c r="RR87" s="68"/>
      <c r="RS87" s="68"/>
      <c r="RT87" s="68"/>
      <c r="RU87" s="68"/>
      <c r="RV87" s="68"/>
      <c r="RW87" s="68"/>
      <c r="RX87" s="68"/>
      <c r="RY87" s="68"/>
      <c r="RZ87" s="68"/>
      <c r="SA87" s="68"/>
      <c r="SB87" s="68"/>
      <c r="SC87" s="68"/>
      <c r="SD87" s="68"/>
      <c r="SE87" s="68"/>
      <c r="SF87" s="68"/>
      <c r="SG87" s="68"/>
      <c r="SH87" s="68"/>
      <c r="SI87" s="68"/>
      <c r="SJ87" s="68"/>
      <c r="SK87" s="68"/>
      <c r="SL87" s="68"/>
      <c r="SM87" s="68"/>
      <c r="SN87" s="68"/>
      <c r="SO87" s="68"/>
      <c r="SP87" s="68"/>
      <c r="SQ87" s="68"/>
      <c r="SR87" s="68"/>
      <c r="SS87" s="68"/>
      <c r="ST87" s="68"/>
      <c r="SU87" s="68"/>
      <c r="SV87" s="68"/>
      <c r="SW87" s="68"/>
      <c r="SX87" s="68"/>
      <c r="SY87" s="68"/>
      <c r="SZ87" s="68"/>
      <c r="TA87" s="68"/>
      <c r="TB87" s="68"/>
      <c r="TC87" s="68"/>
      <c r="TD87" s="68"/>
      <c r="TE87" s="68"/>
      <c r="TF87" s="68"/>
      <c r="TG87" s="68"/>
      <c r="TH87" s="68"/>
      <c r="TI87" s="68"/>
      <c r="TJ87" s="68"/>
      <c r="TK87" s="68"/>
      <c r="TL87" s="68"/>
      <c r="TM87" s="68"/>
      <c r="TN87" s="68"/>
      <c r="TO87" s="68"/>
      <c r="TP87" s="68"/>
      <c r="TQ87" s="68"/>
      <c r="TR87" s="68"/>
      <c r="TS87" s="68"/>
      <c r="TT87" s="68"/>
      <c r="TU87" s="68"/>
      <c r="TV87" s="68"/>
      <c r="TW87" s="68"/>
      <c r="TX87" s="68"/>
      <c r="TY87" s="68"/>
      <c r="TZ87" s="68"/>
      <c r="UA87" s="68"/>
      <c r="UB87" s="68"/>
      <c r="UC87" s="68"/>
      <c r="UD87" s="68"/>
      <c r="UE87" s="68"/>
      <c r="UF87" s="68"/>
      <c r="UG87" s="68"/>
      <c r="UH87" s="68"/>
      <c r="UI87" s="68"/>
      <c r="UJ87" s="68"/>
      <c r="UK87" s="68"/>
      <c r="UL87" s="68"/>
      <c r="UM87" s="68"/>
      <c r="UN87" s="68"/>
      <c r="UO87" s="68"/>
      <c r="UP87" s="68"/>
      <c r="UQ87" s="68"/>
      <c r="UR87" s="68"/>
      <c r="US87" s="68"/>
      <c r="UT87" s="68"/>
      <c r="UU87" s="68"/>
      <c r="UV87" s="68"/>
      <c r="UW87" s="68"/>
      <c r="UX87" s="68"/>
      <c r="UY87" s="68"/>
      <c r="UZ87" s="68"/>
      <c r="VA87" s="68"/>
      <c r="VB87" s="68"/>
      <c r="VC87" s="68"/>
      <c r="VD87" s="68"/>
      <c r="VE87" s="68"/>
      <c r="VF87" s="68"/>
      <c r="VG87" s="68"/>
      <c r="VH87" s="68"/>
      <c r="VI87" s="68"/>
      <c r="VJ87" s="68"/>
      <c r="VK87" s="68"/>
      <c r="VL87" s="68"/>
      <c r="VM87" s="68"/>
      <c r="VN87" s="68"/>
      <c r="VO87" s="68"/>
      <c r="VP87" s="68"/>
      <c r="VQ87" s="68"/>
      <c r="VR87" s="68"/>
      <c r="VS87" s="68"/>
      <c r="VT87" s="68"/>
      <c r="VU87" s="68"/>
      <c r="VV87" s="68"/>
      <c r="VW87" s="68"/>
      <c r="VX87" s="68"/>
      <c r="VY87" s="68"/>
      <c r="VZ87" s="68"/>
      <c r="WA87" s="68"/>
      <c r="WB87" s="68"/>
      <c r="WC87" s="68"/>
      <c r="WD87" s="68"/>
      <c r="WE87" s="68"/>
      <c r="WF87" s="68"/>
      <c r="WG87" s="68"/>
      <c r="WH87" s="68"/>
      <c r="WI87" s="68"/>
      <c r="WJ87" s="68"/>
      <c r="WK87" s="68"/>
      <c r="WL87" s="68"/>
      <c r="WM87" s="68"/>
      <c r="WN87" s="68"/>
      <c r="WO87" s="68"/>
      <c r="WP87" s="68"/>
      <c r="WQ87" s="68"/>
      <c r="WR87" s="68"/>
      <c r="WS87" s="68"/>
      <c r="WT87" s="68"/>
      <c r="WU87" s="68"/>
      <c r="WV87" s="68"/>
      <c r="WW87" s="68"/>
      <c r="WX87" s="68"/>
      <c r="WY87" s="68"/>
      <c r="WZ87" s="68"/>
      <c r="XA87" s="68"/>
      <c r="XB87" s="68"/>
      <c r="XC87" s="68"/>
      <c r="XD87" s="68"/>
      <c r="XE87" s="68"/>
      <c r="XF87" s="68"/>
      <c r="XG87" s="68"/>
      <c r="XH87" s="68"/>
      <c r="XI87" s="68"/>
      <c r="XJ87" s="68"/>
      <c r="XK87" s="68"/>
      <c r="XL87" s="68"/>
      <c r="XM87" s="68"/>
      <c r="XN87" s="68"/>
      <c r="XO87" s="68"/>
      <c r="XP87" s="68"/>
      <c r="XQ87" s="68"/>
      <c r="XR87" s="68"/>
      <c r="XS87" s="68"/>
      <c r="XT87" s="68"/>
      <c r="XU87" s="68"/>
      <c r="XV87" s="68"/>
      <c r="XW87" s="68"/>
      <c r="XX87" s="68"/>
      <c r="XY87" s="68"/>
      <c r="XZ87" s="68"/>
      <c r="YA87" s="68"/>
      <c r="YB87" s="68"/>
      <c r="YC87" s="68"/>
      <c r="YD87" s="68"/>
      <c r="YE87" s="68"/>
      <c r="YF87" s="68"/>
      <c r="YG87" s="68"/>
      <c r="YH87" s="68"/>
      <c r="YI87" s="68"/>
      <c r="YJ87" s="68"/>
      <c r="YK87" s="68"/>
      <c r="YL87" s="68"/>
      <c r="YM87" s="68"/>
      <c r="YN87" s="68"/>
      <c r="YO87" s="68"/>
      <c r="YP87" s="68"/>
      <c r="YQ87" s="68"/>
      <c r="YR87" s="68"/>
      <c r="YS87" s="68"/>
      <c r="YT87" s="68"/>
      <c r="YU87" s="68"/>
      <c r="YV87" s="68"/>
      <c r="YW87" s="68"/>
      <c r="YX87" s="68"/>
      <c r="YY87" s="68"/>
      <c r="YZ87" s="68"/>
      <c r="ZA87" s="68"/>
      <c r="ZB87" s="68"/>
      <c r="ZC87" s="68"/>
      <c r="ZD87" s="68"/>
      <c r="ZE87" s="68"/>
      <c r="ZF87" s="68"/>
      <c r="ZG87" s="68"/>
      <c r="ZH87" s="68"/>
      <c r="ZI87" s="68"/>
      <c r="ZJ87" s="68"/>
      <c r="ZK87" s="68"/>
      <c r="ZL87" s="68"/>
      <c r="ZM87" s="68"/>
      <c r="ZN87" s="68"/>
      <c r="ZO87" s="68"/>
      <c r="ZP87" s="68"/>
      <c r="ZQ87" s="68"/>
      <c r="ZR87" s="68"/>
      <c r="ZS87" s="68"/>
      <c r="ZT87" s="68"/>
      <c r="ZU87" s="68"/>
      <c r="ZV87" s="68"/>
      <c r="ZW87" s="68"/>
      <c r="ZX87" s="68"/>
      <c r="ZY87" s="68"/>
      <c r="ZZ87" s="68"/>
      <c r="AAA87" s="68"/>
      <c r="AAB87" s="68"/>
      <c r="AAC87" s="68"/>
      <c r="AAD87" s="68"/>
      <c r="AAE87" s="68"/>
      <c r="AAF87" s="68"/>
      <c r="AAG87" s="68"/>
      <c r="AAH87" s="68"/>
      <c r="AAI87" s="68"/>
      <c r="AAJ87" s="68"/>
      <c r="AAK87" s="68"/>
      <c r="AAL87" s="68"/>
      <c r="AAM87" s="68"/>
      <c r="AAN87" s="68"/>
      <c r="AAO87" s="68"/>
      <c r="AAP87" s="68"/>
      <c r="AAQ87" s="68"/>
      <c r="AAR87" s="68"/>
      <c r="AAS87" s="68"/>
      <c r="AAT87" s="68"/>
      <c r="AAU87" s="68"/>
      <c r="AAV87" s="68"/>
      <c r="AAW87" s="68"/>
      <c r="AAX87" s="68"/>
      <c r="AAY87" s="68"/>
      <c r="AAZ87" s="68"/>
      <c r="ABA87" s="68"/>
      <c r="ABB87" s="68"/>
      <c r="ABC87" s="68"/>
      <c r="ABD87" s="68"/>
      <c r="ABE87" s="68"/>
      <c r="ABF87" s="68"/>
      <c r="ABG87" s="68"/>
      <c r="ABH87" s="68"/>
      <c r="ABI87" s="68"/>
      <c r="ABJ87" s="68"/>
      <c r="ABK87" s="68"/>
      <c r="ABL87" s="68"/>
      <c r="ABM87" s="68"/>
      <c r="ABN87" s="68"/>
      <c r="ABO87" s="68"/>
      <c r="ABP87" s="68"/>
      <c r="ABQ87" s="68"/>
      <c r="ABR87" s="68"/>
      <c r="ABS87" s="68"/>
      <c r="ABT87" s="68"/>
      <c r="ABU87" s="68"/>
      <c r="ABV87" s="68"/>
      <c r="ABW87" s="68"/>
      <c r="ABX87" s="68"/>
      <c r="ABY87" s="68"/>
      <c r="ABZ87" s="68"/>
      <c r="ACA87" s="68"/>
      <c r="ACB87" s="68"/>
      <c r="ACC87" s="68"/>
      <c r="ACD87" s="68"/>
      <c r="ACE87" s="68"/>
      <c r="ACF87" s="68"/>
      <c r="ACG87" s="68"/>
      <c r="ACH87" s="68"/>
      <c r="ACI87" s="68"/>
      <c r="ACJ87" s="68"/>
      <c r="ACK87" s="68"/>
      <c r="ACL87" s="68"/>
      <c r="ACM87" s="68"/>
      <c r="ACN87" s="68"/>
      <c r="ACO87" s="68"/>
      <c r="ACP87" s="68"/>
      <c r="ACQ87" s="68"/>
      <c r="ACR87" s="68"/>
      <c r="ACS87" s="68"/>
      <c r="ACT87" s="68"/>
      <c r="ACU87" s="68"/>
      <c r="ACV87" s="68"/>
      <c r="ACW87" s="68"/>
      <c r="ACX87" s="68"/>
      <c r="ACY87" s="68"/>
      <c r="ACZ87" s="68"/>
      <c r="ADA87" s="68"/>
      <c r="ADB87" s="68"/>
      <c r="ADC87" s="68"/>
      <c r="ADD87" s="68"/>
      <c r="ADE87" s="68"/>
      <c r="ADF87" s="68"/>
      <c r="ADG87" s="68"/>
      <c r="ADH87" s="68"/>
      <c r="ADI87" s="68"/>
      <c r="ADJ87" s="68"/>
      <c r="ADK87" s="68"/>
      <c r="ADL87" s="68"/>
      <c r="ADM87" s="68"/>
      <c r="ADN87" s="68"/>
      <c r="ADO87" s="68"/>
      <c r="ADP87" s="68"/>
      <c r="ADQ87" s="68"/>
      <c r="ADR87" s="68"/>
      <c r="ADS87" s="68"/>
      <c r="ADT87" s="68"/>
      <c r="ADU87" s="68"/>
      <c r="ADV87" s="68"/>
      <c r="ADW87" s="68"/>
      <c r="ADX87" s="68"/>
      <c r="ADY87" s="68"/>
      <c r="ADZ87" s="68"/>
      <c r="AEA87" s="68"/>
      <c r="AEB87" s="68"/>
      <c r="AEC87" s="68"/>
      <c r="AED87" s="68"/>
      <c r="AEE87" s="68"/>
      <c r="AEF87" s="68"/>
      <c r="AEG87" s="68"/>
      <c r="AEH87" s="68"/>
      <c r="AEI87" s="68"/>
      <c r="AEJ87" s="68"/>
      <c r="AEK87" s="68"/>
      <c r="AEL87" s="68"/>
      <c r="AEM87" s="68"/>
      <c r="AEN87" s="68"/>
      <c r="AEO87" s="68"/>
      <c r="AEP87" s="68"/>
      <c r="AEQ87" s="68"/>
      <c r="AER87" s="68"/>
      <c r="AES87" s="68"/>
      <c r="AET87" s="68"/>
      <c r="AEU87" s="68"/>
      <c r="AEV87" s="68"/>
      <c r="AEW87" s="68"/>
      <c r="AEX87" s="68"/>
      <c r="AEY87" s="68"/>
      <c r="AEZ87" s="68"/>
      <c r="AFA87" s="68"/>
      <c r="AFB87" s="68"/>
      <c r="AFC87" s="68"/>
      <c r="AFD87" s="68"/>
      <c r="AFE87" s="68"/>
      <c r="AFF87" s="68"/>
      <c r="AFG87" s="68"/>
      <c r="AFH87" s="68"/>
      <c r="AFI87" s="68"/>
      <c r="AFJ87" s="68"/>
      <c r="AFK87" s="68"/>
      <c r="AFL87" s="68"/>
      <c r="AFM87" s="68"/>
      <c r="AFN87" s="68"/>
      <c r="AFO87" s="68"/>
      <c r="AFP87" s="68"/>
      <c r="AFQ87" s="68"/>
      <c r="AFR87" s="68"/>
      <c r="AFS87" s="68"/>
      <c r="AFT87" s="68"/>
      <c r="AFU87" s="68"/>
      <c r="AFV87" s="68"/>
      <c r="AFW87" s="68"/>
      <c r="AFX87" s="68"/>
      <c r="AFY87" s="68"/>
      <c r="AFZ87" s="68"/>
      <c r="AGA87" s="68"/>
      <c r="AGB87" s="68"/>
      <c r="AGC87" s="68"/>
      <c r="AGD87" s="68"/>
      <c r="AGE87" s="68"/>
      <c r="AGF87" s="68"/>
      <c r="AGG87" s="68"/>
      <c r="AGH87" s="68"/>
      <c r="AGI87" s="68"/>
      <c r="AGJ87" s="68"/>
      <c r="AGK87" s="68"/>
      <c r="AGL87" s="68"/>
      <c r="AGM87" s="68"/>
      <c r="AGN87" s="68"/>
      <c r="AGO87" s="68"/>
      <c r="AGP87" s="68"/>
      <c r="AGQ87" s="68"/>
      <c r="AGR87" s="68"/>
      <c r="AGS87" s="68"/>
      <c r="AGT87" s="68"/>
      <c r="AGU87" s="68"/>
      <c r="AGV87" s="68"/>
      <c r="AGW87" s="68"/>
      <c r="AGX87" s="68"/>
      <c r="AGY87" s="68"/>
      <c r="AGZ87" s="68"/>
      <c r="AHA87" s="68"/>
      <c r="AHB87" s="68"/>
      <c r="AHC87" s="68"/>
      <c r="AHD87" s="68"/>
      <c r="AHE87" s="68"/>
      <c r="AHF87" s="68"/>
      <c r="AHG87" s="68"/>
      <c r="AHH87" s="68"/>
      <c r="AHI87" s="68"/>
      <c r="AHJ87" s="68"/>
      <c r="AHK87" s="68"/>
      <c r="AHL87" s="68"/>
      <c r="AHM87" s="68"/>
      <c r="AHN87" s="68"/>
      <c r="AHO87" s="68"/>
      <c r="AHP87" s="68"/>
      <c r="AHQ87" s="68"/>
      <c r="AHR87" s="68"/>
      <c r="AHS87" s="68"/>
      <c r="AHT87" s="68"/>
      <c r="AHU87" s="68"/>
      <c r="AHV87" s="68"/>
      <c r="AHW87" s="68"/>
      <c r="AHX87" s="68"/>
      <c r="AHY87" s="68"/>
      <c r="AHZ87" s="68"/>
      <c r="AIA87" s="68"/>
      <c r="AIB87" s="68"/>
      <c r="AIC87" s="68"/>
      <c r="AID87" s="68"/>
      <c r="AIE87" s="68"/>
      <c r="AIF87" s="68"/>
      <c r="AIG87" s="68"/>
      <c r="AIH87" s="68"/>
      <c r="AII87" s="68"/>
      <c r="AIJ87" s="68"/>
      <c r="AIK87" s="68"/>
      <c r="AIL87" s="68"/>
      <c r="AIM87" s="68"/>
      <c r="AIN87" s="68"/>
      <c r="AIO87" s="68"/>
      <c r="AIP87" s="68"/>
      <c r="AIQ87" s="68"/>
      <c r="AIR87" s="68"/>
      <c r="AIS87" s="68"/>
      <c r="AIT87" s="68"/>
      <c r="AIU87" s="68"/>
      <c r="AIV87" s="68"/>
      <c r="AIW87" s="68"/>
      <c r="AIX87" s="68"/>
      <c r="AIY87" s="68"/>
      <c r="AIZ87" s="68"/>
      <c r="AJA87" s="68"/>
      <c r="AJB87" s="68"/>
      <c r="AJC87" s="68"/>
      <c r="AJD87" s="68"/>
      <c r="AJE87" s="68"/>
      <c r="AJF87" s="68"/>
      <c r="AJG87" s="68"/>
      <c r="AJH87" s="68"/>
      <c r="AJI87" s="68"/>
      <c r="AJJ87" s="68"/>
      <c r="AJK87" s="68"/>
      <c r="AJL87" s="68"/>
      <c r="AJM87" s="68"/>
      <c r="AJN87" s="68"/>
      <c r="AJO87" s="68"/>
      <c r="AJP87" s="68"/>
      <c r="AJQ87" s="68"/>
      <c r="AJR87" s="68"/>
      <c r="AJS87" s="68"/>
      <c r="AJT87" s="68"/>
      <c r="AJU87" s="68"/>
      <c r="AJV87" s="68"/>
      <c r="AJW87" s="68"/>
      <c r="AJX87" s="68"/>
      <c r="AJY87" s="68"/>
      <c r="AJZ87" s="68"/>
      <c r="AKA87" s="68"/>
      <c r="AKB87" s="68"/>
      <c r="AKC87" s="68"/>
      <c r="AKD87" s="68"/>
      <c r="AKE87" s="68"/>
      <c r="AKF87" s="68"/>
      <c r="AKG87" s="68"/>
      <c r="AKH87" s="68"/>
      <c r="AKI87" s="68"/>
      <c r="AKJ87" s="68"/>
      <c r="AKK87" s="68"/>
      <c r="AKL87" s="68"/>
      <c r="AKM87" s="68"/>
      <c r="AKN87" s="68"/>
      <c r="AKO87" s="68"/>
      <c r="AKP87" s="68"/>
      <c r="AKQ87" s="68"/>
      <c r="AKR87" s="68"/>
      <c r="AKS87" s="68"/>
      <c r="AKT87" s="68"/>
      <c r="AKU87" s="68"/>
      <c r="AKV87" s="68"/>
      <c r="AKW87" s="68"/>
      <c r="AKX87" s="68"/>
      <c r="AKY87" s="68"/>
      <c r="AKZ87" s="68"/>
      <c r="ALA87" s="68"/>
      <c r="ALB87" s="68"/>
      <c r="ALC87" s="68"/>
      <c r="ALD87" s="68"/>
      <c r="ALE87" s="68"/>
      <c r="ALF87" s="68"/>
      <c r="ALG87" s="68"/>
      <c r="ALH87" s="68"/>
      <c r="ALI87" s="68"/>
      <c r="ALJ87" s="68"/>
      <c r="ALK87" s="68"/>
      <c r="ALL87" s="68"/>
      <c r="ALM87" s="68"/>
      <c r="ALN87" s="68"/>
      <c r="ALO87" s="68"/>
      <c r="ALP87" s="68"/>
      <c r="ALQ87" s="68"/>
      <c r="ALR87" s="68"/>
      <c r="ALS87" s="68"/>
      <c r="ALT87" s="68"/>
      <c r="ALU87" s="68"/>
      <c r="ALV87" s="68"/>
      <c r="ALW87" s="68"/>
      <c r="ALX87" s="68"/>
      <c r="ALY87" s="68"/>
      <c r="ALZ87" s="68"/>
      <c r="AMA87" s="68"/>
      <c r="AMB87" s="68"/>
      <c r="AMC87" s="68"/>
      <c r="AMD87" s="68"/>
      <c r="AME87" s="68"/>
      <c r="AMF87" s="68"/>
      <c r="AMG87" s="68"/>
      <c r="AMH87" s="68"/>
      <c r="AMI87" s="68"/>
      <c r="AMJ87" s="68"/>
      <c r="AMK87" s="68"/>
      <c r="AML87" s="68"/>
      <c r="AMM87" s="68"/>
      <c r="AMN87" s="68"/>
      <c r="AMO87" s="68"/>
      <c r="AMP87" s="68"/>
      <c r="AMQ87" s="68"/>
      <c r="AMR87" s="68"/>
      <c r="AMS87" s="68"/>
      <c r="AMT87" s="68"/>
      <c r="AMU87" s="68"/>
      <c r="AMV87" s="68"/>
      <c r="AMW87" s="68"/>
      <c r="AMX87" s="68"/>
      <c r="AMY87" s="68"/>
      <c r="AMZ87" s="68"/>
      <c r="ANA87" s="68"/>
      <c r="ANB87" s="68"/>
      <c r="ANC87" s="68"/>
      <c r="AND87" s="68"/>
      <c r="ANE87" s="68"/>
      <c r="ANF87" s="68"/>
      <c r="ANG87" s="68"/>
      <c r="ANH87" s="68"/>
      <c r="ANI87" s="68"/>
      <c r="ANJ87" s="68"/>
      <c r="ANK87" s="68"/>
      <c r="ANL87" s="68"/>
      <c r="ANM87" s="68"/>
      <c r="ANN87" s="68"/>
      <c r="ANO87" s="68"/>
      <c r="ANP87" s="68"/>
      <c r="ANQ87" s="68"/>
      <c r="ANR87" s="68"/>
      <c r="ANS87" s="68"/>
      <c r="ANT87" s="68"/>
      <c r="ANU87" s="68"/>
      <c r="ANV87" s="68"/>
      <c r="ANW87" s="68"/>
      <c r="ANX87" s="68"/>
      <c r="ANY87" s="68"/>
      <c r="ANZ87" s="68"/>
      <c r="AOA87" s="68"/>
      <c r="AOB87" s="68"/>
      <c r="AOC87" s="68"/>
      <c r="AOD87" s="68"/>
      <c r="AOE87" s="68"/>
      <c r="AOF87" s="68"/>
      <c r="AOG87" s="68"/>
      <c r="AOH87" s="68"/>
      <c r="AOI87" s="68"/>
      <c r="AOJ87" s="68"/>
      <c r="AOK87" s="68"/>
      <c r="AOL87" s="68"/>
      <c r="AOM87" s="68"/>
      <c r="AON87" s="68"/>
      <c r="AOO87" s="68"/>
      <c r="AOP87" s="68"/>
      <c r="AOQ87" s="68"/>
      <c r="AOR87" s="68"/>
      <c r="AOS87" s="68"/>
      <c r="AOT87" s="68"/>
      <c r="AOU87" s="68"/>
      <c r="AOV87" s="68"/>
      <c r="AOW87" s="68"/>
      <c r="AOX87" s="68"/>
      <c r="AOY87" s="68"/>
      <c r="AOZ87" s="68"/>
      <c r="APA87" s="68"/>
      <c r="APB87" s="68"/>
      <c r="APC87" s="68"/>
      <c r="APD87" s="68"/>
      <c r="APE87" s="68"/>
      <c r="APF87" s="68"/>
      <c r="APG87" s="68"/>
      <c r="APH87" s="68"/>
      <c r="API87" s="68"/>
      <c r="APJ87" s="68"/>
      <c r="APK87" s="68"/>
      <c r="APL87" s="68"/>
      <c r="APM87" s="68"/>
      <c r="APN87" s="68"/>
      <c r="APO87" s="68"/>
      <c r="APP87" s="68"/>
      <c r="APQ87" s="68"/>
      <c r="APR87" s="68"/>
      <c r="APS87" s="68"/>
      <c r="APT87" s="68"/>
      <c r="APU87" s="68"/>
      <c r="APV87" s="68"/>
      <c r="APW87" s="68"/>
      <c r="APX87" s="68"/>
      <c r="APY87" s="68"/>
      <c r="APZ87" s="68"/>
      <c r="AQA87" s="68"/>
      <c r="AQB87" s="68"/>
      <c r="AQC87" s="68"/>
      <c r="AQD87" s="68"/>
      <c r="AQE87" s="68"/>
      <c r="AQF87" s="68"/>
      <c r="AQG87" s="68"/>
      <c r="AQH87" s="68"/>
      <c r="AQI87" s="68"/>
      <c r="AQJ87" s="68"/>
      <c r="AQK87" s="68"/>
      <c r="AQL87" s="68"/>
      <c r="AQM87" s="68"/>
      <c r="AQN87" s="68"/>
      <c r="AQO87" s="68"/>
      <c r="AQP87" s="68"/>
      <c r="AQQ87" s="68"/>
      <c r="AQR87" s="68"/>
      <c r="AQS87" s="68"/>
      <c r="AQT87" s="68"/>
      <c r="AQU87" s="68"/>
      <c r="AQV87" s="68"/>
      <c r="AQW87" s="68"/>
      <c r="AQX87" s="68"/>
      <c r="AQY87" s="68"/>
      <c r="AQZ87" s="68"/>
      <c r="ARA87" s="68"/>
      <c r="ARB87" s="68"/>
      <c r="ARC87" s="68"/>
      <c r="ARD87" s="68"/>
      <c r="ARE87" s="68"/>
      <c r="ARF87" s="68"/>
      <c r="ARG87" s="68"/>
      <c r="ARH87" s="68"/>
      <c r="ARI87" s="68"/>
      <c r="ARJ87" s="68"/>
      <c r="ARK87" s="68"/>
      <c r="ARL87" s="68"/>
      <c r="ARM87" s="68"/>
      <c r="ARN87" s="68"/>
      <c r="ARO87" s="68"/>
      <c r="ARP87" s="68"/>
      <c r="ARQ87" s="68"/>
      <c r="ARR87" s="68"/>
      <c r="ARS87" s="68"/>
      <c r="ART87" s="68"/>
      <c r="ARU87" s="68"/>
      <c r="ARV87" s="68"/>
      <c r="ARW87" s="68"/>
      <c r="ARX87" s="68"/>
      <c r="ARY87" s="68"/>
      <c r="ARZ87" s="68"/>
      <c r="ASA87" s="68"/>
      <c r="ASB87" s="68"/>
      <c r="ASC87" s="68"/>
      <c r="ASD87" s="68"/>
      <c r="ASE87" s="68"/>
      <c r="ASF87" s="68"/>
      <c r="ASG87" s="68"/>
      <c r="ASH87" s="68"/>
      <c r="ASI87" s="68"/>
      <c r="ASJ87" s="68"/>
      <c r="ASK87" s="68"/>
      <c r="ASL87" s="68"/>
      <c r="ASM87" s="68"/>
      <c r="ASN87" s="68"/>
      <c r="ASO87" s="68"/>
      <c r="ASP87" s="68"/>
      <c r="ASQ87" s="68"/>
      <c r="ASR87" s="68"/>
      <c r="ASS87" s="68"/>
      <c r="AST87" s="68"/>
      <c r="ASU87" s="68"/>
      <c r="ASV87" s="68"/>
      <c r="ASW87" s="68"/>
      <c r="ASX87" s="68"/>
      <c r="ASY87" s="68"/>
      <c r="ASZ87" s="68"/>
      <c r="ATA87" s="68"/>
      <c r="ATB87" s="68"/>
      <c r="ATC87" s="68"/>
      <c r="ATD87" s="68"/>
      <c r="ATE87" s="68"/>
      <c r="ATF87" s="68"/>
      <c r="ATG87" s="68"/>
      <c r="ATH87" s="68"/>
      <c r="ATI87" s="68"/>
      <c r="ATJ87" s="68"/>
      <c r="ATK87" s="68"/>
      <c r="ATL87" s="68"/>
      <c r="ATM87" s="68"/>
      <c r="ATN87" s="68"/>
      <c r="ATO87" s="68"/>
      <c r="ATP87" s="68"/>
      <c r="ATQ87" s="68"/>
      <c r="ATR87" s="68"/>
      <c r="ATS87" s="68"/>
      <c r="ATT87" s="68"/>
      <c r="ATU87" s="68"/>
      <c r="ATV87" s="68"/>
      <c r="ATW87" s="68"/>
      <c r="ATX87" s="68"/>
      <c r="ATY87" s="68"/>
      <c r="ATZ87" s="68"/>
      <c r="AUA87" s="68"/>
      <c r="AUB87" s="68"/>
      <c r="AUC87" s="68"/>
      <c r="AUD87" s="68"/>
      <c r="AUE87" s="68"/>
      <c r="AUF87" s="68"/>
      <c r="AUG87" s="68"/>
      <c r="AUH87" s="68"/>
      <c r="AUI87" s="68"/>
      <c r="AUJ87" s="68"/>
      <c r="AUK87" s="68"/>
      <c r="AUL87" s="68"/>
      <c r="AUM87" s="68"/>
      <c r="AUN87" s="68"/>
      <c r="AUO87" s="68"/>
      <c r="AUP87" s="68"/>
      <c r="AUQ87" s="68"/>
      <c r="AUR87" s="68"/>
      <c r="AUS87" s="68"/>
      <c r="AUT87" s="68"/>
      <c r="AUU87" s="68"/>
      <c r="AUV87" s="68"/>
      <c r="AUW87" s="68"/>
      <c r="AUX87" s="68"/>
      <c r="AUY87" s="68"/>
      <c r="AUZ87" s="68"/>
      <c r="AVA87" s="68"/>
      <c r="AVB87" s="68"/>
      <c r="AVC87" s="68"/>
      <c r="AVD87" s="68"/>
      <c r="AVE87" s="68"/>
      <c r="AVF87" s="68"/>
      <c r="AVG87" s="68"/>
      <c r="AVH87" s="68"/>
      <c r="AVI87" s="68"/>
      <c r="AVJ87" s="68"/>
      <c r="AVK87" s="68"/>
      <c r="AVL87" s="68"/>
      <c r="AVM87" s="68"/>
      <c r="AVN87" s="68"/>
      <c r="AVO87" s="68"/>
      <c r="AVP87" s="68"/>
      <c r="AVQ87" s="68"/>
      <c r="AVR87" s="68"/>
      <c r="AVS87" s="68"/>
      <c r="AVT87" s="68"/>
      <c r="AVU87" s="68"/>
      <c r="AVV87" s="68"/>
      <c r="AVW87" s="68"/>
      <c r="AVX87" s="68"/>
      <c r="AVY87" s="68"/>
      <c r="AVZ87" s="68"/>
      <c r="AWA87" s="68"/>
      <c r="AWB87" s="68"/>
      <c r="AWC87" s="68"/>
      <c r="AWD87" s="68"/>
      <c r="AWE87" s="68"/>
      <c r="AWF87" s="68"/>
      <c r="AWG87" s="68"/>
      <c r="AWH87" s="68"/>
      <c r="AWI87" s="68"/>
      <c r="AWJ87" s="68"/>
      <c r="AWK87" s="68"/>
      <c r="AWL87" s="68"/>
      <c r="AWM87" s="68"/>
      <c r="AWN87" s="68"/>
      <c r="AWO87" s="68"/>
      <c r="AWP87" s="68"/>
      <c r="AWQ87" s="68"/>
      <c r="AWR87" s="68"/>
      <c r="AWS87" s="68"/>
      <c r="AWT87" s="68"/>
      <c r="AWU87" s="68"/>
      <c r="AWV87" s="68"/>
      <c r="AWW87" s="68"/>
      <c r="AWX87" s="68"/>
      <c r="AWY87" s="68"/>
      <c r="AWZ87" s="68"/>
      <c r="AXA87" s="68"/>
      <c r="AXB87" s="68"/>
      <c r="AXC87" s="68"/>
      <c r="AXD87" s="68"/>
      <c r="AXE87" s="68"/>
      <c r="AXF87" s="68"/>
      <c r="AXG87" s="68"/>
      <c r="AXH87" s="68"/>
      <c r="AXI87" s="68"/>
      <c r="AXJ87" s="68"/>
      <c r="AXK87" s="68"/>
      <c r="AXL87" s="68"/>
      <c r="AXM87" s="68"/>
      <c r="AXN87" s="68"/>
      <c r="AXO87" s="68"/>
      <c r="AXP87" s="68"/>
      <c r="AXQ87" s="68"/>
      <c r="AXR87" s="68"/>
      <c r="AXS87" s="68"/>
      <c r="AXT87" s="68"/>
      <c r="AXU87" s="68"/>
      <c r="AXV87" s="68"/>
      <c r="AXW87" s="68"/>
      <c r="AXX87" s="68"/>
      <c r="AXY87" s="68"/>
      <c r="AXZ87" s="68"/>
      <c r="AYA87" s="68"/>
      <c r="AYB87" s="68"/>
      <c r="AYC87" s="68"/>
      <c r="AYD87" s="68"/>
      <c r="AYE87" s="68"/>
      <c r="AYF87" s="68"/>
      <c r="AYG87" s="68"/>
      <c r="AYH87" s="68"/>
      <c r="AYI87" s="68"/>
      <c r="AYJ87" s="68"/>
      <c r="AYK87" s="68"/>
      <c r="AYL87" s="68"/>
      <c r="AYM87" s="68"/>
      <c r="AYN87" s="68"/>
      <c r="AYO87" s="68"/>
      <c r="AYP87" s="68"/>
      <c r="AYQ87" s="68"/>
      <c r="AYR87" s="68"/>
      <c r="AYS87" s="68"/>
      <c r="AYT87" s="68"/>
      <c r="AYU87" s="68"/>
      <c r="AYV87" s="68"/>
      <c r="AYW87" s="68"/>
      <c r="AYX87" s="68"/>
      <c r="AYY87" s="68"/>
      <c r="AYZ87" s="68"/>
      <c r="AZA87" s="68"/>
      <c r="AZB87" s="68"/>
      <c r="AZC87" s="68"/>
      <c r="AZD87" s="68"/>
      <c r="AZE87" s="68"/>
      <c r="AZF87" s="68"/>
      <c r="AZG87" s="68"/>
      <c r="AZH87" s="68"/>
      <c r="AZI87" s="68"/>
      <c r="AZJ87" s="68"/>
      <c r="AZK87" s="68"/>
      <c r="AZL87" s="68"/>
      <c r="AZM87" s="68"/>
      <c r="AZN87" s="68"/>
      <c r="AZO87" s="68"/>
      <c r="AZP87" s="68"/>
      <c r="AZQ87" s="68"/>
      <c r="AZR87" s="68"/>
      <c r="AZS87" s="68"/>
      <c r="AZT87" s="68"/>
      <c r="AZU87" s="68"/>
      <c r="AZV87" s="68"/>
      <c r="AZW87" s="68"/>
      <c r="AZX87" s="68"/>
      <c r="AZY87" s="68"/>
      <c r="AZZ87" s="68"/>
      <c r="BAA87" s="68"/>
      <c r="BAB87" s="68"/>
      <c r="BAC87" s="68"/>
      <c r="BAD87" s="68"/>
      <c r="BAE87" s="68"/>
      <c r="BAF87" s="68"/>
      <c r="BAG87" s="68"/>
      <c r="BAH87" s="68"/>
      <c r="BAI87" s="68"/>
      <c r="BAJ87" s="68"/>
      <c r="BAK87" s="68"/>
      <c r="BAL87" s="68"/>
      <c r="BAM87" s="68"/>
      <c r="BAN87" s="68"/>
      <c r="BAO87" s="68"/>
      <c r="BAP87" s="68"/>
      <c r="BAQ87" s="68"/>
      <c r="BAR87" s="68"/>
      <c r="BAS87" s="68"/>
      <c r="BAT87" s="68"/>
      <c r="BAU87" s="68"/>
      <c r="BAV87" s="68"/>
      <c r="BAW87" s="68"/>
      <c r="BAX87" s="68"/>
      <c r="BAY87" s="68"/>
      <c r="BAZ87" s="68"/>
      <c r="BBA87" s="68"/>
      <c r="BBB87" s="68"/>
      <c r="BBC87" s="68"/>
      <c r="BBD87" s="68"/>
      <c r="BBE87" s="68"/>
      <c r="BBF87" s="68"/>
      <c r="BBG87" s="68"/>
      <c r="BBH87" s="68"/>
      <c r="BBI87" s="68"/>
      <c r="BBJ87" s="68"/>
      <c r="BBK87" s="68"/>
      <c r="BBL87" s="68"/>
      <c r="BBM87" s="68"/>
      <c r="BBN87" s="68"/>
      <c r="BBO87" s="68"/>
      <c r="BBP87" s="68"/>
      <c r="BBQ87" s="68"/>
      <c r="BBR87" s="68"/>
      <c r="BBS87" s="68"/>
      <c r="BBT87" s="68"/>
      <c r="BBU87" s="68"/>
      <c r="BBV87" s="68"/>
      <c r="BBW87" s="68"/>
      <c r="BBX87" s="68"/>
      <c r="BBY87" s="68"/>
      <c r="BBZ87" s="68"/>
      <c r="BCA87" s="68"/>
      <c r="BCB87" s="68"/>
      <c r="BCC87" s="68"/>
      <c r="BCD87" s="68"/>
      <c r="BCE87" s="68"/>
      <c r="BCF87" s="68"/>
      <c r="BCG87" s="68"/>
      <c r="BCH87" s="68"/>
      <c r="BCI87" s="68"/>
      <c r="BCJ87" s="68"/>
      <c r="BCK87" s="68"/>
      <c r="BCL87" s="68"/>
      <c r="BCM87" s="68"/>
      <c r="BCN87" s="68"/>
      <c r="BCO87" s="68"/>
      <c r="BCP87" s="68"/>
      <c r="BCQ87" s="68"/>
      <c r="BCR87" s="68"/>
      <c r="BCS87" s="68"/>
      <c r="BCT87" s="68"/>
      <c r="BCU87" s="68"/>
      <c r="BCV87" s="68"/>
      <c r="BCW87" s="68"/>
      <c r="BCX87" s="68"/>
      <c r="BCY87" s="68"/>
      <c r="BCZ87" s="68"/>
      <c r="BDA87" s="68"/>
    </row>
    <row r="88" spans="1:1458" s="67" customFormat="1" ht="48.75" customHeight="1" x14ac:dyDescent="0.25">
      <c r="A88" s="49">
        <v>6</v>
      </c>
      <c r="B88" s="71" t="s">
        <v>719</v>
      </c>
      <c r="C88" s="71" t="s">
        <v>43</v>
      </c>
      <c r="D88" s="71" t="s">
        <v>708</v>
      </c>
      <c r="E88" s="71" t="s">
        <v>709</v>
      </c>
      <c r="F88" s="51">
        <v>1171500</v>
      </c>
      <c r="G88" s="70" t="s">
        <v>673</v>
      </c>
      <c r="H88" s="42" t="s">
        <v>663</v>
      </c>
      <c r="I88" s="71" t="s">
        <v>722</v>
      </c>
      <c r="J88" s="71" t="s">
        <v>42</v>
      </c>
      <c r="K88" s="71" t="s">
        <v>49</v>
      </c>
      <c r="L88" s="51">
        <v>1171500</v>
      </c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  <c r="BW88" s="68"/>
      <c r="BX88" s="68"/>
      <c r="BY88" s="68"/>
      <c r="BZ88" s="68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K88" s="68"/>
      <c r="CL88" s="68"/>
      <c r="CM88" s="68"/>
      <c r="CN88" s="68"/>
      <c r="CO88" s="68"/>
      <c r="CP88" s="68"/>
      <c r="CQ88" s="68"/>
      <c r="CR88" s="68"/>
      <c r="CS88" s="68"/>
      <c r="CT88" s="68"/>
      <c r="CU88" s="68"/>
      <c r="CV88" s="68"/>
      <c r="CW88" s="68"/>
      <c r="CX88" s="68"/>
      <c r="CY88" s="68"/>
      <c r="CZ88" s="68"/>
      <c r="DA88" s="68"/>
      <c r="DB88" s="68"/>
      <c r="DC88" s="68"/>
      <c r="DD88" s="68"/>
      <c r="DE88" s="68"/>
      <c r="DF88" s="68"/>
      <c r="DG88" s="68"/>
      <c r="DH88" s="68"/>
      <c r="DI88" s="68"/>
      <c r="DJ88" s="68"/>
      <c r="DK88" s="68"/>
      <c r="DL88" s="68"/>
      <c r="DM88" s="6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68"/>
      <c r="DY88" s="68"/>
      <c r="DZ88" s="68"/>
      <c r="EA88" s="68"/>
      <c r="EB88" s="68"/>
      <c r="EC88" s="68"/>
      <c r="ED88" s="68"/>
      <c r="EE88" s="68"/>
      <c r="EF88" s="68"/>
      <c r="EG88" s="68"/>
      <c r="EH88" s="68"/>
      <c r="EI88" s="68"/>
      <c r="EJ88" s="68"/>
      <c r="EK88" s="68"/>
      <c r="EL88" s="68"/>
      <c r="EM88" s="68"/>
      <c r="EN88" s="68"/>
      <c r="EO88" s="68"/>
      <c r="EP88" s="68"/>
      <c r="EQ88" s="68"/>
      <c r="ER88" s="68"/>
      <c r="ES88" s="68"/>
      <c r="ET88" s="68"/>
      <c r="EU88" s="68"/>
      <c r="EV88" s="68"/>
      <c r="EW88" s="68"/>
      <c r="EX88" s="68"/>
      <c r="EY88" s="68"/>
      <c r="EZ88" s="68"/>
      <c r="FA88" s="68"/>
      <c r="FB88" s="68"/>
      <c r="FC88" s="68"/>
      <c r="FD88" s="68"/>
      <c r="FE88" s="68"/>
      <c r="FF88" s="68"/>
      <c r="FG88" s="68"/>
      <c r="FH88" s="68"/>
      <c r="FI88" s="68"/>
      <c r="FJ88" s="68"/>
      <c r="FK88" s="68"/>
      <c r="FL88" s="68"/>
      <c r="FM88" s="68"/>
      <c r="FN88" s="68"/>
      <c r="FO88" s="68"/>
      <c r="FP88" s="68"/>
      <c r="FQ88" s="68"/>
      <c r="FR88" s="68"/>
      <c r="FS88" s="68"/>
      <c r="FT88" s="68"/>
      <c r="FU88" s="68"/>
      <c r="FV88" s="68"/>
      <c r="FW88" s="68"/>
      <c r="FX88" s="68"/>
      <c r="FY88" s="68"/>
      <c r="FZ88" s="68"/>
      <c r="GA88" s="68"/>
      <c r="GB88" s="68"/>
      <c r="GC88" s="68"/>
      <c r="GD88" s="68"/>
      <c r="GE88" s="68"/>
      <c r="GF88" s="68"/>
      <c r="GG88" s="68"/>
      <c r="GH88" s="68"/>
      <c r="GI88" s="68"/>
      <c r="GJ88" s="68"/>
      <c r="GK88" s="68"/>
      <c r="GL88" s="68"/>
      <c r="GM88" s="68"/>
      <c r="GN88" s="68"/>
      <c r="GO88" s="68"/>
      <c r="GP88" s="68"/>
      <c r="GQ88" s="68"/>
      <c r="GR88" s="68"/>
      <c r="GS88" s="68"/>
      <c r="GT88" s="68"/>
      <c r="GU88" s="68"/>
      <c r="GV88" s="68"/>
      <c r="GW88" s="68"/>
      <c r="GX88" s="68"/>
      <c r="GY88" s="68"/>
      <c r="GZ88" s="68"/>
      <c r="HA88" s="68"/>
      <c r="HB88" s="68"/>
      <c r="HC88" s="68"/>
      <c r="HD88" s="68"/>
      <c r="HE88" s="68"/>
      <c r="HF88" s="68"/>
      <c r="HG88" s="68"/>
      <c r="HH88" s="68"/>
      <c r="HI88" s="68"/>
      <c r="HJ88" s="68"/>
      <c r="HK88" s="68"/>
      <c r="HL88" s="68"/>
      <c r="HM88" s="68"/>
      <c r="HN88" s="68"/>
      <c r="HO88" s="68"/>
      <c r="HP88" s="68"/>
      <c r="HQ88" s="68"/>
      <c r="HR88" s="68"/>
      <c r="HS88" s="68"/>
      <c r="HT88" s="68"/>
      <c r="HU88" s="68"/>
      <c r="HV88" s="68"/>
      <c r="HW88" s="68"/>
      <c r="HX88" s="68"/>
      <c r="HY88" s="68"/>
      <c r="HZ88" s="68"/>
      <c r="IA88" s="68"/>
      <c r="IB88" s="68"/>
      <c r="IC88" s="68"/>
      <c r="ID88" s="68"/>
      <c r="IE88" s="68"/>
      <c r="IF88" s="68"/>
      <c r="IG88" s="68"/>
      <c r="IH88" s="68"/>
      <c r="II88" s="68"/>
      <c r="IJ88" s="68"/>
      <c r="IK88" s="68"/>
      <c r="IL88" s="68"/>
      <c r="IM88" s="68"/>
      <c r="IN88" s="68"/>
      <c r="IO88" s="68"/>
      <c r="IP88" s="68"/>
      <c r="IQ88" s="68"/>
      <c r="IR88" s="68"/>
      <c r="IS88" s="68"/>
      <c r="IT88" s="68"/>
      <c r="IU88" s="68"/>
      <c r="IV88" s="68"/>
      <c r="IW88" s="68"/>
      <c r="IX88" s="68"/>
      <c r="IY88" s="68"/>
      <c r="IZ88" s="68"/>
      <c r="JA88" s="68"/>
      <c r="JB88" s="68"/>
      <c r="JC88" s="68"/>
      <c r="JD88" s="68"/>
      <c r="JE88" s="68"/>
      <c r="JF88" s="68"/>
      <c r="JG88" s="68"/>
      <c r="JH88" s="68"/>
      <c r="JI88" s="68"/>
      <c r="JJ88" s="68"/>
      <c r="JK88" s="68"/>
      <c r="JL88" s="68"/>
      <c r="JM88" s="68"/>
      <c r="JN88" s="68"/>
      <c r="JO88" s="68"/>
      <c r="JP88" s="68"/>
      <c r="JQ88" s="68"/>
      <c r="JR88" s="68"/>
      <c r="JS88" s="68"/>
      <c r="JT88" s="68"/>
      <c r="JU88" s="68"/>
      <c r="JV88" s="68"/>
      <c r="JW88" s="68"/>
      <c r="JX88" s="68"/>
      <c r="JY88" s="68"/>
      <c r="JZ88" s="68"/>
      <c r="KA88" s="68"/>
      <c r="KB88" s="68"/>
      <c r="KC88" s="68"/>
      <c r="KD88" s="68"/>
      <c r="KE88" s="68"/>
      <c r="KF88" s="68"/>
      <c r="KG88" s="68"/>
      <c r="KH88" s="68"/>
      <c r="KI88" s="68"/>
      <c r="KJ88" s="68"/>
      <c r="KK88" s="68"/>
      <c r="KL88" s="68"/>
      <c r="KM88" s="68"/>
      <c r="KN88" s="68"/>
      <c r="KO88" s="68"/>
      <c r="KP88" s="68"/>
      <c r="KQ88" s="68"/>
      <c r="KR88" s="68"/>
      <c r="KS88" s="68"/>
      <c r="KT88" s="68"/>
      <c r="KU88" s="68"/>
      <c r="KV88" s="68"/>
      <c r="KW88" s="68"/>
      <c r="KX88" s="68"/>
      <c r="KY88" s="68"/>
      <c r="KZ88" s="68"/>
      <c r="LA88" s="68"/>
      <c r="LB88" s="68"/>
      <c r="LC88" s="68"/>
      <c r="LD88" s="68"/>
      <c r="LE88" s="68"/>
      <c r="LF88" s="68"/>
      <c r="LG88" s="68"/>
      <c r="LH88" s="68"/>
      <c r="LI88" s="68"/>
      <c r="LJ88" s="68"/>
      <c r="LK88" s="68"/>
      <c r="LL88" s="68"/>
      <c r="LM88" s="68"/>
      <c r="LN88" s="68"/>
      <c r="LO88" s="68"/>
      <c r="LP88" s="68"/>
      <c r="LQ88" s="68"/>
      <c r="LR88" s="68"/>
      <c r="LS88" s="68"/>
      <c r="LT88" s="68"/>
      <c r="LU88" s="68"/>
      <c r="LV88" s="68"/>
      <c r="LW88" s="68"/>
      <c r="LX88" s="68"/>
      <c r="LY88" s="68"/>
      <c r="LZ88" s="68"/>
      <c r="MA88" s="68"/>
      <c r="MB88" s="68"/>
      <c r="MC88" s="68"/>
      <c r="MD88" s="68"/>
      <c r="ME88" s="68"/>
      <c r="MF88" s="68"/>
      <c r="MG88" s="68"/>
      <c r="MH88" s="68"/>
      <c r="MI88" s="68"/>
      <c r="MJ88" s="68"/>
      <c r="MK88" s="68"/>
      <c r="ML88" s="68"/>
      <c r="MM88" s="68"/>
      <c r="MN88" s="68"/>
      <c r="MO88" s="68"/>
      <c r="MP88" s="68"/>
      <c r="MQ88" s="68"/>
      <c r="MR88" s="68"/>
      <c r="MS88" s="68"/>
      <c r="MT88" s="68"/>
      <c r="MU88" s="68"/>
      <c r="MV88" s="68"/>
      <c r="MW88" s="68"/>
      <c r="MX88" s="68"/>
      <c r="MY88" s="68"/>
      <c r="MZ88" s="68"/>
      <c r="NA88" s="68"/>
      <c r="NB88" s="68"/>
      <c r="NC88" s="68"/>
      <c r="ND88" s="68"/>
      <c r="NE88" s="68"/>
      <c r="NF88" s="68"/>
      <c r="NG88" s="68"/>
      <c r="NH88" s="68"/>
      <c r="NI88" s="68"/>
      <c r="NJ88" s="68"/>
      <c r="NK88" s="68"/>
      <c r="NL88" s="68"/>
      <c r="NM88" s="68"/>
      <c r="NN88" s="68"/>
      <c r="NO88" s="68"/>
      <c r="NP88" s="68"/>
      <c r="NQ88" s="68"/>
      <c r="NR88" s="68"/>
      <c r="NS88" s="68"/>
      <c r="NT88" s="68"/>
      <c r="NU88" s="68"/>
      <c r="NV88" s="68"/>
      <c r="NW88" s="68"/>
      <c r="NX88" s="68"/>
      <c r="NY88" s="68"/>
      <c r="NZ88" s="68"/>
      <c r="OA88" s="68"/>
      <c r="OB88" s="68"/>
      <c r="OC88" s="68"/>
      <c r="OD88" s="68"/>
      <c r="OE88" s="68"/>
      <c r="OF88" s="68"/>
      <c r="OG88" s="68"/>
      <c r="OH88" s="68"/>
      <c r="OI88" s="68"/>
      <c r="OJ88" s="68"/>
      <c r="OK88" s="68"/>
      <c r="OL88" s="68"/>
      <c r="OM88" s="68"/>
      <c r="ON88" s="68"/>
      <c r="OO88" s="68"/>
      <c r="OP88" s="68"/>
      <c r="OQ88" s="68"/>
      <c r="OR88" s="68"/>
      <c r="OS88" s="68"/>
      <c r="OT88" s="68"/>
      <c r="OU88" s="68"/>
      <c r="OV88" s="68"/>
      <c r="OW88" s="68"/>
      <c r="OX88" s="68"/>
      <c r="OY88" s="68"/>
      <c r="OZ88" s="68"/>
      <c r="PA88" s="68"/>
      <c r="PB88" s="68"/>
      <c r="PC88" s="68"/>
      <c r="PD88" s="68"/>
      <c r="PE88" s="68"/>
      <c r="PF88" s="68"/>
      <c r="PG88" s="68"/>
      <c r="PH88" s="68"/>
      <c r="PI88" s="68"/>
      <c r="PJ88" s="68"/>
      <c r="PK88" s="68"/>
      <c r="PL88" s="68"/>
      <c r="PM88" s="68"/>
      <c r="PN88" s="68"/>
      <c r="PO88" s="68"/>
      <c r="PP88" s="68"/>
      <c r="PQ88" s="68"/>
      <c r="PR88" s="68"/>
      <c r="PS88" s="68"/>
      <c r="PT88" s="68"/>
      <c r="PU88" s="68"/>
      <c r="PV88" s="68"/>
      <c r="PW88" s="68"/>
      <c r="PX88" s="68"/>
      <c r="PY88" s="68"/>
      <c r="PZ88" s="68"/>
      <c r="QA88" s="68"/>
      <c r="QB88" s="68"/>
      <c r="QC88" s="68"/>
      <c r="QD88" s="68"/>
      <c r="QE88" s="68"/>
      <c r="QF88" s="68"/>
      <c r="QG88" s="68"/>
      <c r="QH88" s="68"/>
      <c r="QI88" s="68"/>
      <c r="QJ88" s="68"/>
      <c r="QK88" s="68"/>
      <c r="QL88" s="68"/>
      <c r="QM88" s="68"/>
      <c r="QN88" s="68"/>
      <c r="QO88" s="68"/>
      <c r="QP88" s="68"/>
      <c r="QQ88" s="68"/>
      <c r="QR88" s="68"/>
      <c r="QS88" s="68"/>
      <c r="QT88" s="68"/>
      <c r="QU88" s="68"/>
      <c r="QV88" s="68"/>
      <c r="QW88" s="68"/>
      <c r="QX88" s="68"/>
      <c r="QY88" s="68"/>
      <c r="QZ88" s="68"/>
      <c r="RA88" s="68"/>
      <c r="RB88" s="68"/>
      <c r="RC88" s="68"/>
      <c r="RD88" s="68"/>
      <c r="RE88" s="68"/>
      <c r="RF88" s="68"/>
      <c r="RG88" s="68"/>
      <c r="RH88" s="68"/>
      <c r="RI88" s="68"/>
      <c r="RJ88" s="68"/>
      <c r="RK88" s="68"/>
      <c r="RL88" s="68"/>
      <c r="RM88" s="68"/>
      <c r="RN88" s="68"/>
      <c r="RO88" s="68"/>
      <c r="RP88" s="68"/>
      <c r="RQ88" s="68"/>
      <c r="RR88" s="68"/>
      <c r="RS88" s="68"/>
      <c r="RT88" s="68"/>
      <c r="RU88" s="68"/>
      <c r="RV88" s="68"/>
      <c r="RW88" s="68"/>
      <c r="RX88" s="68"/>
      <c r="RY88" s="68"/>
      <c r="RZ88" s="68"/>
      <c r="SA88" s="68"/>
      <c r="SB88" s="68"/>
      <c r="SC88" s="68"/>
      <c r="SD88" s="68"/>
      <c r="SE88" s="68"/>
      <c r="SF88" s="68"/>
      <c r="SG88" s="68"/>
      <c r="SH88" s="68"/>
      <c r="SI88" s="68"/>
      <c r="SJ88" s="68"/>
      <c r="SK88" s="68"/>
      <c r="SL88" s="68"/>
      <c r="SM88" s="68"/>
      <c r="SN88" s="68"/>
      <c r="SO88" s="68"/>
      <c r="SP88" s="68"/>
      <c r="SQ88" s="68"/>
      <c r="SR88" s="68"/>
      <c r="SS88" s="68"/>
      <c r="ST88" s="68"/>
      <c r="SU88" s="68"/>
      <c r="SV88" s="68"/>
      <c r="SW88" s="68"/>
      <c r="SX88" s="68"/>
      <c r="SY88" s="68"/>
      <c r="SZ88" s="68"/>
      <c r="TA88" s="68"/>
      <c r="TB88" s="68"/>
      <c r="TC88" s="68"/>
      <c r="TD88" s="68"/>
      <c r="TE88" s="68"/>
      <c r="TF88" s="68"/>
      <c r="TG88" s="68"/>
      <c r="TH88" s="68"/>
      <c r="TI88" s="68"/>
      <c r="TJ88" s="68"/>
      <c r="TK88" s="68"/>
      <c r="TL88" s="68"/>
      <c r="TM88" s="68"/>
      <c r="TN88" s="68"/>
      <c r="TO88" s="68"/>
      <c r="TP88" s="68"/>
      <c r="TQ88" s="68"/>
      <c r="TR88" s="68"/>
      <c r="TS88" s="68"/>
      <c r="TT88" s="68"/>
      <c r="TU88" s="68"/>
      <c r="TV88" s="68"/>
      <c r="TW88" s="68"/>
      <c r="TX88" s="68"/>
      <c r="TY88" s="68"/>
      <c r="TZ88" s="68"/>
      <c r="UA88" s="68"/>
      <c r="UB88" s="68"/>
      <c r="UC88" s="68"/>
      <c r="UD88" s="68"/>
      <c r="UE88" s="68"/>
      <c r="UF88" s="68"/>
      <c r="UG88" s="68"/>
      <c r="UH88" s="68"/>
      <c r="UI88" s="68"/>
      <c r="UJ88" s="68"/>
      <c r="UK88" s="68"/>
      <c r="UL88" s="68"/>
      <c r="UM88" s="68"/>
      <c r="UN88" s="68"/>
      <c r="UO88" s="68"/>
      <c r="UP88" s="68"/>
      <c r="UQ88" s="68"/>
      <c r="UR88" s="68"/>
      <c r="US88" s="68"/>
      <c r="UT88" s="68"/>
      <c r="UU88" s="68"/>
      <c r="UV88" s="68"/>
      <c r="UW88" s="68"/>
      <c r="UX88" s="68"/>
      <c r="UY88" s="68"/>
      <c r="UZ88" s="68"/>
      <c r="VA88" s="68"/>
      <c r="VB88" s="68"/>
      <c r="VC88" s="68"/>
      <c r="VD88" s="68"/>
      <c r="VE88" s="68"/>
      <c r="VF88" s="68"/>
      <c r="VG88" s="68"/>
      <c r="VH88" s="68"/>
      <c r="VI88" s="68"/>
      <c r="VJ88" s="68"/>
      <c r="VK88" s="68"/>
      <c r="VL88" s="68"/>
      <c r="VM88" s="68"/>
      <c r="VN88" s="68"/>
      <c r="VO88" s="68"/>
      <c r="VP88" s="68"/>
      <c r="VQ88" s="68"/>
      <c r="VR88" s="68"/>
      <c r="VS88" s="68"/>
      <c r="VT88" s="68"/>
      <c r="VU88" s="68"/>
      <c r="VV88" s="68"/>
      <c r="VW88" s="68"/>
      <c r="VX88" s="68"/>
      <c r="VY88" s="68"/>
      <c r="VZ88" s="68"/>
      <c r="WA88" s="68"/>
      <c r="WB88" s="68"/>
      <c r="WC88" s="68"/>
      <c r="WD88" s="68"/>
      <c r="WE88" s="68"/>
      <c r="WF88" s="68"/>
      <c r="WG88" s="68"/>
      <c r="WH88" s="68"/>
      <c r="WI88" s="68"/>
      <c r="WJ88" s="68"/>
      <c r="WK88" s="68"/>
      <c r="WL88" s="68"/>
      <c r="WM88" s="68"/>
      <c r="WN88" s="68"/>
      <c r="WO88" s="68"/>
      <c r="WP88" s="68"/>
      <c r="WQ88" s="68"/>
      <c r="WR88" s="68"/>
      <c r="WS88" s="68"/>
      <c r="WT88" s="68"/>
      <c r="WU88" s="68"/>
      <c r="WV88" s="68"/>
      <c r="WW88" s="68"/>
      <c r="WX88" s="68"/>
      <c r="WY88" s="68"/>
      <c r="WZ88" s="68"/>
      <c r="XA88" s="68"/>
      <c r="XB88" s="68"/>
      <c r="XC88" s="68"/>
      <c r="XD88" s="68"/>
      <c r="XE88" s="68"/>
      <c r="XF88" s="68"/>
      <c r="XG88" s="68"/>
      <c r="XH88" s="68"/>
      <c r="XI88" s="68"/>
      <c r="XJ88" s="68"/>
      <c r="XK88" s="68"/>
      <c r="XL88" s="68"/>
      <c r="XM88" s="68"/>
      <c r="XN88" s="68"/>
      <c r="XO88" s="68"/>
      <c r="XP88" s="68"/>
      <c r="XQ88" s="68"/>
      <c r="XR88" s="68"/>
      <c r="XS88" s="68"/>
      <c r="XT88" s="68"/>
      <c r="XU88" s="68"/>
      <c r="XV88" s="68"/>
      <c r="XW88" s="68"/>
      <c r="XX88" s="68"/>
      <c r="XY88" s="68"/>
      <c r="XZ88" s="68"/>
      <c r="YA88" s="68"/>
      <c r="YB88" s="68"/>
      <c r="YC88" s="68"/>
      <c r="YD88" s="68"/>
      <c r="YE88" s="68"/>
      <c r="YF88" s="68"/>
      <c r="YG88" s="68"/>
      <c r="YH88" s="68"/>
      <c r="YI88" s="68"/>
      <c r="YJ88" s="68"/>
      <c r="YK88" s="68"/>
      <c r="YL88" s="68"/>
      <c r="YM88" s="68"/>
      <c r="YN88" s="68"/>
      <c r="YO88" s="68"/>
      <c r="YP88" s="68"/>
      <c r="YQ88" s="68"/>
      <c r="YR88" s="68"/>
      <c r="YS88" s="68"/>
      <c r="YT88" s="68"/>
      <c r="YU88" s="68"/>
      <c r="YV88" s="68"/>
      <c r="YW88" s="68"/>
      <c r="YX88" s="68"/>
      <c r="YY88" s="68"/>
      <c r="YZ88" s="68"/>
      <c r="ZA88" s="68"/>
      <c r="ZB88" s="68"/>
      <c r="ZC88" s="68"/>
      <c r="ZD88" s="68"/>
      <c r="ZE88" s="68"/>
      <c r="ZF88" s="68"/>
      <c r="ZG88" s="68"/>
      <c r="ZH88" s="68"/>
      <c r="ZI88" s="68"/>
      <c r="ZJ88" s="68"/>
      <c r="ZK88" s="68"/>
      <c r="ZL88" s="68"/>
      <c r="ZM88" s="68"/>
      <c r="ZN88" s="68"/>
      <c r="ZO88" s="68"/>
      <c r="ZP88" s="68"/>
      <c r="ZQ88" s="68"/>
      <c r="ZR88" s="68"/>
      <c r="ZS88" s="68"/>
      <c r="ZT88" s="68"/>
      <c r="ZU88" s="68"/>
      <c r="ZV88" s="68"/>
      <c r="ZW88" s="68"/>
      <c r="ZX88" s="68"/>
      <c r="ZY88" s="68"/>
      <c r="ZZ88" s="68"/>
      <c r="AAA88" s="68"/>
      <c r="AAB88" s="68"/>
      <c r="AAC88" s="68"/>
      <c r="AAD88" s="68"/>
      <c r="AAE88" s="68"/>
      <c r="AAF88" s="68"/>
      <c r="AAG88" s="68"/>
      <c r="AAH88" s="68"/>
      <c r="AAI88" s="68"/>
      <c r="AAJ88" s="68"/>
      <c r="AAK88" s="68"/>
      <c r="AAL88" s="68"/>
      <c r="AAM88" s="68"/>
      <c r="AAN88" s="68"/>
      <c r="AAO88" s="68"/>
      <c r="AAP88" s="68"/>
      <c r="AAQ88" s="68"/>
      <c r="AAR88" s="68"/>
      <c r="AAS88" s="68"/>
      <c r="AAT88" s="68"/>
      <c r="AAU88" s="68"/>
      <c r="AAV88" s="68"/>
      <c r="AAW88" s="68"/>
      <c r="AAX88" s="68"/>
      <c r="AAY88" s="68"/>
      <c r="AAZ88" s="68"/>
      <c r="ABA88" s="68"/>
      <c r="ABB88" s="68"/>
      <c r="ABC88" s="68"/>
      <c r="ABD88" s="68"/>
      <c r="ABE88" s="68"/>
      <c r="ABF88" s="68"/>
      <c r="ABG88" s="68"/>
      <c r="ABH88" s="68"/>
      <c r="ABI88" s="68"/>
      <c r="ABJ88" s="68"/>
      <c r="ABK88" s="68"/>
      <c r="ABL88" s="68"/>
      <c r="ABM88" s="68"/>
      <c r="ABN88" s="68"/>
      <c r="ABO88" s="68"/>
      <c r="ABP88" s="68"/>
      <c r="ABQ88" s="68"/>
      <c r="ABR88" s="68"/>
      <c r="ABS88" s="68"/>
      <c r="ABT88" s="68"/>
      <c r="ABU88" s="68"/>
      <c r="ABV88" s="68"/>
      <c r="ABW88" s="68"/>
      <c r="ABX88" s="68"/>
      <c r="ABY88" s="68"/>
      <c r="ABZ88" s="68"/>
      <c r="ACA88" s="68"/>
      <c r="ACB88" s="68"/>
      <c r="ACC88" s="68"/>
      <c r="ACD88" s="68"/>
      <c r="ACE88" s="68"/>
      <c r="ACF88" s="68"/>
      <c r="ACG88" s="68"/>
      <c r="ACH88" s="68"/>
      <c r="ACI88" s="68"/>
      <c r="ACJ88" s="68"/>
      <c r="ACK88" s="68"/>
      <c r="ACL88" s="68"/>
      <c r="ACM88" s="68"/>
      <c r="ACN88" s="68"/>
      <c r="ACO88" s="68"/>
      <c r="ACP88" s="68"/>
      <c r="ACQ88" s="68"/>
      <c r="ACR88" s="68"/>
      <c r="ACS88" s="68"/>
      <c r="ACT88" s="68"/>
      <c r="ACU88" s="68"/>
      <c r="ACV88" s="68"/>
      <c r="ACW88" s="68"/>
      <c r="ACX88" s="68"/>
      <c r="ACY88" s="68"/>
      <c r="ACZ88" s="68"/>
      <c r="ADA88" s="68"/>
      <c r="ADB88" s="68"/>
      <c r="ADC88" s="68"/>
      <c r="ADD88" s="68"/>
      <c r="ADE88" s="68"/>
      <c r="ADF88" s="68"/>
      <c r="ADG88" s="68"/>
      <c r="ADH88" s="68"/>
      <c r="ADI88" s="68"/>
      <c r="ADJ88" s="68"/>
      <c r="ADK88" s="68"/>
      <c r="ADL88" s="68"/>
      <c r="ADM88" s="68"/>
      <c r="ADN88" s="68"/>
      <c r="ADO88" s="68"/>
      <c r="ADP88" s="68"/>
      <c r="ADQ88" s="68"/>
      <c r="ADR88" s="68"/>
      <c r="ADS88" s="68"/>
      <c r="ADT88" s="68"/>
      <c r="ADU88" s="68"/>
      <c r="ADV88" s="68"/>
      <c r="ADW88" s="68"/>
      <c r="ADX88" s="68"/>
      <c r="ADY88" s="68"/>
      <c r="ADZ88" s="68"/>
      <c r="AEA88" s="68"/>
      <c r="AEB88" s="68"/>
      <c r="AEC88" s="68"/>
      <c r="AED88" s="68"/>
      <c r="AEE88" s="68"/>
      <c r="AEF88" s="68"/>
      <c r="AEG88" s="68"/>
      <c r="AEH88" s="68"/>
      <c r="AEI88" s="68"/>
      <c r="AEJ88" s="68"/>
      <c r="AEK88" s="68"/>
      <c r="AEL88" s="68"/>
      <c r="AEM88" s="68"/>
      <c r="AEN88" s="68"/>
      <c r="AEO88" s="68"/>
      <c r="AEP88" s="68"/>
      <c r="AEQ88" s="68"/>
      <c r="AER88" s="68"/>
      <c r="AES88" s="68"/>
      <c r="AET88" s="68"/>
      <c r="AEU88" s="68"/>
      <c r="AEV88" s="68"/>
      <c r="AEW88" s="68"/>
      <c r="AEX88" s="68"/>
      <c r="AEY88" s="68"/>
      <c r="AEZ88" s="68"/>
      <c r="AFA88" s="68"/>
      <c r="AFB88" s="68"/>
      <c r="AFC88" s="68"/>
      <c r="AFD88" s="68"/>
      <c r="AFE88" s="68"/>
      <c r="AFF88" s="68"/>
      <c r="AFG88" s="68"/>
      <c r="AFH88" s="68"/>
      <c r="AFI88" s="68"/>
      <c r="AFJ88" s="68"/>
      <c r="AFK88" s="68"/>
      <c r="AFL88" s="68"/>
      <c r="AFM88" s="68"/>
      <c r="AFN88" s="68"/>
      <c r="AFO88" s="68"/>
      <c r="AFP88" s="68"/>
      <c r="AFQ88" s="68"/>
      <c r="AFR88" s="68"/>
      <c r="AFS88" s="68"/>
      <c r="AFT88" s="68"/>
      <c r="AFU88" s="68"/>
      <c r="AFV88" s="68"/>
      <c r="AFW88" s="68"/>
      <c r="AFX88" s="68"/>
      <c r="AFY88" s="68"/>
      <c r="AFZ88" s="68"/>
      <c r="AGA88" s="68"/>
      <c r="AGB88" s="68"/>
      <c r="AGC88" s="68"/>
      <c r="AGD88" s="68"/>
      <c r="AGE88" s="68"/>
      <c r="AGF88" s="68"/>
      <c r="AGG88" s="68"/>
      <c r="AGH88" s="68"/>
      <c r="AGI88" s="68"/>
      <c r="AGJ88" s="68"/>
      <c r="AGK88" s="68"/>
      <c r="AGL88" s="68"/>
      <c r="AGM88" s="68"/>
      <c r="AGN88" s="68"/>
      <c r="AGO88" s="68"/>
      <c r="AGP88" s="68"/>
      <c r="AGQ88" s="68"/>
      <c r="AGR88" s="68"/>
      <c r="AGS88" s="68"/>
      <c r="AGT88" s="68"/>
      <c r="AGU88" s="68"/>
      <c r="AGV88" s="68"/>
      <c r="AGW88" s="68"/>
      <c r="AGX88" s="68"/>
      <c r="AGY88" s="68"/>
      <c r="AGZ88" s="68"/>
      <c r="AHA88" s="68"/>
      <c r="AHB88" s="68"/>
      <c r="AHC88" s="68"/>
      <c r="AHD88" s="68"/>
      <c r="AHE88" s="68"/>
      <c r="AHF88" s="68"/>
      <c r="AHG88" s="68"/>
      <c r="AHH88" s="68"/>
      <c r="AHI88" s="68"/>
      <c r="AHJ88" s="68"/>
      <c r="AHK88" s="68"/>
      <c r="AHL88" s="68"/>
      <c r="AHM88" s="68"/>
      <c r="AHN88" s="68"/>
      <c r="AHO88" s="68"/>
      <c r="AHP88" s="68"/>
      <c r="AHQ88" s="68"/>
      <c r="AHR88" s="68"/>
      <c r="AHS88" s="68"/>
      <c r="AHT88" s="68"/>
      <c r="AHU88" s="68"/>
      <c r="AHV88" s="68"/>
      <c r="AHW88" s="68"/>
      <c r="AHX88" s="68"/>
      <c r="AHY88" s="68"/>
      <c r="AHZ88" s="68"/>
      <c r="AIA88" s="68"/>
      <c r="AIB88" s="68"/>
      <c r="AIC88" s="68"/>
      <c r="AID88" s="68"/>
      <c r="AIE88" s="68"/>
      <c r="AIF88" s="68"/>
      <c r="AIG88" s="68"/>
      <c r="AIH88" s="68"/>
      <c r="AII88" s="68"/>
      <c r="AIJ88" s="68"/>
      <c r="AIK88" s="68"/>
      <c r="AIL88" s="68"/>
      <c r="AIM88" s="68"/>
      <c r="AIN88" s="68"/>
      <c r="AIO88" s="68"/>
      <c r="AIP88" s="68"/>
      <c r="AIQ88" s="68"/>
      <c r="AIR88" s="68"/>
      <c r="AIS88" s="68"/>
      <c r="AIT88" s="68"/>
      <c r="AIU88" s="68"/>
      <c r="AIV88" s="68"/>
      <c r="AIW88" s="68"/>
      <c r="AIX88" s="68"/>
      <c r="AIY88" s="68"/>
      <c r="AIZ88" s="68"/>
      <c r="AJA88" s="68"/>
      <c r="AJB88" s="68"/>
      <c r="AJC88" s="68"/>
      <c r="AJD88" s="68"/>
      <c r="AJE88" s="68"/>
      <c r="AJF88" s="68"/>
      <c r="AJG88" s="68"/>
      <c r="AJH88" s="68"/>
      <c r="AJI88" s="68"/>
      <c r="AJJ88" s="68"/>
      <c r="AJK88" s="68"/>
      <c r="AJL88" s="68"/>
      <c r="AJM88" s="68"/>
      <c r="AJN88" s="68"/>
      <c r="AJO88" s="68"/>
      <c r="AJP88" s="68"/>
      <c r="AJQ88" s="68"/>
      <c r="AJR88" s="68"/>
      <c r="AJS88" s="68"/>
      <c r="AJT88" s="68"/>
      <c r="AJU88" s="68"/>
      <c r="AJV88" s="68"/>
      <c r="AJW88" s="68"/>
      <c r="AJX88" s="68"/>
      <c r="AJY88" s="68"/>
      <c r="AJZ88" s="68"/>
      <c r="AKA88" s="68"/>
      <c r="AKB88" s="68"/>
      <c r="AKC88" s="68"/>
      <c r="AKD88" s="68"/>
      <c r="AKE88" s="68"/>
      <c r="AKF88" s="68"/>
      <c r="AKG88" s="68"/>
      <c r="AKH88" s="68"/>
      <c r="AKI88" s="68"/>
      <c r="AKJ88" s="68"/>
      <c r="AKK88" s="68"/>
      <c r="AKL88" s="68"/>
      <c r="AKM88" s="68"/>
      <c r="AKN88" s="68"/>
      <c r="AKO88" s="68"/>
      <c r="AKP88" s="68"/>
      <c r="AKQ88" s="68"/>
      <c r="AKR88" s="68"/>
      <c r="AKS88" s="68"/>
      <c r="AKT88" s="68"/>
      <c r="AKU88" s="68"/>
      <c r="AKV88" s="68"/>
      <c r="AKW88" s="68"/>
      <c r="AKX88" s="68"/>
      <c r="AKY88" s="68"/>
      <c r="AKZ88" s="68"/>
      <c r="ALA88" s="68"/>
      <c r="ALB88" s="68"/>
      <c r="ALC88" s="68"/>
      <c r="ALD88" s="68"/>
      <c r="ALE88" s="68"/>
      <c r="ALF88" s="68"/>
      <c r="ALG88" s="68"/>
      <c r="ALH88" s="68"/>
      <c r="ALI88" s="68"/>
      <c r="ALJ88" s="68"/>
      <c r="ALK88" s="68"/>
      <c r="ALL88" s="68"/>
      <c r="ALM88" s="68"/>
      <c r="ALN88" s="68"/>
      <c r="ALO88" s="68"/>
      <c r="ALP88" s="68"/>
      <c r="ALQ88" s="68"/>
      <c r="ALR88" s="68"/>
      <c r="ALS88" s="68"/>
      <c r="ALT88" s="68"/>
      <c r="ALU88" s="68"/>
      <c r="ALV88" s="68"/>
      <c r="ALW88" s="68"/>
      <c r="ALX88" s="68"/>
      <c r="ALY88" s="68"/>
      <c r="ALZ88" s="68"/>
      <c r="AMA88" s="68"/>
      <c r="AMB88" s="68"/>
      <c r="AMC88" s="68"/>
      <c r="AMD88" s="68"/>
      <c r="AME88" s="68"/>
      <c r="AMF88" s="68"/>
      <c r="AMG88" s="68"/>
      <c r="AMH88" s="68"/>
      <c r="AMI88" s="68"/>
      <c r="AMJ88" s="68"/>
      <c r="AMK88" s="68"/>
      <c r="AML88" s="68"/>
      <c r="AMM88" s="68"/>
      <c r="AMN88" s="68"/>
      <c r="AMO88" s="68"/>
      <c r="AMP88" s="68"/>
      <c r="AMQ88" s="68"/>
      <c r="AMR88" s="68"/>
      <c r="AMS88" s="68"/>
      <c r="AMT88" s="68"/>
      <c r="AMU88" s="68"/>
      <c r="AMV88" s="68"/>
      <c r="AMW88" s="68"/>
      <c r="AMX88" s="68"/>
      <c r="AMY88" s="68"/>
      <c r="AMZ88" s="68"/>
      <c r="ANA88" s="68"/>
      <c r="ANB88" s="68"/>
      <c r="ANC88" s="68"/>
      <c r="AND88" s="68"/>
      <c r="ANE88" s="68"/>
      <c r="ANF88" s="68"/>
      <c r="ANG88" s="68"/>
      <c r="ANH88" s="68"/>
      <c r="ANI88" s="68"/>
      <c r="ANJ88" s="68"/>
      <c r="ANK88" s="68"/>
      <c r="ANL88" s="68"/>
      <c r="ANM88" s="68"/>
      <c r="ANN88" s="68"/>
      <c r="ANO88" s="68"/>
      <c r="ANP88" s="68"/>
      <c r="ANQ88" s="68"/>
      <c r="ANR88" s="68"/>
      <c r="ANS88" s="68"/>
      <c r="ANT88" s="68"/>
      <c r="ANU88" s="68"/>
      <c r="ANV88" s="68"/>
      <c r="ANW88" s="68"/>
      <c r="ANX88" s="68"/>
      <c r="ANY88" s="68"/>
      <c r="ANZ88" s="68"/>
      <c r="AOA88" s="68"/>
      <c r="AOB88" s="68"/>
      <c r="AOC88" s="68"/>
      <c r="AOD88" s="68"/>
      <c r="AOE88" s="68"/>
      <c r="AOF88" s="68"/>
      <c r="AOG88" s="68"/>
      <c r="AOH88" s="68"/>
      <c r="AOI88" s="68"/>
      <c r="AOJ88" s="68"/>
      <c r="AOK88" s="68"/>
      <c r="AOL88" s="68"/>
      <c r="AOM88" s="68"/>
      <c r="AON88" s="68"/>
      <c r="AOO88" s="68"/>
      <c r="AOP88" s="68"/>
      <c r="AOQ88" s="68"/>
      <c r="AOR88" s="68"/>
      <c r="AOS88" s="68"/>
      <c r="AOT88" s="68"/>
      <c r="AOU88" s="68"/>
      <c r="AOV88" s="68"/>
      <c r="AOW88" s="68"/>
      <c r="AOX88" s="68"/>
      <c r="AOY88" s="68"/>
      <c r="AOZ88" s="68"/>
      <c r="APA88" s="68"/>
      <c r="APB88" s="68"/>
      <c r="APC88" s="68"/>
      <c r="APD88" s="68"/>
      <c r="APE88" s="68"/>
      <c r="APF88" s="68"/>
      <c r="APG88" s="68"/>
      <c r="APH88" s="68"/>
      <c r="API88" s="68"/>
      <c r="APJ88" s="68"/>
      <c r="APK88" s="68"/>
      <c r="APL88" s="68"/>
      <c r="APM88" s="68"/>
      <c r="APN88" s="68"/>
      <c r="APO88" s="68"/>
      <c r="APP88" s="68"/>
      <c r="APQ88" s="68"/>
      <c r="APR88" s="68"/>
      <c r="APS88" s="68"/>
      <c r="APT88" s="68"/>
      <c r="APU88" s="68"/>
      <c r="APV88" s="68"/>
      <c r="APW88" s="68"/>
      <c r="APX88" s="68"/>
      <c r="APY88" s="68"/>
      <c r="APZ88" s="68"/>
      <c r="AQA88" s="68"/>
      <c r="AQB88" s="68"/>
      <c r="AQC88" s="68"/>
      <c r="AQD88" s="68"/>
      <c r="AQE88" s="68"/>
      <c r="AQF88" s="68"/>
      <c r="AQG88" s="68"/>
      <c r="AQH88" s="68"/>
      <c r="AQI88" s="68"/>
      <c r="AQJ88" s="68"/>
      <c r="AQK88" s="68"/>
      <c r="AQL88" s="68"/>
      <c r="AQM88" s="68"/>
      <c r="AQN88" s="68"/>
      <c r="AQO88" s="68"/>
      <c r="AQP88" s="68"/>
      <c r="AQQ88" s="68"/>
      <c r="AQR88" s="68"/>
      <c r="AQS88" s="68"/>
      <c r="AQT88" s="68"/>
      <c r="AQU88" s="68"/>
      <c r="AQV88" s="68"/>
      <c r="AQW88" s="68"/>
      <c r="AQX88" s="68"/>
      <c r="AQY88" s="68"/>
      <c r="AQZ88" s="68"/>
      <c r="ARA88" s="68"/>
      <c r="ARB88" s="68"/>
      <c r="ARC88" s="68"/>
      <c r="ARD88" s="68"/>
      <c r="ARE88" s="68"/>
      <c r="ARF88" s="68"/>
      <c r="ARG88" s="68"/>
      <c r="ARH88" s="68"/>
      <c r="ARI88" s="68"/>
      <c r="ARJ88" s="68"/>
      <c r="ARK88" s="68"/>
      <c r="ARL88" s="68"/>
      <c r="ARM88" s="68"/>
      <c r="ARN88" s="68"/>
      <c r="ARO88" s="68"/>
      <c r="ARP88" s="68"/>
      <c r="ARQ88" s="68"/>
      <c r="ARR88" s="68"/>
      <c r="ARS88" s="68"/>
      <c r="ART88" s="68"/>
      <c r="ARU88" s="68"/>
      <c r="ARV88" s="68"/>
      <c r="ARW88" s="68"/>
      <c r="ARX88" s="68"/>
      <c r="ARY88" s="68"/>
      <c r="ARZ88" s="68"/>
      <c r="ASA88" s="68"/>
      <c r="ASB88" s="68"/>
      <c r="ASC88" s="68"/>
      <c r="ASD88" s="68"/>
      <c r="ASE88" s="68"/>
      <c r="ASF88" s="68"/>
      <c r="ASG88" s="68"/>
      <c r="ASH88" s="68"/>
      <c r="ASI88" s="68"/>
      <c r="ASJ88" s="68"/>
      <c r="ASK88" s="68"/>
      <c r="ASL88" s="68"/>
      <c r="ASM88" s="68"/>
      <c r="ASN88" s="68"/>
      <c r="ASO88" s="68"/>
      <c r="ASP88" s="68"/>
      <c r="ASQ88" s="68"/>
      <c r="ASR88" s="68"/>
      <c r="ASS88" s="68"/>
      <c r="AST88" s="68"/>
      <c r="ASU88" s="68"/>
      <c r="ASV88" s="68"/>
      <c r="ASW88" s="68"/>
      <c r="ASX88" s="68"/>
      <c r="ASY88" s="68"/>
      <c r="ASZ88" s="68"/>
      <c r="ATA88" s="68"/>
      <c r="ATB88" s="68"/>
      <c r="ATC88" s="68"/>
      <c r="ATD88" s="68"/>
      <c r="ATE88" s="68"/>
      <c r="ATF88" s="68"/>
      <c r="ATG88" s="68"/>
      <c r="ATH88" s="68"/>
      <c r="ATI88" s="68"/>
      <c r="ATJ88" s="68"/>
      <c r="ATK88" s="68"/>
      <c r="ATL88" s="68"/>
      <c r="ATM88" s="68"/>
      <c r="ATN88" s="68"/>
      <c r="ATO88" s="68"/>
      <c r="ATP88" s="68"/>
      <c r="ATQ88" s="68"/>
      <c r="ATR88" s="68"/>
      <c r="ATS88" s="68"/>
      <c r="ATT88" s="68"/>
      <c r="ATU88" s="68"/>
      <c r="ATV88" s="68"/>
      <c r="ATW88" s="68"/>
      <c r="ATX88" s="68"/>
      <c r="ATY88" s="68"/>
      <c r="ATZ88" s="68"/>
      <c r="AUA88" s="68"/>
      <c r="AUB88" s="68"/>
      <c r="AUC88" s="68"/>
      <c r="AUD88" s="68"/>
      <c r="AUE88" s="68"/>
      <c r="AUF88" s="68"/>
      <c r="AUG88" s="68"/>
      <c r="AUH88" s="68"/>
      <c r="AUI88" s="68"/>
      <c r="AUJ88" s="68"/>
      <c r="AUK88" s="68"/>
      <c r="AUL88" s="68"/>
      <c r="AUM88" s="68"/>
      <c r="AUN88" s="68"/>
      <c r="AUO88" s="68"/>
      <c r="AUP88" s="68"/>
      <c r="AUQ88" s="68"/>
      <c r="AUR88" s="68"/>
      <c r="AUS88" s="68"/>
      <c r="AUT88" s="68"/>
      <c r="AUU88" s="68"/>
      <c r="AUV88" s="68"/>
      <c r="AUW88" s="68"/>
      <c r="AUX88" s="68"/>
      <c r="AUY88" s="68"/>
      <c r="AUZ88" s="68"/>
      <c r="AVA88" s="68"/>
      <c r="AVB88" s="68"/>
      <c r="AVC88" s="68"/>
      <c r="AVD88" s="68"/>
      <c r="AVE88" s="68"/>
      <c r="AVF88" s="68"/>
      <c r="AVG88" s="68"/>
      <c r="AVH88" s="68"/>
      <c r="AVI88" s="68"/>
      <c r="AVJ88" s="68"/>
      <c r="AVK88" s="68"/>
      <c r="AVL88" s="68"/>
      <c r="AVM88" s="68"/>
      <c r="AVN88" s="68"/>
      <c r="AVO88" s="68"/>
      <c r="AVP88" s="68"/>
      <c r="AVQ88" s="68"/>
      <c r="AVR88" s="68"/>
      <c r="AVS88" s="68"/>
      <c r="AVT88" s="68"/>
      <c r="AVU88" s="68"/>
      <c r="AVV88" s="68"/>
      <c r="AVW88" s="68"/>
      <c r="AVX88" s="68"/>
      <c r="AVY88" s="68"/>
      <c r="AVZ88" s="68"/>
      <c r="AWA88" s="68"/>
      <c r="AWB88" s="68"/>
      <c r="AWC88" s="68"/>
      <c r="AWD88" s="68"/>
      <c r="AWE88" s="68"/>
      <c r="AWF88" s="68"/>
      <c r="AWG88" s="68"/>
      <c r="AWH88" s="68"/>
      <c r="AWI88" s="68"/>
      <c r="AWJ88" s="68"/>
      <c r="AWK88" s="68"/>
      <c r="AWL88" s="68"/>
      <c r="AWM88" s="68"/>
      <c r="AWN88" s="68"/>
      <c r="AWO88" s="68"/>
      <c r="AWP88" s="68"/>
      <c r="AWQ88" s="68"/>
      <c r="AWR88" s="68"/>
      <c r="AWS88" s="68"/>
      <c r="AWT88" s="68"/>
      <c r="AWU88" s="68"/>
      <c r="AWV88" s="68"/>
      <c r="AWW88" s="68"/>
      <c r="AWX88" s="68"/>
      <c r="AWY88" s="68"/>
      <c r="AWZ88" s="68"/>
      <c r="AXA88" s="68"/>
      <c r="AXB88" s="68"/>
      <c r="AXC88" s="68"/>
      <c r="AXD88" s="68"/>
      <c r="AXE88" s="68"/>
      <c r="AXF88" s="68"/>
      <c r="AXG88" s="68"/>
      <c r="AXH88" s="68"/>
      <c r="AXI88" s="68"/>
      <c r="AXJ88" s="68"/>
      <c r="AXK88" s="68"/>
      <c r="AXL88" s="68"/>
      <c r="AXM88" s="68"/>
      <c r="AXN88" s="68"/>
      <c r="AXO88" s="68"/>
      <c r="AXP88" s="68"/>
      <c r="AXQ88" s="68"/>
      <c r="AXR88" s="68"/>
      <c r="AXS88" s="68"/>
      <c r="AXT88" s="68"/>
      <c r="AXU88" s="68"/>
      <c r="AXV88" s="68"/>
      <c r="AXW88" s="68"/>
      <c r="AXX88" s="68"/>
      <c r="AXY88" s="68"/>
      <c r="AXZ88" s="68"/>
      <c r="AYA88" s="68"/>
      <c r="AYB88" s="68"/>
      <c r="AYC88" s="68"/>
      <c r="AYD88" s="68"/>
      <c r="AYE88" s="68"/>
      <c r="AYF88" s="68"/>
      <c r="AYG88" s="68"/>
      <c r="AYH88" s="68"/>
      <c r="AYI88" s="68"/>
      <c r="AYJ88" s="68"/>
      <c r="AYK88" s="68"/>
      <c r="AYL88" s="68"/>
      <c r="AYM88" s="68"/>
      <c r="AYN88" s="68"/>
      <c r="AYO88" s="68"/>
      <c r="AYP88" s="68"/>
      <c r="AYQ88" s="68"/>
      <c r="AYR88" s="68"/>
      <c r="AYS88" s="68"/>
      <c r="AYT88" s="68"/>
      <c r="AYU88" s="68"/>
      <c r="AYV88" s="68"/>
      <c r="AYW88" s="68"/>
      <c r="AYX88" s="68"/>
      <c r="AYY88" s="68"/>
      <c r="AYZ88" s="68"/>
      <c r="AZA88" s="68"/>
      <c r="AZB88" s="68"/>
      <c r="AZC88" s="68"/>
      <c r="AZD88" s="68"/>
      <c r="AZE88" s="68"/>
      <c r="AZF88" s="68"/>
      <c r="AZG88" s="68"/>
      <c r="AZH88" s="68"/>
      <c r="AZI88" s="68"/>
      <c r="AZJ88" s="68"/>
      <c r="AZK88" s="68"/>
      <c r="AZL88" s="68"/>
      <c r="AZM88" s="68"/>
      <c r="AZN88" s="68"/>
      <c r="AZO88" s="68"/>
      <c r="AZP88" s="68"/>
      <c r="AZQ88" s="68"/>
      <c r="AZR88" s="68"/>
      <c r="AZS88" s="68"/>
      <c r="AZT88" s="68"/>
      <c r="AZU88" s="68"/>
      <c r="AZV88" s="68"/>
      <c r="AZW88" s="68"/>
      <c r="AZX88" s="68"/>
      <c r="AZY88" s="68"/>
      <c r="AZZ88" s="68"/>
      <c r="BAA88" s="68"/>
      <c r="BAB88" s="68"/>
      <c r="BAC88" s="68"/>
      <c r="BAD88" s="68"/>
      <c r="BAE88" s="68"/>
      <c r="BAF88" s="68"/>
      <c r="BAG88" s="68"/>
      <c r="BAH88" s="68"/>
      <c r="BAI88" s="68"/>
      <c r="BAJ88" s="68"/>
      <c r="BAK88" s="68"/>
      <c r="BAL88" s="68"/>
      <c r="BAM88" s="68"/>
      <c r="BAN88" s="68"/>
      <c r="BAO88" s="68"/>
      <c r="BAP88" s="68"/>
      <c r="BAQ88" s="68"/>
      <c r="BAR88" s="68"/>
      <c r="BAS88" s="68"/>
      <c r="BAT88" s="68"/>
      <c r="BAU88" s="68"/>
      <c r="BAV88" s="68"/>
      <c r="BAW88" s="68"/>
      <c r="BAX88" s="68"/>
      <c r="BAY88" s="68"/>
      <c r="BAZ88" s="68"/>
      <c r="BBA88" s="68"/>
      <c r="BBB88" s="68"/>
      <c r="BBC88" s="68"/>
      <c r="BBD88" s="68"/>
      <c r="BBE88" s="68"/>
      <c r="BBF88" s="68"/>
      <c r="BBG88" s="68"/>
      <c r="BBH88" s="68"/>
      <c r="BBI88" s="68"/>
      <c r="BBJ88" s="68"/>
      <c r="BBK88" s="68"/>
      <c r="BBL88" s="68"/>
      <c r="BBM88" s="68"/>
      <c r="BBN88" s="68"/>
      <c r="BBO88" s="68"/>
      <c r="BBP88" s="68"/>
      <c r="BBQ88" s="68"/>
      <c r="BBR88" s="68"/>
      <c r="BBS88" s="68"/>
      <c r="BBT88" s="68"/>
      <c r="BBU88" s="68"/>
      <c r="BBV88" s="68"/>
      <c r="BBW88" s="68"/>
      <c r="BBX88" s="68"/>
      <c r="BBY88" s="68"/>
      <c r="BBZ88" s="68"/>
      <c r="BCA88" s="68"/>
      <c r="BCB88" s="68"/>
      <c r="BCC88" s="68"/>
      <c r="BCD88" s="68"/>
      <c r="BCE88" s="68"/>
      <c r="BCF88" s="68"/>
      <c r="BCG88" s="68"/>
      <c r="BCH88" s="68"/>
      <c r="BCI88" s="68"/>
      <c r="BCJ88" s="68"/>
      <c r="BCK88" s="68"/>
      <c r="BCL88" s="68"/>
      <c r="BCM88" s="68"/>
      <c r="BCN88" s="68"/>
      <c r="BCO88" s="68"/>
      <c r="BCP88" s="68"/>
      <c r="BCQ88" s="68"/>
      <c r="BCR88" s="68"/>
      <c r="BCS88" s="68"/>
      <c r="BCT88" s="68"/>
      <c r="BCU88" s="68"/>
      <c r="BCV88" s="68"/>
      <c r="BCW88" s="68"/>
      <c r="BCX88" s="68"/>
      <c r="BCY88" s="68"/>
      <c r="BCZ88" s="68"/>
      <c r="BDA88" s="68"/>
    </row>
    <row r="89" spans="1:1458" s="67" customFormat="1" ht="48.75" customHeight="1" x14ac:dyDescent="0.25">
      <c r="A89" s="49">
        <v>7</v>
      </c>
      <c r="B89" s="71" t="s">
        <v>721</v>
      </c>
      <c r="C89" s="71" t="s">
        <v>43</v>
      </c>
      <c r="D89" s="71" t="s">
        <v>708</v>
      </c>
      <c r="E89" s="71" t="s">
        <v>709</v>
      </c>
      <c r="F89" s="51">
        <v>1171500</v>
      </c>
      <c r="G89" s="70" t="s">
        <v>673</v>
      </c>
      <c r="H89" s="42" t="s">
        <v>663</v>
      </c>
      <c r="I89" s="71" t="s">
        <v>722</v>
      </c>
      <c r="J89" s="71" t="s">
        <v>42</v>
      </c>
      <c r="K89" s="71" t="s">
        <v>49</v>
      </c>
      <c r="L89" s="51">
        <v>1171500</v>
      </c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  <c r="BW89" s="68"/>
      <c r="BX89" s="68"/>
      <c r="BY89" s="68"/>
      <c r="BZ89" s="68"/>
      <c r="CA89" s="68"/>
      <c r="CB89" s="68"/>
      <c r="CC89" s="68"/>
      <c r="CD89" s="68"/>
      <c r="CE89" s="68"/>
      <c r="CF89" s="68"/>
      <c r="CG89" s="68"/>
      <c r="CH89" s="68"/>
      <c r="CI89" s="68"/>
      <c r="CJ89" s="68"/>
      <c r="CK89" s="68"/>
      <c r="CL89" s="68"/>
      <c r="CM89" s="68"/>
      <c r="CN89" s="68"/>
      <c r="CO89" s="68"/>
      <c r="CP89" s="68"/>
      <c r="CQ89" s="68"/>
      <c r="CR89" s="68"/>
      <c r="CS89" s="68"/>
      <c r="CT89" s="68"/>
      <c r="CU89" s="68"/>
      <c r="CV89" s="68"/>
      <c r="CW89" s="68"/>
      <c r="CX89" s="68"/>
      <c r="CY89" s="68"/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  <c r="DM89" s="68"/>
      <c r="DN89" s="68"/>
      <c r="DO89" s="68"/>
      <c r="DP89" s="68"/>
      <c r="DQ89" s="68"/>
      <c r="DR89" s="68"/>
      <c r="DS89" s="68"/>
      <c r="DT89" s="68"/>
      <c r="DU89" s="68"/>
      <c r="DV89" s="68"/>
      <c r="DW89" s="68"/>
      <c r="DX89" s="68"/>
      <c r="DY89" s="68"/>
      <c r="DZ89" s="68"/>
      <c r="EA89" s="68"/>
      <c r="EB89" s="68"/>
      <c r="EC89" s="68"/>
      <c r="ED89" s="68"/>
      <c r="EE89" s="68"/>
      <c r="EF89" s="68"/>
      <c r="EG89" s="68"/>
      <c r="EH89" s="68"/>
      <c r="EI89" s="68"/>
      <c r="EJ89" s="68"/>
      <c r="EK89" s="68"/>
      <c r="EL89" s="68"/>
      <c r="EM89" s="68"/>
      <c r="EN89" s="68"/>
      <c r="EO89" s="68"/>
      <c r="EP89" s="68"/>
      <c r="EQ89" s="68"/>
      <c r="ER89" s="68"/>
      <c r="ES89" s="68"/>
      <c r="ET89" s="68"/>
      <c r="EU89" s="68"/>
      <c r="EV89" s="68"/>
      <c r="EW89" s="68"/>
      <c r="EX89" s="68"/>
      <c r="EY89" s="68"/>
      <c r="EZ89" s="68"/>
      <c r="FA89" s="68"/>
      <c r="FB89" s="68"/>
      <c r="FC89" s="68"/>
      <c r="FD89" s="68"/>
      <c r="FE89" s="68"/>
      <c r="FF89" s="68"/>
      <c r="FG89" s="68"/>
      <c r="FH89" s="68"/>
      <c r="FI89" s="68"/>
      <c r="FJ89" s="68"/>
      <c r="FK89" s="68"/>
      <c r="FL89" s="68"/>
      <c r="FM89" s="68"/>
      <c r="FN89" s="68"/>
      <c r="FO89" s="68"/>
      <c r="FP89" s="68"/>
      <c r="FQ89" s="68"/>
      <c r="FR89" s="68"/>
      <c r="FS89" s="68"/>
      <c r="FT89" s="68"/>
      <c r="FU89" s="68"/>
      <c r="FV89" s="68"/>
      <c r="FW89" s="68"/>
      <c r="FX89" s="68"/>
      <c r="FY89" s="68"/>
      <c r="FZ89" s="68"/>
      <c r="GA89" s="68"/>
      <c r="GB89" s="68"/>
      <c r="GC89" s="68"/>
      <c r="GD89" s="68"/>
      <c r="GE89" s="68"/>
      <c r="GF89" s="68"/>
      <c r="GG89" s="68"/>
      <c r="GH89" s="68"/>
      <c r="GI89" s="68"/>
      <c r="GJ89" s="68"/>
      <c r="GK89" s="68"/>
      <c r="GL89" s="68"/>
      <c r="GM89" s="68"/>
      <c r="GN89" s="68"/>
      <c r="GO89" s="68"/>
      <c r="GP89" s="68"/>
      <c r="GQ89" s="68"/>
      <c r="GR89" s="68"/>
      <c r="GS89" s="68"/>
      <c r="GT89" s="68"/>
      <c r="GU89" s="68"/>
      <c r="GV89" s="68"/>
      <c r="GW89" s="68"/>
      <c r="GX89" s="68"/>
      <c r="GY89" s="68"/>
      <c r="GZ89" s="68"/>
      <c r="HA89" s="68"/>
      <c r="HB89" s="68"/>
      <c r="HC89" s="68"/>
      <c r="HD89" s="68"/>
      <c r="HE89" s="68"/>
      <c r="HF89" s="68"/>
      <c r="HG89" s="68"/>
      <c r="HH89" s="68"/>
      <c r="HI89" s="68"/>
      <c r="HJ89" s="68"/>
      <c r="HK89" s="68"/>
      <c r="HL89" s="68"/>
      <c r="HM89" s="68"/>
      <c r="HN89" s="68"/>
      <c r="HO89" s="68"/>
      <c r="HP89" s="68"/>
      <c r="HQ89" s="68"/>
      <c r="HR89" s="68"/>
      <c r="HS89" s="68"/>
      <c r="HT89" s="68"/>
      <c r="HU89" s="68"/>
      <c r="HV89" s="68"/>
      <c r="HW89" s="68"/>
      <c r="HX89" s="68"/>
      <c r="HY89" s="68"/>
      <c r="HZ89" s="68"/>
      <c r="IA89" s="68"/>
      <c r="IB89" s="68"/>
      <c r="IC89" s="68"/>
      <c r="ID89" s="68"/>
      <c r="IE89" s="68"/>
      <c r="IF89" s="68"/>
      <c r="IG89" s="68"/>
      <c r="IH89" s="68"/>
      <c r="II89" s="68"/>
      <c r="IJ89" s="68"/>
      <c r="IK89" s="68"/>
      <c r="IL89" s="68"/>
      <c r="IM89" s="68"/>
      <c r="IN89" s="68"/>
      <c r="IO89" s="68"/>
      <c r="IP89" s="68"/>
      <c r="IQ89" s="68"/>
      <c r="IR89" s="68"/>
      <c r="IS89" s="68"/>
      <c r="IT89" s="68"/>
      <c r="IU89" s="68"/>
      <c r="IV89" s="68"/>
      <c r="IW89" s="68"/>
      <c r="IX89" s="68"/>
      <c r="IY89" s="68"/>
      <c r="IZ89" s="68"/>
      <c r="JA89" s="68"/>
      <c r="JB89" s="68"/>
      <c r="JC89" s="68"/>
      <c r="JD89" s="68"/>
      <c r="JE89" s="68"/>
      <c r="JF89" s="68"/>
      <c r="JG89" s="68"/>
      <c r="JH89" s="68"/>
      <c r="JI89" s="68"/>
      <c r="JJ89" s="68"/>
      <c r="JK89" s="68"/>
      <c r="JL89" s="68"/>
      <c r="JM89" s="68"/>
      <c r="JN89" s="68"/>
      <c r="JO89" s="68"/>
      <c r="JP89" s="68"/>
      <c r="JQ89" s="68"/>
      <c r="JR89" s="68"/>
      <c r="JS89" s="68"/>
      <c r="JT89" s="68"/>
      <c r="JU89" s="68"/>
      <c r="JV89" s="68"/>
      <c r="JW89" s="68"/>
      <c r="JX89" s="68"/>
      <c r="JY89" s="68"/>
      <c r="JZ89" s="68"/>
      <c r="KA89" s="68"/>
      <c r="KB89" s="68"/>
      <c r="KC89" s="68"/>
      <c r="KD89" s="68"/>
      <c r="KE89" s="68"/>
      <c r="KF89" s="68"/>
      <c r="KG89" s="68"/>
      <c r="KH89" s="68"/>
      <c r="KI89" s="68"/>
      <c r="KJ89" s="68"/>
      <c r="KK89" s="68"/>
      <c r="KL89" s="68"/>
      <c r="KM89" s="68"/>
      <c r="KN89" s="68"/>
      <c r="KO89" s="68"/>
      <c r="KP89" s="68"/>
      <c r="KQ89" s="68"/>
      <c r="KR89" s="68"/>
      <c r="KS89" s="68"/>
      <c r="KT89" s="68"/>
      <c r="KU89" s="68"/>
      <c r="KV89" s="68"/>
      <c r="KW89" s="68"/>
      <c r="KX89" s="68"/>
      <c r="KY89" s="68"/>
      <c r="KZ89" s="68"/>
      <c r="LA89" s="68"/>
      <c r="LB89" s="68"/>
      <c r="LC89" s="68"/>
      <c r="LD89" s="68"/>
      <c r="LE89" s="68"/>
      <c r="LF89" s="68"/>
      <c r="LG89" s="68"/>
      <c r="LH89" s="68"/>
      <c r="LI89" s="68"/>
      <c r="LJ89" s="68"/>
      <c r="LK89" s="68"/>
      <c r="LL89" s="68"/>
      <c r="LM89" s="68"/>
      <c r="LN89" s="68"/>
      <c r="LO89" s="68"/>
      <c r="LP89" s="68"/>
      <c r="LQ89" s="68"/>
      <c r="LR89" s="68"/>
      <c r="LS89" s="68"/>
      <c r="LT89" s="68"/>
      <c r="LU89" s="68"/>
      <c r="LV89" s="68"/>
      <c r="LW89" s="68"/>
      <c r="LX89" s="68"/>
      <c r="LY89" s="68"/>
      <c r="LZ89" s="68"/>
      <c r="MA89" s="68"/>
      <c r="MB89" s="68"/>
      <c r="MC89" s="68"/>
      <c r="MD89" s="68"/>
      <c r="ME89" s="68"/>
      <c r="MF89" s="68"/>
      <c r="MG89" s="68"/>
      <c r="MH89" s="68"/>
      <c r="MI89" s="68"/>
      <c r="MJ89" s="68"/>
      <c r="MK89" s="68"/>
      <c r="ML89" s="68"/>
      <c r="MM89" s="68"/>
      <c r="MN89" s="68"/>
      <c r="MO89" s="68"/>
      <c r="MP89" s="68"/>
      <c r="MQ89" s="68"/>
      <c r="MR89" s="68"/>
      <c r="MS89" s="68"/>
      <c r="MT89" s="68"/>
      <c r="MU89" s="68"/>
      <c r="MV89" s="68"/>
      <c r="MW89" s="68"/>
      <c r="MX89" s="68"/>
      <c r="MY89" s="68"/>
      <c r="MZ89" s="68"/>
      <c r="NA89" s="68"/>
      <c r="NB89" s="68"/>
      <c r="NC89" s="68"/>
      <c r="ND89" s="68"/>
      <c r="NE89" s="68"/>
      <c r="NF89" s="68"/>
      <c r="NG89" s="68"/>
      <c r="NH89" s="68"/>
      <c r="NI89" s="68"/>
      <c r="NJ89" s="68"/>
      <c r="NK89" s="68"/>
      <c r="NL89" s="68"/>
      <c r="NM89" s="68"/>
      <c r="NN89" s="68"/>
      <c r="NO89" s="68"/>
      <c r="NP89" s="68"/>
      <c r="NQ89" s="68"/>
      <c r="NR89" s="68"/>
      <c r="NS89" s="68"/>
      <c r="NT89" s="68"/>
      <c r="NU89" s="68"/>
      <c r="NV89" s="68"/>
      <c r="NW89" s="68"/>
      <c r="NX89" s="68"/>
      <c r="NY89" s="68"/>
      <c r="NZ89" s="68"/>
      <c r="OA89" s="68"/>
      <c r="OB89" s="68"/>
      <c r="OC89" s="68"/>
      <c r="OD89" s="68"/>
      <c r="OE89" s="68"/>
      <c r="OF89" s="68"/>
      <c r="OG89" s="68"/>
      <c r="OH89" s="68"/>
      <c r="OI89" s="68"/>
      <c r="OJ89" s="68"/>
      <c r="OK89" s="68"/>
      <c r="OL89" s="68"/>
      <c r="OM89" s="68"/>
      <c r="ON89" s="68"/>
      <c r="OO89" s="68"/>
      <c r="OP89" s="68"/>
      <c r="OQ89" s="68"/>
      <c r="OR89" s="68"/>
      <c r="OS89" s="68"/>
      <c r="OT89" s="68"/>
      <c r="OU89" s="68"/>
      <c r="OV89" s="68"/>
      <c r="OW89" s="68"/>
      <c r="OX89" s="68"/>
      <c r="OY89" s="68"/>
      <c r="OZ89" s="68"/>
      <c r="PA89" s="68"/>
      <c r="PB89" s="68"/>
      <c r="PC89" s="68"/>
      <c r="PD89" s="68"/>
      <c r="PE89" s="68"/>
      <c r="PF89" s="68"/>
      <c r="PG89" s="68"/>
      <c r="PH89" s="68"/>
      <c r="PI89" s="68"/>
      <c r="PJ89" s="68"/>
      <c r="PK89" s="68"/>
      <c r="PL89" s="68"/>
      <c r="PM89" s="68"/>
      <c r="PN89" s="68"/>
      <c r="PO89" s="68"/>
      <c r="PP89" s="68"/>
      <c r="PQ89" s="68"/>
      <c r="PR89" s="68"/>
      <c r="PS89" s="68"/>
      <c r="PT89" s="68"/>
      <c r="PU89" s="68"/>
      <c r="PV89" s="68"/>
      <c r="PW89" s="68"/>
      <c r="PX89" s="68"/>
      <c r="PY89" s="68"/>
      <c r="PZ89" s="68"/>
      <c r="QA89" s="68"/>
      <c r="QB89" s="68"/>
      <c r="QC89" s="68"/>
      <c r="QD89" s="68"/>
      <c r="QE89" s="68"/>
      <c r="QF89" s="68"/>
      <c r="QG89" s="68"/>
      <c r="QH89" s="68"/>
      <c r="QI89" s="68"/>
      <c r="QJ89" s="68"/>
      <c r="QK89" s="68"/>
      <c r="QL89" s="68"/>
      <c r="QM89" s="68"/>
      <c r="QN89" s="68"/>
      <c r="QO89" s="68"/>
      <c r="QP89" s="68"/>
      <c r="QQ89" s="68"/>
      <c r="QR89" s="68"/>
      <c r="QS89" s="68"/>
      <c r="QT89" s="68"/>
      <c r="QU89" s="68"/>
      <c r="QV89" s="68"/>
      <c r="QW89" s="68"/>
      <c r="QX89" s="68"/>
      <c r="QY89" s="68"/>
      <c r="QZ89" s="68"/>
      <c r="RA89" s="68"/>
      <c r="RB89" s="68"/>
      <c r="RC89" s="68"/>
      <c r="RD89" s="68"/>
      <c r="RE89" s="68"/>
      <c r="RF89" s="68"/>
      <c r="RG89" s="68"/>
      <c r="RH89" s="68"/>
      <c r="RI89" s="68"/>
      <c r="RJ89" s="68"/>
      <c r="RK89" s="68"/>
      <c r="RL89" s="68"/>
      <c r="RM89" s="68"/>
      <c r="RN89" s="68"/>
      <c r="RO89" s="68"/>
      <c r="RP89" s="68"/>
      <c r="RQ89" s="68"/>
      <c r="RR89" s="68"/>
      <c r="RS89" s="68"/>
      <c r="RT89" s="68"/>
      <c r="RU89" s="68"/>
      <c r="RV89" s="68"/>
      <c r="RW89" s="68"/>
      <c r="RX89" s="68"/>
      <c r="RY89" s="68"/>
      <c r="RZ89" s="68"/>
      <c r="SA89" s="68"/>
      <c r="SB89" s="68"/>
      <c r="SC89" s="68"/>
      <c r="SD89" s="68"/>
      <c r="SE89" s="68"/>
      <c r="SF89" s="68"/>
      <c r="SG89" s="68"/>
      <c r="SH89" s="68"/>
      <c r="SI89" s="68"/>
      <c r="SJ89" s="68"/>
      <c r="SK89" s="68"/>
      <c r="SL89" s="68"/>
      <c r="SM89" s="68"/>
      <c r="SN89" s="68"/>
      <c r="SO89" s="68"/>
      <c r="SP89" s="68"/>
      <c r="SQ89" s="68"/>
      <c r="SR89" s="68"/>
      <c r="SS89" s="68"/>
      <c r="ST89" s="68"/>
      <c r="SU89" s="68"/>
      <c r="SV89" s="68"/>
      <c r="SW89" s="68"/>
      <c r="SX89" s="68"/>
      <c r="SY89" s="68"/>
      <c r="SZ89" s="68"/>
      <c r="TA89" s="68"/>
      <c r="TB89" s="68"/>
      <c r="TC89" s="68"/>
      <c r="TD89" s="68"/>
      <c r="TE89" s="68"/>
      <c r="TF89" s="68"/>
      <c r="TG89" s="68"/>
      <c r="TH89" s="68"/>
      <c r="TI89" s="68"/>
      <c r="TJ89" s="68"/>
      <c r="TK89" s="68"/>
      <c r="TL89" s="68"/>
      <c r="TM89" s="68"/>
      <c r="TN89" s="68"/>
      <c r="TO89" s="68"/>
      <c r="TP89" s="68"/>
      <c r="TQ89" s="68"/>
      <c r="TR89" s="68"/>
      <c r="TS89" s="68"/>
      <c r="TT89" s="68"/>
      <c r="TU89" s="68"/>
      <c r="TV89" s="68"/>
      <c r="TW89" s="68"/>
      <c r="TX89" s="68"/>
      <c r="TY89" s="68"/>
      <c r="TZ89" s="68"/>
      <c r="UA89" s="68"/>
      <c r="UB89" s="68"/>
      <c r="UC89" s="68"/>
      <c r="UD89" s="68"/>
      <c r="UE89" s="68"/>
      <c r="UF89" s="68"/>
      <c r="UG89" s="68"/>
      <c r="UH89" s="68"/>
      <c r="UI89" s="68"/>
      <c r="UJ89" s="68"/>
      <c r="UK89" s="68"/>
      <c r="UL89" s="68"/>
      <c r="UM89" s="68"/>
      <c r="UN89" s="68"/>
      <c r="UO89" s="68"/>
      <c r="UP89" s="68"/>
      <c r="UQ89" s="68"/>
      <c r="UR89" s="68"/>
      <c r="US89" s="68"/>
      <c r="UT89" s="68"/>
      <c r="UU89" s="68"/>
      <c r="UV89" s="68"/>
      <c r="UW89" s="68"/>
      <c r="UX89" s="68"/>
      <c r="UY89" s="68"/>
      <c r="UZ89" s="68"/>
      <c r="VA89" s="68"/>
      <c r="VB89" s="68"/>
      <c r="VC89" s="68"/>
      <c r="VD89" s="68"/>
      <c r="VE89" s="68"/>
      <c r="VF89" s="68"/>
      <c r="VG89" s="68"/>
      <c r="VH89" s="68"/>
      <c r="VI89" s="68"/>
      <c r="VJ89" s="68"/>
      <c r="VK89" s="68"/>
      <c r="VL89" s="68"/>
      <c r="VM89" s="68"/>
      <c r="VN89" s="68"/>
      <c r="VO89" s="68"/>
      <c r="VP89" s="68"/>
      <c r="VQ89" s="68"/>
      <c r="VR89" s="68"/>
      <c r="VS89" s="68"/>
      <c r="VT89" s="68"/>
      <c r="VU89" s="68"/>
      <c r="VV89" s="68"/>
      <c r="VW89" s="68"/>
      <c r="VX89" s="68"/>
      <c r="VY89" s="68"/>
      <c r="VZ89" s="68"/>
      <c r="WA89" s="68"/>
      <c r="WB89" s="68"/>
      <c r="WC89" s="68"/>
      <c r="WD89" s="68"/>
      <c r="WE89" s="68"/>
      <c r="WF89" s="68"/>
      <c r="WG89" s="68"/>
      <c r="WH89" s="68"/>
      <c r="WI89" s="68"/>
      <c r="WJ89" s="68"/>
      <c r="WK89" s="68"/>
      <c r="WL89" s="68"/>
      <c r="WM89" s="68"/>
      <c r="WN89" s="68"/>
      <c r="WO89" s="68"/>
      <c r="WP89" s="68"/>
      <c r="WQ89" s="68"/>
      <c r="WR89" s="68"/>
      <c r="WS89" s="68"/>
      <c r="WT89" s="68"/>
      <c r="WU89" s="68"/>
      <c r="WV89" s="68"/>
      <c r="WW89" s="68"/>
      <c r="WX89" s="68"/>
      <c r="WY89" s="68"/>
      <c r="WZ89" s="68"/>
      <c r="XA89" s="68"/>
      <c r="XB89" s="68"/>
      <c r="XC89" s="68"/>
      <c r="XD89" s="68"/>
      <c r="XE89" s="68"/>
      <c r="XF89" s="68"/>
      <c r="XG89" s="68"/>
      <c r="XH89" s="68"/>
      <c r="XI89" s="68"/>
      <c r="XJ89" s="68"/>
      <c r="XK89" s="68"/>
      <c r="XL89" s="68"/>
      <c r="XM89" s="68"/>
      <c r="XN89" s="68"/>
      <c r="XO89" s="68"/>
      <c r="XP89" s="68"/>
      <c r="XQ89" s="68"/>
      <c r="XR89" s="68"/>
      <c r="XS89" s="68"/>
      <c r="XT89" s="68"/>
      <c r="XU89" s="68"/>
      <c r="XV89" s="68"/>
      <c r="XW89" s="68"/>
      <c r="XX89" s="68"/>
      <c r="XY89" s="68"/>
      <c r="XZ89" s="68"/>
      <c r="YA89" s="68"/>
      <c r="YB89" s="68"/>
      <c r="YC89" s="68"/>
      <c r="YD89" s="68"/>
      <c r="YE89" s="68"/>
      <c r="YF89" s="68"/>
      <c r="YG89" s="68"/>
      <c r="YH89" s="68"/>
      <c r="YI89" s="68"/>
      <c r="YJ89" s="68"/>
      <c r="YK89" s="68"/>
      <c r="YL89" s="68"/>
      <c r="YM89" s="68"/>
      <c r="YN89" s="68"/>
      <c r="YO89" s="68"/>
      <c r="YP89" s="68"/>
      <c r="YQ89" s="68"/>
      <c r="YR89" s="68"/>
      <c r="YS89" s="68"/>
      <c r="YT89" s="68"/>
      <c r="YU89" s="68"/>
      <c r="YV89" s="68"/>
      <c r="YW89" s="68"/>
      <c r="YX89" s="68"/>
      <c r="YY89" s="68"/>
      <c r="YZ89" s="68"/>
      <c r="ZA89" s="68"/>
      <c r="ZB89" s="68"/>
      <c r="ZC89" s="68"/>
      <c r="ZD89" s="68"/>
      <c r="ZE89" s="68"/>
      <c r="ZF89" s="68"/>
      <c r="ZG89" s="68"/>
      <c r="ZH89" s="68"/>
      <c r="ZI89" s="68"/>
      <c r="ZJ89" s="68"/>
      <c r="ZK89" s="68"/>
      <c r="ZL89" s="68"/>
      <c r="ZM89" s="68"/>
      <c r="ZN89" s="68"/>
      <c r="ZO89" s="68"/>
      <c r="ZP89" s="68"/>
      <c r="ZQ89" s="68"/>
      <c r="ZR89" s="68"/>
      <c r="ZS89" s="68"/>
      <c r="ZT89" s="68"/>
      <c r="ZU89" s="68"/>
      <c r="ZV89" s="68"/>
      <c r="ZW89" s="68"/>
      <c r="ZX89" s="68"/>
      <c r="ZY89" s="68"/>
      <c r="ZZ89" s="68"/>
      <c r="AAA89" s="68"/>
      <c r="AAB89" s="68"/>
      <c r="AAC89" s="68"/>
      <c r="AAD89" s="68"/>
      <c r="AAE89" s="68"/>
      <c r="AAF89" s="68"/>
      <c r="AAG89" s="68"/>
      <c r="AAH89" s="68"/>
      <c r="AAI89" s="68"/>
      <c r="AAJ89" s="68"/>
      <c r="AAK89" s="68"/>
      <c r="AAL89" s="68"/>
      <c r="AAM89" s="68"/>
      <c r="AAN89" s="68"/>
      <c r="AAO89" s="68"/>
      <c r="AAP89" s="68"/>
      <c r="AAQ89" s="68"/>
      <c r="AAR89" s="68"/>
      <c r="AAS89" s="68"/>
      <c r="AAT89" s="68"/>
      <c r="AAU89" s="68"/>
      <c r="AAV89" s="68"/>
      <c r="AAW89" s="68"/>
      <c r="AAX89" s="68"/>
      <c r="AAY89" s="68"/>
      <c r="AAZ89" s="68"/>
      <c r="ABA89" s="68"/>
      <c r="ABB89" s="68"/>
      <c r="ABC89" s="68"/>
      <c r="ABD89" s="68"/>
      <c r="ABE89" s="68"/>
      <c r="ABF89" s="68"/>
      <c r="ABG89" s="68"/>
      <c r="ABH89" s="68"/>
      <c r="ABI89" s="68"/>
      <c r="ABJ89" s="68"/>
      <c r="ABK89" s="68"/>
      <c r="ABL89" s="68"/>
      <c r="ABM89" s="68"/>
      <c r="ABN89" s="68"/>
      <c r="ABO89" s="68"/>
      <c r="ABP89" s="68"/>
      <c r="ABQ89" s="68"/>
      <c r="ABR89" s="68"/>
      <c r="ABS89" s="68"/>
      <c r="ABT89" s="68"/>
      <c r="ABU89" s="68"/>
      <c r="ABV89" s="68"/>
      <c r="ABW89" s="68"/>
      <c r="ABX89" s="68"/>
      <c r="ABY89" s="68"/>
      <c r="ABZ89" s="68"/>
      <c r="ACA89" s="68"/>
      <c r="ACB89" s="68"/>
      <c r="ACC89" s="68"/>
      <c r="ACD89" s="68"/>
      <c r="ACE89" s="68"/>
      <c r="ACF89" s="68"/>
      <c r="ACG89" s="68"/>
      <c r="ACH89" s="68"/>
      <c r="ACI89" s="68"/>
      <c r="ACJ89" s="68"/>
      <c r="ACK89" s="68"/>
      <c r="ACL89" s="68"/>
      <c r="ACM89" s="68"/>
      <c r="ACN89" s="68"/>
      <c r="ACO89" s="68"/>
      <c r="ACP89" s="68"/>
      <c r="ACQ89" s="68"/>
      <c r="ACR89" s="68"/>
      <c r="ACS89" s="68"/>
      <c r="ACT89" s="68"/>
      <c r="ACU89" s="68"/>
      <c r="ACV89" s="68"/>
      <c r="ACW89" s="68"/>
      <c r="ACX89" s="68"/>
      <c r="ACY89" s="68"/>
      <c r="ACZ89" s="68"/>
      <c r="ADA89" s="68"/>
      <c r="ADB89" s="68"/>
      <c r="ADC89" s="68"/>
      <c r="ADD89" s="68"/>
      <c r="ADE89" s="68"/>
      <c r="ADF89" s="68"/>
      <c r="ADG89" s="68"/>
      <c r="ADH89" s="68"/>
      <c r="ADI89" s="68"/>
      <c r="ADJ89" s="68"/>
      <c r="ADK89" s="68"/>
      <c r="ADL89" s="68"/>
      <c r="ADM89" s="68"/>
      <c r="ADN89" s="68"/>
      <c r="ADO89" s="68"/>
      <c r="ADP89" s="68"/>
      <c r="ADQ89" s="68"/>
      <c r="ADR89" s="68"/>
      <c r="ADS89" s="68"/>
      <c r="ADT89" s="68"/>
      <c r="ADU89" s="68"/>
      <c r="ADV89" s="68"/>
      <c r="ADW89" s="68"/>
      <c r="ADX89" s="68"/>
      <c r="ADY89" s="68"/>
      <c r="ADZ89" s="68"/>
      <c r="AEA89" s="68"/>
      <c r="AEB89" s="68"/>
      <c r="AEC89" s="68"/>
      <c r="AED89" s="68"/>
      <c r="AEE89" s="68"/>
      <c r="AEF89" s="68"/>
      <c r="AEG89" s="68"/>
      <c r="AEH89" s="68"/>
      <c r="AEI89" s="68"/>
      <c r="AEJ89" s="68"/>
      <c r="AEK89" s="68"/>
      <c r="AEL89" s="68"/>
      <c r="AEM89" s="68"/>
      <c r="AEN89" s="68"/>
      <c r="AEO89" s="68"/>
      <c r="AEP89" s="68"/>
      <c r="AEQ89" s="68"/>
      <c r="AER89" s="68"/>
      <c r="AES89" s="68"/>
      <c r="AET89" s="68"/>
      <c r="AEU89" s="68"/>
      <c r="AEV89" s="68"/>
      <c r="AEW89" s="68"/>
      <c r="AEX89" s="68"/>
      <c r="AEY89" s="68"/>
      <c r="AEZ89" s="68"/>
      <c r="AFA89" s="68"/>
      <c r="AFB89" s="68"/>
      <c r="AFC89" s="68"/>
      <c r="AFD89" s="68"/>
      <c r="AFE89" s="68"/>
      <c r="AFF89" s="68"/>
      <c r="AFG89" s="68"/>
      <c r="AFH89" s="68"/>
      <c r="AFI89" s="68"/>
      <c r="AFJ89" s="68"/>
      <c r="AFK89" s="68"/>
      <c r="AFL89" s="68"/>
      <c r="AFM89" s="68"/>
      <c r="AFN89" s="68"/>
      <c r="AFO89" s="68"/>
      <c r="AFP89" s="68"/>
      <c r="AFQ89" s="68"/>
      <c r="AFR89" s="68"/>
      <c r="AFS89" s="68"/>
      <c r="AFT89" s="68"/>
      <c r="AFU89" s="68"/>
      <c r="AFV89" s="68"/>
      <c r="AFW89" s="68"/>
      <c r="AFX89" s="68"/>
      <c r="AFY89" s="68"/>
      <c r="AFZ89" s="68"/>
      <c r="AGA89" s="68"/>
      <c r="AGB89" s="68"/>
      <c r="AGC89" s="68"/>
      <c r="AGD89" s="68"/>
      <c r="AGE89" s="68"/>
      <c r="AGF89" s="68"/>
      <c r="AGG89" s="68"/>
      <c r="AGH89" s="68"/>
      <c r="AGI89" s="68"/>
      <c r="AGJ89" s="68"/>
      <c r="AGK89" s="68"/>
      <c r="AGL89" s="68"/>
      <c r="AGM89" s="68"/>
      <c r="AGN89" s="68"/>
      <c r="AGO89" s="68"/>
      <c r="AGP89" s="68"/>
      <c r="AGQ89" s="68"/>
      <c r="AGR89" s="68"/>
      <c r="AGS89" s="68"/>
      <c r="AGT89" s="68"/>
      <c r="AGU89" s="68"/>
      <c r="AGV89" s="68"/>
      <c r="AGW89" s="68"/>
      <c r="AGX89" s="68"/>
      <c r="AGY89" s="68"/>
      <c r="AGZ89" s="68"/>
      <c r="AHA89" s="68"/>
      <c r="AHB89" s="68"/>
      <c r="AHC89" s="68"/>
      <c r="AHD89" s="68"/>
      <c r="AHE89" s="68"/>
      <c r="AHF89" s="68"/>
      <c r="AHG89" s="68"/>
      <c r="AHH89" s="68"/>
      <c r="AHI89" s="68"/>
      <c r="AHJ89" s="68"/>
      <c r="AHK89" s="68"/>
      <c r="AHL89" s="68"/>
      <c r="AHM89" s="68"/>
      <c r="AHN89" s="68"/>
      <c r="AHO89" s="68"/>
      <c r="AHP89" s="68"/>
      <c r="AHQ89" s="68"/>
      <c r="AHR89" s="68"/>
      <c r="AHS89" s="68"/>
      <c r="AHT89" s="68"/>
      <c r="AHU89" s="68"/>
      <c r="AHV89" s="68"/>
      <c r="AHW89" s="68"/>
      <c r="AHX89" s="68"/>
      <c r="AHY89" s="68"/>
      <c r="AHZ89" s="68"/>
      <c r="AIA89" s="68"/>
      <c r="AIB89" s="68"/>
      <c r="AIC89" s="68"/>
      <c r="AID89" s="68"/>
      <c r="AIE89" s="68"/>
      <c r="AIF89" s="68"/>
      <c r="AIG89" s="68"/>
      <c r="AIH89" s="68"/>
      <c r="AII89" s="68"/>
      <c r="AIJ89" s="68"/>
      <c r="AIK89" s="68"/>
      <c r="AIL89" s="68"/>
      <c r="AIM89" s="68"/>
      <c r="AIN89" s="68"/>
      <c r="AIO89" s="68"/>
      <c r="AIP89" s="68"/>
      <c r="AIQ89" s="68"/>
      <c r="AIR89" s="68"/>
      <c r="AIS89" s="68"/>
      <c r="AIT89" s="68"/>
      <c r="AIU89" s="68"/>
      <c r="AIV89" s="68"/>
      <c r="AIW89" s="68"/>
      <c r="AIX89" s="68"/>
      <c r="AIY89" s="68"/>
      <c r="AIZ89" s="68"/>
      <c r="AJA89" s="68"/>
      <c r="AJB89" s="68"/>
      <c r="AJC89" s="68"/>
      <c r="AJD89" s="68"/>
      <c r="AJE89" s="68"/>
      <c r="AJF89" s="68"/>
      <c r="AJG89" s="68"/>
      <c r="AJH89" s="68"/>
      <c r="AJI89" s="68"/>
      <c r="AJJ89" s="68"/>
      <c r="AJK89" s="68"/>
      <c r="AJL89" s="68"/>
      <c r="AJM89" s="68"/>
      <c r="AJN89" s="68"/>
      <c r="AJO89" s="68"/>
      <c r="AJP89" s="68"/>
      <c r="AJQ89" s="68"/>
      <c r="AJR89" s="68"/>
      <c r="AJS89" s="68"/>
      <c r="AJT89" s="68"/>
      <c r="AJU89" s="68"/>
      <c r="AJV89" s="68"/>
      <c r="AJW89" s="68"/>
      <c r="AJX89" s="68"/>
      <c r="AJY89" s="68"/>
      <c r="AJZ89" s="68"/>
      <c r="AKA89" s="68"/>
      <c r="AKB89" s="68"/>
      <c r="AKC89" s="68"/>
      <c r="AKD89" s="68"/>
      <c r="AKE89" s="68"/>
      <c r="AKF89" s="68"/>
      <c r="AKG89" s="68"/>
      <c r="AKH89" s="68"/>
      <c r="AKI89" s="68"/>
      <c r="AKJ89" s="68"/>
      <c r="AKK89" s="68"/>
      <c r="AKL89" s="68"/>
      <c r="AKM89" s="68"/>
      <c r="AKN89" s="68"/>
      <c r="AKO89" s="68"/>
      <c r="AKP89" s="68"/>
      <c r="AKQ89" s="68"/>
      <c r="AKR89" s="68"/>
      <c r="AKS89" s="68"/>
      <c r="AKT89" s="68"/>
      <c r="AKU89" s="68"/>
      <c r="AKV89" s="68"/>
      <c r="AKW89" s="68"/>
      <c r="AKX89" s="68"/>
      <c r="AKY89" s="68"/>
      <c r="AKZ89" s="68"/>
      <c r="ALA89" s="68"/>
      <c r="ALB89" s="68"/>
      <c r="ALC89" s="68"/>
      <c r="ALD89" s="68"/>
      <c r="ALE89" s="68"/>
      <c r="ALF89" s="68"/>
      <c r="ALG89" s="68"/>
      <c r="ALH89" s="68"/>
      <c r="ALI89" s="68"/>
      <c r="ALJ89" s="68"/>
      <c r="ALK89" s="68"/>
      <c r="ALL89" s="68"/>
      <c r="ALM89" s="68"/>
      <c r="ALN89" s="68"/>
      <c r="ALO89" s="68"/>
      <c r="ALP89" s="68"/>
      <c r="ALQ89" s="68"/>
      <c r="ALR89" s="68"/>
      <c r="ALS89" s="68"/>
      <c r="ALT89" s="68"/>
      <c r="ALU89" s="68"/>
      <c r="ALV89" s="68"/>
      <c r="ALW89" s="68"/>
      <c r="ALX89" s="68"/>
      <c r="ALY89" s="68"/>
      <c r="ALZ89" s="68"/>
      <c r="AMA89" s="68"/>
      <c r="AMB89" s="68"/>
      <c r="AMC89" s="68"/>
      <c r="AMD89" s="68"/>
      <c r="AME89" s="68"/>
      <c r="AMF89" s="68"/>
      <c r="AMG89" s="68"/>
      <c r="AMH89" s="68"/>
      <c r="AMI89" s="68"/>
      <c r="AMJ89" s="68"/>
      <c r="AMK89" s="68"/>
      <c r="AML89" s="68"/>
      <c r="AMM89" s="68"/>
      <c r="AMN89" s="68"/>
      <c r="AMO89" s="68"/>
      <c r="AMP89" s="68"/>
      <c r="AMQ89" s="68"/>
      <c r="AMR89" s="68"/>
      <c r="AMS89" s="68"/>
      <c r="AMT89" s="68"/>
      <c r="AMU89" s="68"/>
      <c r="AMV89" s="68"/>
      <c r="AMW89" s="68"/>
      <c r="AMX89" s="68"/>
      <c r="AMY89" s="68"/>
      <c r="AMZ89" s="68"/>
      <c r="ANA89" s="68"/>
      <c r="ANB89" s="68"/>
      <c r="ANC89" s="68"/>
      <c r="AND89" s="68"/>
      <c r="ANE89" s="68"/>
      <c r="ANF89" s="68"/>
      <c r="ANG89" s="68"/>
      <c r="ANH89" s="68"/>
      <c r="ANI89" s="68"/>
      <c r="ANJ89" s="68"/>
      <c r="ANK89" s="68"/>
      <c r="ANL89" s="68"/>
      <c r="ANM89" s="68"/>
      <c r="ANN89" s="68"/>
      <c r="ANO89" s="68"/>
      <c r="ANP89" s="68"/>
      <c r="ANQ89" s="68"/>
      <c r="ANR89" s="68"/>
      <c r="ANS89" s="68"/>
      <c r="ANT89" s="68"/>
      <c r="ANU89" s="68"/>
      <c r="ANV89" s="68"/>
      <c r="ANW89" s="68"/>
      <c r="ANX89" s="68"/>
      <c r="ANY89" s="68"/>
      <c r="ANZ89" s="68"/>
      <c r="AOA89" s="68"/>
      <c r="AOB89" s="68"/>
      <c r="AOC89" s="68"/>
      <c r="AOD89" s="68"/>
      <c r="AOE89" s="68"/>
      <c r="AOF89" s="68"/>
      <c r="AOG89" s="68"/>
      <c r="AOH89" s="68"/>
      <c r="AOI89" s="68"/>
      <c r="AOJ89" s="68"/>
      <c r="AOK89" s="68"/>
      <c r="AOL89" s="68"/>
      <c r="AOM89" s="68"/>
      <c r="AON89" s="68"/>
      <c r="AOO89" s="68"/>
      <c r="AOP89" s="68"/>
      <c r="AOQ89" s="68"/>
      <c r="AOR89" s="68"/>
      <c r="AOS89" s="68"/>
      <c r="AOT89" s="68"/>
      <c r="AOU89" s="68"/>
      <c r="AOV89" s="68"/>
      <c r="AOW89" s="68"/>
      <c r="AOX89" s="68"/>
      <c r="AOY89" s="68"/>
      <c r="AOZ89" s="68"/>
      <c r="APA89" s="68"/>
      <c r="APB89" s="68"/>
      <c r="APC89" s="68"/>
      <c r="APD89" s="68"/>
      <c r="APE89" s="68"/>
      <c r="APF89" s="68"/>
      <c r="APG89" s="68"/>
      <c r="APH89" s="68"/>
      <c r="API89" s="68"/>
      <c r="APJ89" s="68"/>
      <c r="APK89" s="68"/>
      <c r="APL89" s="68"/>
      <c r="APM89" s="68"/>
      <c r="APN89" s="68"/>
      <c r="APO89" s="68"/>
      <c r="APP89" s="68"/>
      <c r="APQ89" s="68"/>
      <c r="APR89" s="68"/>
      <c r="APS89" s="68"/>
      <c r="APT89" s="68"/>
      <c r="APU89" s="68"/>
      <c r="APV89" s="68"/>
      <c r="APW89" s="68"/>
      <c r="APX89" s="68"/>
      <c r="APY89" s="68"/>
      <c r="APZ89" s="68"/>
      <c r="AQA89" s="68"/>
      <c r="AQB89" s="68"/>
      <c r="AQC89" s="68"/>
      <c r="AQD89" s="68"/>
      <c r="AQE89" s="68"/>
      <c r="AQF89" s="68"/>
      <c r="AQG89" s="68"/>
      <c r="AQH89" s="68"/>
      <c r="AQI89" s="68"/>
      <c r="AQJ89" s="68"/>
      <c r="AQK89" s="68"/>
      <c r="AQL89" s="68"/>
      <c r="AQM89" s="68"/>
      <c r="AQN89" s="68"/>
      <c r="AQO89" s="68"/>
      <c r="AQP89" s="68"/>
      <c r="AQQ89" s="68"/>
      <c r="AQR89" s="68"/>
      <c r="AQS89" s="68"/>
      <c r="AQT89" s="68"/>
      <c r="AQU89" s="68"/>
      <c r="AQV89" s="68"/>
      <c r="AQW89" s="68"/>
      <c r="AQX89" s="68"/>
      <c r="AQY89" s="68"/>
      <c r="AQZ89" s="68"/>
      <c r="ARA89" s="68"/>
      <c r="ARB89" s="68"/>
      <c r="ARC89" s="68"/>
      <c r="ARD89" s="68"/>
      <c r="ARE89" s="68"/>
      <c r="ARF89" s="68"/>
      <c r="ARG89" s="68"/>
      <c r="ARH89" s="68"/>
      <c r="ARI89" s="68"/>
      <c r="ARJ89" s="68"/>
      <c r="ARK89" s="68"/>
      <c r="ARL89" s="68"/>
      <c r="ARM89" s="68"/>
      <c r="ARN89" s="68"/>
      <c r="ARO89" s="68"/>
      <c r="ARP89" s="68"/>
      <c r="ARQ89" s="68"/>
      <c r="ARR89" s="68"/>
      <c r="ARS89" s="68"/>
      <c r="ART89" s="68"/>
      <c r="ARU89" s="68"/>
      <c r="ARV89" s="68"/>
      <c r="ARW89" s="68"/>
      <c r="ARX89" s="68"/>
      <c r="ARY89" s="68"/>
      <c r="ARZ89" s="68"/>
      <c r="ASA89" s="68"/>
      <c r="ASB89" s="68"/>
      <c r="ASC89" s="68"/>
      <c r="ASD89" s="68"/>
      <c r="ASE89" s="68"/>
      <c r="ASF89" s="68"/>
      <c r="ASG89" s="68"/>
      <c r="ASH89" s="68"/>
      <c r="ASI89" s="68"/>
      <c r="ASJ89" s="68"/>
      <c r="ASK89" s="68"/>
      <c r="ASL89" s="68"/>
      <c r="ASM89" s="68"/>
      <c r="ASN89" s="68"/>
      <c r="ASO89" s="68"/>
      <c r="ASP89" s="68"/>
      <c r="ASQ89" s="68"/>
      <c r="ASR89" s="68"/>
      <c r="ASS89" s="68"/>
      <c r="AST89" s="68"/>
      <c r="ASU89" s="68"/>
      <c r="ASV89" s="68"/>
      <c r="ASW89" s="68"/>
      <c r="ASX89" s="68"/>
      <c r="ASY89" s="68"/>
      <c r="ASZ89" s="68"/>
      <c r="ATA89" s="68"/>
      <c r="ATB89" s="68"/>
      <c r="ATC89" s="68"/>
      <c r="ATD89" s="68"/>
      <c r="ATE89" s="68"/>
      <c r="ATF89" s="68"/>
      <c r="ATG89" s="68"/>
      <c r="ATH89" s="68"/>
      <c r="ATI89" s="68"/>
      <c r="ATJ89" s="68"/>
      <c r="ATK89" s="68"/>
      <c r="ATL89" s="68"/>
      <c r="ATM89" s="68"/>
      <c r="ATN89" s="68"/>
      <c r="ATO89" s="68"/>
      <c r="ATP89" s="68"/>
      <c r="ATQ89" s="68"/>
      <c r="ATR89" s="68"/>
      <c r="ATS89" s="68"/>
      <c r="ATT89" s="68"/>
      <c r="ATU89" s="68"/>
      <c r="ATV89" s="68"/>
      <c r="ATW89" s="68"/>
      <c r="ATX89" s="68"/>
      <c r="ATY89" s="68"/>
      <c r="ATZ89" s="68"/>
      <c r="AUA89" s="68"/>
      <c r="AUB89" s="68"/>
      <c r="AUC89" s="68"/>
      <c r="AUD89" s="68"/>
      <c r="AUE89" s="68"/>
      <c r="AUF89" s="68"/>
      <c r="AUG89" s="68"/>
      <c r="AUH89" s="68"/>
      <c r="AUI89" s="68"/>
      <c r="AUJ89" s="68"/>
      <c r="AUK89" s="68"/>
      <c r="AUL89" s="68"/>
      <c r="AUM89" s="68"/>
      <c r="AUN89" s="68"/>
      <c r="AUO89" s="68"/>
      <c r="AUP89" s="68"/>
      <c r="AUQ89" s="68"/>
      <c r="AUR89" s="68"/>
      <c r="AUS89" s="68"/>
      <c r="AUT89" s="68"/>
      <c r="AUU89" s="68"/>
      <c r="AUV89" s="68"/>
      <c r="AUW89" s="68"/>
      <c r="AUX89" s="68"/>
      <c r="AUY89" s="68"/>
      <c r="AUZ89" s="68"/>
      <c r="AVA89" s="68"/>
      <c r="AVB89" s="68"/>
      <c r="AVC89" s="68"/>
      <c r="AVD89" s="68"/>
      <c r="AVE89" s="68"/>
      <c r="AVF89" s="68"/>
      <c r="AVG89" s="68"/>
      <c r="AVH89" s="68"/>
      <c r="AVI89" s="68"/>
      <c r="AVJ89" s="68"/>
      <c r="AVK89" s="68"/>
      <c r="AVL89" s="68"/>
      <c r="AVM89" s="68"/>
      <c r="AVN89" s="68"/>
      <c r="AVO89" s="68"/>
      <c r="AVP89" s="68"/>
      <c r="AVQ89" s="68"/>
      <c r="AVR89" s="68"/>
      <c r="AVS89" s="68"/>
      <c r="AVT89" s="68"/>
      <c r="AVU89" s="68"/>
      <c r="AVV89" s="68"/>
      <c r="AVW89" s="68"/>
      <c r="AVX89" s="68"/>
      <c r="AVY89" s="68"/>
      <c r="AVZ89" s="68"/>
      <c r="AWA89" s="68"/>
      <c r="AWB89" s="68"/>
      <c r="AWC89" s="68"/>
      <c r="AWD89" s="68"/>
      <c r="AWE89" s="68"/>
      <c r="AWF89" s="68"/>
      <c r="AWG89" s="68"/>
      <c r="AWH89" s="68"/>
      <c r="AWI89" s="68"/>
      <c r="AWJ89" s="68"/>
      <c r="AWK89" s="68"/>
      <c r="AWL89" s="68"/>
      <c r="AWM89" s="68"/>
      <c r="AWN89" s="68"/>
      <c r="AWO89" s="68"/>
      <c r="AWP89" s="68"/>
      <c r="AWQ89" s="68"/>
      <c r="AWR89" s="68"/>
      <c r="AWS89" s="68"/>
      <c r="AWT89" s="68"/>
      <c r="AWU89" s="68"/>
      <c r="AWV89" s="68"/>
      <c r="AWW89" s="68"/>
      <c r="AWX89" s="68"/>
      <c r="AWY89" s="68"/>
      <c r="AWZ89" s="68"/>
      <c r="AXA89" s="68"/>
      <c r="AXB89" s="68"/>
      <c r="AXC89" s="68"/>
      <c r="AXD89" s="68"/>
      <c r="AXE89" s="68"/>
      <c r="AXF89" s="68"/>
      <c r="AXG89" s="68"/>
      <c r="AXH89" s="68"/>
      <c r="AXI89" s="68"/>
      <c r="AXJ89" s="68"/>
      <c r="AXK89" s="68"/>
      <c r="AXL89" s="68"/>
      <c r="AXM89" s="68"/>
      <c r="AXN89" s="68"/>
      <c r="AXO89" s="68"/>
      <c r="AXP89" s="68"/>
      <c r="AXQ89" s="68"/>
      <c r="AXR89" s="68"/>
      <c r="AXS89" s="68"/>
      <c r="AXT89" s="68"/>
      <c r="AXU89" s="68"/>
      <c r="AXV89" s="68"/>
      <c r="AXW89" s="68"/>
      <c r="AXX89" s="68"/>
      <c r="AXY89" s="68"/>
      <c r="AXZ89" s="68"/>
      <c r="AYA89" s="68"/>
      <c r="AYB89" s="68"/>
      <c r="AYC89" s="68"/>
      <c r="AYD89" s="68"/>
      <c r="AYE89" s="68"/>
      <c r="AYF89" s="68"/>
      <c r="AYG89" s="68"/>
      <c r="AYH89" s="68"/>
      <c r="AYI89" s="68"/>
      <c r="AYJ89" s="68"/>
      <c r="AYK89" s="68"/>
      <c r="AYL89" s="68"/>
      <c r="AYM89" s="68"/>
      <c r="AYN89" s="68"/>
      <c r="AYO89" s="68"/>
      <c r="AYP89" s="68"/>
      <c r="AYQ89" s="68"/>
      <c r="AYR89" s="68"/>
      <c r="AYS89" s="68"/>
      <c r="AYT89" s="68"/>
      <c r="AYU89" s="68"/>
      <c r="AYV89" s="68"/>
      <c r="AYW89" s="68"/>
      <c r="AYX89" s="68"/>
      <c r="AYY89" s="68"/>
      <c r="AYZ89" s="68"/>
      <c r="AZA89" s="68"/>
      <c r="AZB89" s="68"/>
      <c r="AZC89" s="68"/>
      <c r="AZD89" s="68"/>
      <c r="AZE89" s="68"/>
      <c r="AZF89" s="68"/>
      <c r="AZG89" s="68"/>
      <c r="AZH89" s="68"/>
      <c r="AZI89" s="68"/>
      <c r="AZJ89" s="68"/>
      <c r="AZK89" s="68"/>
      <c r="AZL89" s="68"/>
      <c r="AZM89" s="68"/>
      <c r="AZN89" s="68"/>
      <c r="AZO89" s="68"/>
      <c r="AZP89" s="68"/>
      <c r="AZQ89" s="68"/>
      <c r="AZR89" s="68"/>
      <c r="AZS89" s="68"/>
      <c r="AZT89" s="68"/>
      <c r="AZU89" s="68"/>
      <c r="AZV89" s="68"/>
      <c r="AZW89" s="68"/>
      <c r="AZX89" s="68"/>
      <c r="AZY89" s="68"/>
      <c r="AZZ89" s="68"/>
      <c r="BAA89" s="68"/>
      <c r="BAB89" s="68"/>
      <c r="BAC89" s="68"/>
      <c r="BAD89" s="68"/>
      <c r="BAE89" s="68"/>
      <c r="BAF89" s="68"/>
      <c r="BAG89" s="68"/>
      <c r="BAH89" s="68"/>
      <c r="BAI89" s="68"/>
      <c r="BAJ89" s="68"/>
      <c r="BAK89" s="68"/>
      <c r="BAL89" s="68"/>
      <c r="BAM89" s="68"/>
      <c r="BAN89" s="68"/>
      <c r="BAO89" s="68"/>
      <c r="BAP89" s="68"/>
      <c r="BAQ89" s="68"/>
      <c r="BAR89" s="68"/>
      <c r="BAS89" s="68"/>
      <c r="BAT89" s="68"/>
      <c r="BAU89" s="68"/>
      <c r="BAV89" s="68"/>
      <c r="BAW89" s="68"/>
      <c r="BAX89" s="68"/>
      <c r="BAY89" s="68"/>
      <c r="BAZ89" s="68"/>
      <c r="BBA89" s="68"/>
      <c r="BBB89" s="68"/>
      <c r="BBC89" s="68"/>
      <c r="BBD89" s="68"/>
      <c r="BBE89" s="68"/>
      <c r="BBF89" s="68"/>
      <c r="BBG89" s="68"/>
      <c r="BBH89" s="68"/>
      <c r="BBI89" s="68"/>
      <c r="BBJ89" s="68"/>
      <c r="BBK89" s="68"/>
      <c r="BBL89" s="68"/>
      <c r="BBM89" s="68"/>
      <c r="BBN89" s="68"/>
      <c r="BBO89" s="68"/>
      <c r="BBP89" s="68"/>
      <c r="BBQ89" s="68"/>
      <c r="BBR89" s="68"/>
      <c r="BBS89" s="68"/>
      <c r="BBT89" s="68"/>
      <c r="BBU89" s="68"/>
      <c r="BBV89" s="68"/>
      <c r="BBW89" s="68"/>
      <c r="BBX89" s="68"/>
      <c r="BBY89" s="68"/>
      <c r="BBZ89" s="68"/>
      <c r="BCA89" s="68"/>
      <c r="BCB89" s="68"/>
      <c r="BCC89" s="68"/>
      <c r="BCD89" s="68"/>
      <c r="BCE89" s="68"/>
      <c r="BCF89" s="68"/>
      <c r="BCG89" s="68"/>
      <c r="BCH89" s="68"/>
      <c r="BCI89" s="68"/>
      <c r="BCJ89" s="68"/>
      <c r="BCK89" s="68"/>
      <c r="BCL89" s="68"/>
      <c r="BCM89" s="68"/>
      <c r="BCN89" s="68"/>
      <c r="BCO89" s="68"/>
      <c r="BCP89" s="68"/>
      <c r="BCQ89" s="68"/>
      <c r="BCR89" s="68"/>
      <c r="BCS89" s="68"/>
      <c r="BCT89" s="68"/>
      <c r="BCU89" s="68"/>
      <c r="BCV89" s="68"/>
      <c r="BCW89" s="68"/>
      <c r="BCX89" s="68"/>
      <c r="BCY89" s="68"/>
      <c r="BCZ89" s="68"/>
      <c r="BDA89" s="68"/>
    </row>
    <row r="90" spans="1:1458" s="67" customFormat="1" ht="54" customHeight="1" x14ac:dyDescent="0.25">
      <c r="A90" s="49">
        <v>8</v>
      </c>
      <c r="B90" s="71" t="s">
        <v>728</v>
      </c>
      <c r="C90" s="71" t="s">
        <v>729</v>
      </c>
      <c r="D90" s="71" t="s">
        <v>708</v>
      </c>
      <c r="E90" s="71" t="s">
        <v>709</v>
      </c>
      <c r="F90" s="51">
        <v>6836550</v>
      </c>
      <c r="G90" s="70" t="s">
        <v>574</v>
      </c>
      <c r="H90" s="42" t="s">
        <v>664</v>
      </c>
      <c r="I90" s="71" t="s">
        <v>725</v>
      </c>
      <c r="J90" s="71" t="s">
        <v>60</v>
      </c>
      <c r="K90" s="71" t="s">
        <v>341</v>
      </c>
      <c r="L90" s="73">
        <v>6836550</v>
      </c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  <c r="BW90" s="68"/>
      <c r="BX90" s="68"/>
      <c r="BY90" s="68"/>
      <c r="BZ90" s="68"/>
      <c r="CA90" s="68"/>
      <c r="CB90" s="68"/>
      <c r="CC90" s="68"/>
      <c r="CD90" s="68"/>
      <c r="CE90" s="68"/>
      <c r="CF90" s="68"/>
      <c r="CG90" s="68"/>
      <c r="CH90" s="68"/>
      <c r="CI90" s="68"/>
      <c r="CJ90" s="68"/>
      <c r="CK90" s="68"/>
      <c r="CL90" s="68"/>
      <c r="CM90" s="68"/>
      <c r="CN90" s="68"/>
      <c r="CO90" s="68"/>
      <c r="CP90" s="68"/>
      <c r="CQ90" s="68"/>
      <c r="CR90" s="68"/>
      <c r="CS90" s="68"/>
      <c r="CT90" s="68"/>
      <c r="CU90" s="68"/>
      <c r="CV90" s="68"/>
      <c r="CW90" s="68"/>
      <c r="CX90" s="68"/>
      <c r="CY90" s="68"/>
      <c r="CZ90" s="68"/>
      <c r="DA90" s="68"/>
      <c r="DB90" s="68"/>
      <c r="DC90" s="68"/>
      <c r="DD90" s="68"/>
      <c r="DE90" s="68"/>
      <c r="DF90" s="68"/>
      <c r="DG90" s="68"/>
      <c r="DH90" s="68"/>
      <c r="DI90" s="68"/>
      <c r="DJ90" s="68"/>
      <c r="DK90" s="68"/>
      <c r="DL90" s="68"/>
      <c r="DM90" s="68"/>
      <c r="DN90" s="68"/>
      <c r="DO90" s="68"/>
      <c r="DP90" s="68"/>
      <c r="DQ90" s="68"/>
      <c r="DR90" s="68"/>
      <c r="DS90" s="68"/>
      <c r="DT90" s="68"/>
      <c r="DU90" s="68"/>
      <c r="DV90" s="68"/>
      <c r="DW90" s="68"/>
      <c r="DX90" s="68"/>
      <c r="DY90" s="68"/>
      <c r="DZ90" s="68"/>
      <c r="EA90" s="68"/>
      <c r="EB90" s="68"/>
      <c r="EC90" s="68"/>
      <c r="ED90" s="68"/>
      <c r="EE90" s="68"/>
      <c r="EF90" s="68"/>
      <c r="EG90" s="68"/>
      <c r="EH90" s="68"/>
      <c r="EI90" s="68"/>
      <c r="EJ90" s="68"/>
      <c r="EK90" s="68"/>
      <c r="EL90" s="68"/>
      <c r="EM90" s="68"/>
      <c r="EN90" s="68"/>
      <c r="EO90" s="68"/>
      <c r="EP90" s="68"/>
      <c r="EQ90" s="68"/>
      <c r="ER90" s="68"/>
      <c r="ES90" s="68"/>
      <c r="ET90" s="68"/>
      <c r="EU90" s="68"/>
      <c r="EV90" s="68"/>
      <c r="EW90" s="68"/>
      <c r="EX90" s="68"/>
      <c r="EY90" s="68"/>
      <c r="EZ90" s="68"/>
      <c r="FA90" s="68"/>
      <c r="FB90" s="68"/>
      <c r="FC90" s="68"/>
      <c r="FD90" s="68"/>
      <c r="FE90" s="68"/>
      <c r="FF90" s="68"/>
      <c r="FG90" s="68"/>
      <c r="FH90" s="68"/>
      <c r="FI90" s="68"/>
      <c r="FJ90" s="68"/>
      <c r="FK90" s="68"/>
      <c r="FL90" s="68"/>
      <c r="FM90" s="68"/>
      <c r="FN90" s="68"/>
      <c r="FO90" s="68"/>
      <c r="FP90" s="68"/>
      <c r="FQ90" s="68"/>
      <c r="FR90" s="68"/>
      <c r="FS90" s="68"/>
      <c r="FT90" s="68"/>
      <c r="FU90" s="68"/>
      <c r="FV90" s="68"/>
      <c r="FW90" s="68"/>
      <c r="FX90" s="68"/>
      <c r="FY90" s="68"/>
      <c r="FZ90" s="68"/>
      <c r="GA90" s="68"/>
      <c r="GB90" s="68"/>
      <c r="GC90" s="68"/>
      <c r="GD90" s="68"/>
      <c r="GE90" s="68"/>
      <c r="GF90" s="68"/>
      <c r="GG90" s="68"/>
      <c r="GH90" s="68"/>
      <c r="GI90" s="68"/>
      <c r="GJ90" s="68"/>
      <c r="GK90" s="68"/>
      <c r="GL90" s="68"/>
      <c r="GM90" s="68"/>
      <c r="GN90" s="68"/>
      <c r="GO90" s="68"/>
      <c r="GP90" s="68"/>
      <c r="GQ90" s="68"/>
      <c r="GR90" s="68"/>
      <c r="GS90" s="68"/>
      <c r="GT90" s="68"/>
      <c r="GU90" s="68"/>
      <c r="GV90" s="68"/>
      <c r="GW90" s="68"/>
      <c r="GX90" s="68"/>
      <c r="GY90" s="68"/>
      <c r="GZ90" s="68"/>
      <c r="HA90" s="68"/>
      <c r="HB90" s="68"/>
      <c r="HC90" s="68"/>
      <c r="HD90" s="68"/>
      <c r="HE90" s="68"/>
      <c r="HF90" s="68"/>
      <c r="HG90" s="68"/>
      <c r="HH90" s="68"/>
      <c r="HI90" s="68"/>
      <c r="HJ90" s="68"/>
      <c r="HK90" s="68"/>
      <c r="HL90" s="68"/>
      <c r="HM90" s="68"/>
      <c r="HN90" s="68"/>
      <c r="HO90" s="68"/>
      <c r="HP90" s="68"/>
      <c r="HQ90" s="68"/>
      <c r="HR90" s="68"/>
      <c r="HS90" s="68"/>
      <c r="HT90" s="68"/>
      <c r="HU90" s="68"/>
      <c r="HV90" s="68"/>
      <c r="HW90" s="68"/>
      <c r="HX90" s="68"/>
      <c r="HY90" s="68"/>
      <c r="HZ90" s="68"/>
      <c r="IA90" s="68"/>
      <c r="IB90" s="68"/>
      <c r="IC90" s="68"/>
      <c r="ID90" s="68"/>
      <c r="IE90" s="68"/>
      <c r="IF90" s="68"/>
      <c r="IG90" s="68"/>
      <c r="IH90" s="68"/>
      <c r="II90" s="68"/>
      <c r="IJ90" s="68"/>
      <c r="IK90" s="68"/>
      <c r="IL90" s="68"/>
      <c r="IM90" s="68"/>
      <c r="IN90" s="68"/>
      <c r="IO90" s="68"/>
      <c r="IP90" s="68"/>
      <c r="IQ90" s="68"/>
      <c r="IR90" s="68"/>
      <c r="IS90" s="68"/>
      <c r="IT90" s="68"/>
      <c r="IU90" s="68"/>
      <c r="IV90" s="68"/>
      <c r="IW90" s="68"/>
      <c r="IX90" s="68"/>
      <c r="IY90" s="68"/>
      <c r="IZ90" s="68"/>
      <c r="JA90" s="68"/>
      <c r="JB90" s="68"/>
      <c r="JC90" s="68"/>
      <c r="JD90" s="68"/>
      <c r="JE90" s="68"/>
      <c r="JF90" s="68"/>
      <c r="JG90" s="68"/>
      <c r="JH90" s="68"/>
      <c r="JI90" s="68"/>
      <c r="JJ90" s="68"/>
      <c r="JK90" s="68"/>
      <c r="JL90" s="68"/>
      <c r="JM90" s="68"/>
      <c r="JN90" s="68"/>
      <c r="JO90" s="68"/>
      <c r="JP90" s="68"/>
      <c r="JQ90" s="68"/>
      <c r="JR90" s="68"/>
      <c r="JS90" s="68"/>
      <c r="JT90" s="68"/>
      <c r="JU90" s="68"/>
      <c r="JV90" s="68"/>
      <c r="JW90" s="68"/>
      <c r="JX90" s="68"/>
      <c r="JY90" s="68"/>
      <c r="JZ90" s="68"/>
      <c r="KA90" s="68"/>
      <c r="KB90" s="68"/>
      <c r="KC90" s="68"/>
      <c r="KD90" s="68"/>
      <c r="KE90" s="68"/>
      <c r="KF90" s="68"/>
      <c r="KG90" s="68"/>
      <c r="KH90" s="68"/>
      <c r="KI90" s="68"/>
      <c r="KJ90" s="68"/>
      <c r="KK90" s="68"/>
      <c r="KL90" s="68"/>
      <c r="KM90" s="68"/>
      <c r="KN90" s="68"/>
      <c r="KO90" s="68"/>
      <c r="KP90" s="68"/>
      <c r="KQ90" s="68"/>
      <c r="KR90" s="68"/>
      <c r="KS90" s="68"/>
      <c r="KT90" s="68"/>
      <c r="KU90" s="68"/>
      <c r="KV90" s="68"/>
      <c r="KW90" s="68"/>
      <c r="KX90" s="68"/>
      <c r="KY90" s="68"/>
      <c r="KZ90" s="68"/>
      <c r="LA90" s="68"/>
      <c r="LB90" s="68"/>
      <c r="LC90" s="68"/>
      <c r="LD90" s="68"/>
      <c r="LE90" s="68"/>
      <c r="LF90" s="68"/>
      <c r="LG90" s="68"/>
      <c r="LH90" s="68"/>
      <c r="LI90" s="68"/>
      <c r="LJ90" s="68"/>
      <c r="LK90" s="68"/>
      <c r="LL90" s="68"/>
      <c r="LM90" s="68"/>
      <c r="LN90" s="68"/>
      <c r="LO90" s="68"/>
      <c r="LP90" s="68"/>
      <c r="LQ90" s="68"/>
      <c r="LR90" s="68"/>
      <c r="LS90" s="68"/>
      <c r="LT90" s="68"/>
      <c r="LU90" s="68"/>
      <c r="LV90" s="68"/>
      <c r="LW90" s="68"/>
      <c r="LX90" s="68"/>
      <c r="LY90" s="68"/>
      <c r="LZ90" s="68"/>
      <c r="MA90" s="68"/>
      <c r="MB90" s="68"/>
      <c r="MC90" s="68"/>
      <c r="MD90" s="68"/>
      <c r="ME90" s="68"/>
      <c r="MF90" s="68"/>
      <c r="MG90" s="68"/>
      <c r="MH90" s="68"/>
      <c r="MI90" s="68"/>
      <c r="MJ90" s="68"/>
      <c r="MK90" s="68"/>
      <c r="ML90" s="68"/>
      <c r="MM90" s="68"/>
      <c r="MN90" s="68"/>
      <c r="MO90" s="68"/>
      <c r="MP90" s="68"/>
      <c r="MQ90" s="68"/>
      <c r="MR90" s="68"/>
      <c r="MS90" s="68"/>
      <c r="MT90" s="68"/>
      <c r="MU90" s="68"/>
      <c r="MV90" s="68"/>
      <c r="MW90" s="68"/>
      <c r="MX90" s="68"/>
      <c r="MY90" s="68"/>
      <c r="MZ90" s="68"/>
      <c r="NA90" s="68"/>
      <c r="NB90" s="68"/>
      <c r="NC90" s="68"/>
      <c r="ND90" s="68"/>
      <c r="NE90" s="68"/>
      <c r="NF90" s="68"/>
      <c r="NG90" s="68"/>
      <c r="NH90" s="68"/>
      <c r="NI90" s="68"/>
      <c r="NJ90" s="68"/>
      <c r="NK90" s="68"/>
      <c r="NL90" s="68"/>
      <c r="NM90" s="68"/>
      <c r="NN90" s="68"/>
      <c r="NO90" s="68"/>
      <c r="NP90" s="68"/>
      <c r="NQ90" s="68"/>
      <c r="NR90" s="68"/>
      <c r="NS90" s="68"/>
      <c r="NT90" s="68"/>
      <c r="NU90" s="68"/>
      <c r="NV90" s="68"/>
      <c r="NW90" s="68"/>
      <c r="NX90" s="68"/>
      <c r="NY90" s="68"/>
      <c r="NZ90" s="68"/>
      <c r="OA90" s="68"/>
      <c r="OB90" s="68"/>
      <c r="OC90" s="68"/>
      <c r="OD90" s="68"/>
      <c r="OE90" s="68"/>
      <c r="OF90" s="68"/>
      <c r="OG90" s="68"/>
      <c r="OH90" s="68"/>
      <c r="OI90" s="68"/>
      <c r="OJ90" s="68"/>
      <c r="OK90" s="68"/>
      <c r="OL90" s="68"/>
      <c r="OM90" s="68"/>
      <c r="ON90" s="68"/>
      <c r="OO90" s="68"/>
      <c r="OP90" s="68"/>
      <c r="OQ90" s="68"/>
      <c r="OR90" s="68"/>
      <c r="OS90" s="68"/>
      <c r="OT90" s="68"/>
      <c r="OU90" s="68"/>
      <c r="OV90" s="68"/>
      <c r="OW90" s="68"/>
      <c r="OX90" s="68"/>
      <c r="OY90" s="68"/>
      <c r="OZ90" s="68"/>
      <c r="PA90" s="68"/>
      <c r="PB90" s="68"/>
      <c r="PC90" s="68"/>
      <c r="PD90" s="68"/>
      <c r="PE90" s="68"/>
      <c r="PF90" s="68"/>
      <c r="PG90" s="68"/>
      <c r="PH90" s="68"/>
      <c r="PI90" s="68"/>
      <c r="PJ90" s="68"/>
      <c r="PK90" s="68"/>
      <c r="PL90" s="68"/>
      <c r="PM90" s="68"/>
      <c r="PN90" s="68"/>
      <c r="PO90" s="68"/>
      <c r="PP90" s="68"/>
      <c r="PQ90" s="68"/>
      <c r="PR90" s="68"/>
      <c r="PS90" s="68"/>
      <c r="PT90" s="68"/>
      <c r="PU90" s="68"/>
      <c r="PV90" s="68"/>
      <c r="PW90" s="68"/>
      <c r="PX90" s="68"/>
      <c r="PY90" s="68"/>
      <c r="PZ90" s="68"/>
      <c r="QA90" s="68"/>
      <c r="QB90" s="68"/>
      <c r="QC90" s="68"/>
      <c r="QD90" s="68"/>
      <c r="QE90" s="68"/>
      <c r="QF90" s="68"/>
      <c r="QG90" s="68"/>
      <c r="QH90" s="68"/>
      <c r="QI90" s="68"/>
      <c r="QJ90" s="68"/>
      <c r="QK90" s="68"/>
      <c r="QL90" s="68"/>
      <c r="QM90" s="68"/>
      <c r="QN90" s="68"/>
      <c r="QO90" s="68"/>
      <c r="QP90" s="68"/>
      <c r="QQ90" s="68"/>
      <c r="QR90" s="68"/>
      <c r="QS90" s="68"/>
      <c r="QT90" s="68"/>
      <c r="QU90" s="68"/>
      <c r="QV90" s="68"/>
      <c r="QW90" s="68"/>
      <c r="QX90" s="68"/>
      <c r="QY90" s="68"/>
      <c r="QZ90" s="68"/>
      <c r="RA90" s="68"/>
      <c r="RB90" s="68"/>
      <c r="RC90" s="68"/>
      <c r="RD90" s="68"/>
      <c r="RE90" s="68"/>
      <c r="RF90" s="68"/>
      <c r="RG90" s="68"/>
      <c r="RH90" s="68"/>
      <c r="RI90" s="68"/>
      <c r="RJ90" s="68"/>
      <c r="RK90" s="68"/>
      <c r="RL90" s="68"/>
      <c r="RM90" s="68"/>
      <c r="RN90" s="68"/>
      <c r="RO90" s="68"/>
      <c r="RP90" s="68"/>
      <c r="RQ90" s="68"/>
      <c r="RR90" s="68"/>
      <c r="RS90" s="68"/>
      <c r="RT90" s="68"/>
      <c r="RU90" s="68"/>
      <c r="RV90" s="68"/>
      <c r="RW90" s="68"/>
      <c r="RX90" s="68"/>
      <c r="RY90" s="68"/>
      <c r="RZ90" s="68"/>
      <c r="SA90" s="68"/>
      <c r="SB90" s="68"/>
      <c r="SC90" s="68"/>
      <c r="SD90" s="68"/>
      <c r="SE90" s="68"/>
      <c r="SF90" s="68"/>
      <c r="SG90" s="68"/>
      <c r="SH90" s="68"/>
      <c r="SI90" s="68"/>
      <c r="SJ90" s="68"/>
      <c r="SK90" s="68"/>
      <c r="SL90" s="68"/>
      <c r="SM90" s="68"/>
      <c r="SN90" s="68"/>
      <c r="SO90" s="68"/>
      <c r="SP90" s="68"/>
      <c r="SQ90" s="68"/>
      <c r="SR90" s="68"/>
      <c r="SS90" s="68"/>
      <c r="ST90" s="68"/>
      <c r="SU90" s="68"/>
      <c r="SV90" s="68"/>
      <c r="SW90" s="68"/>
      <c r="SX90" s="68"/>
      <c r="SY90" s="68"/>
      <c r="SZ90" s="68"/>
      <c r="TA90" s="68"/>
      <c r="TB90" s="68"/>
      <c r="TC90" s="68"/>
      <c r="TD90" s="68"/>
      <c r="TE90" s="68"/>
      <c r="TF90" s="68"/>
      <c r="TG90" s="68"/>
      <c r="TH90" s="68"/>
      <c r="TI90" s="68"/>
      <c r="TJ90" s="68"/>
      <c r="TK90" s="68"/>
      <c r="TL90" s="68"/>
      <c r="TM90" s="68"/>
      <c r="TN90" s="68"/>
      <c r="TO90" s="68"/>
      <c r="TP90" s="68"/>
      <c r="TQ90" s="68"/>
      <c r="TR90" s="68"/>
      <c r="TS90" s="68"/>
      <c r="TT90" s="68"/>
      <c r="TU90" s="68"/>
      <c r="TV90" s="68"/>
      <c r="TW90" s="68"/>
      <c r="TX90" s="68"/>
      <c r="TY90" s="68"/>
      <c r="TZ90" s="68"/>
      <c r="UA90" s="68"/>
      <c r="UB90" s="68"/>
      <c r="UC90" s="68"/>
      <c r="UD90" s="68"/>
      <c r="UE90" s="68"/>
      <c r="UF90" s="68"/>
      <c r="UG90" s="68"/>
      <c r="UH90" s="68"/>
      <c r="UI90" s="68"/>
      <c r="UJ90" s="68"/>
      <c r="UK90" s="68"/>
      <c r="UL90" s="68"/>
      <c r="UM90" s="68"/>
      <c r="UN90" s="68"/>
      <c r="UO90" s="68"/>
      <c r="UP90" s="68"/>
      <c r="UQ90" s="68"/>
      <c r="UR90" s="68"/>
      <c r="US90" s="68"/>
      <c r="UT90" s="68"/>
      <c r="UU90" s="68"/>
      <c r="UV90" s="68"/>
      <c r="UW90" s="68"/>
      <c r="UX90" s="68"/>
      <c r="UY90" s="68"/>
      <c r="UZ90" s="68"/>
      <c r="VA90" s="68"/>
      <c r="VB90" s="68"/>
      <c r="VC90" s="68"/>
      <c r="VD90" s="68"/>
      <c r="VE90" s="68"/>
      <c r="VF90" s="68"/>
      <c r="VG90" s="68"/>
      <c r="VH90" s="68"/>
      <c r="VI90" s="68"/>
      <c r="VJ90" s="68"/>
      <c r="VK90" s="68"/>
      <c r="VL90" s="68"/>
      <c r="VM90" s="68"/>
      <c r="VN90" s="68"/>
      <c r="VO90" s="68"/>
      <c r="VP90" s="68"/>
      <c r="VQ90" s="68"/>
      <c r="VR90" s="68"/>
      <c r="VS90" s="68"/>
      <c r="VT90" s="68"/>
      <c r="VU90" s="68"/>
      <c r="VV90" s="68"/>
      <c r="VW90" s="68"/>
      <c r="VX90" s="68"/>
      <c r="VY90" s="68"/>
      <c r="VZ90" s="68"/>
      <c r="WA90" s="68"/>
      <c r="WB90" s="68"/>
      <c r="WC90" s="68"/>
      <c r="WD90" s="68"/>
      <c r="WE90" s="68"/>
      <c r="WF90" s="68"/>
      <c r="WG90" s="68"/>
      <c r="WH90" s="68"/>
      <c r="WI90" s="68"/>
      <c r="WJ90" s="68"/>
      <c r="WK90" s="68"/>
      <c r="WL90" s="68"/>
      <c r="WM90" s="68"/>
      <c r="WN90" s="68"/>
      <c r="WO90" s="68"/>
      <c r="WP90" s="68"/>
      <c r="WQ90" s="68"/>
      <c r="WR90" s="68"/>
      <c r="WS90" s="68"/>
      <c r="WT90" s="68"/>
      <c r="WU90" s="68"/>
      <c r="WV90" s="68"/>
      <c r="WW90" s="68"/>
      <c r="WX90" s="68"/>
      <c r="WY90" s="68"/>
      <c r="WZ90" s="68"/>
      <c r="XA90" s="68"/>
      <c r="XB90" s="68"/>
      <c r="XC90" s="68"/>
      <c r="XD90" s="68"/>
      <c r="XE90" s="68"/>
      <c r="XF90" s="68"/>
      <c r="XG90" s="68"/>
      <c r="XH90" s="68"/>
      <c r="XI90" s="68"/>
      <c r="XJ90" s="68"/>
      <c r="XK90" s="68"/>
      <c r="XL90" s="68"/>
      <c r="XM90" s="68"/>
      <c r="XN90" s="68"/>
      <c r="XO90" s="68"/>
      <c r="XP90" s="68"/>
      <c r="XQ90" s="68"/>
      <c r="XR90" s="68"/>
      <c r="XS90" s="68"/>
      <c r="XT90" s="68"/>
      <c r="XU90" s="68"/>
      <c r="XV90" s="68"/>
      <c r="XW90" s="68"/>
      <c r="XX90" s="68"/>
      <c r="XY90" s="68"/>
      <c r="XZ90" s="68"/>
      <c r="YA90" s="68"/>
      <c r="YB90" s="68"/>
      <c r="YC90" s="68"/>
      <c r="YD90" s="68"/>
      <c r="YE90" s="68"/>
      <c r="YF90" s="68"/>
      <c r="YG90" s="68"/>
      <c r="YH90" s="68"/>
      <c r="YI90" s="68"/>
      <c r="YJ90" s="68"/>
      <c r="YK90" s="68"/>
      <c r="YL90" s="68"/>
      <c r="YM90" s="68"/>
      <c r="YN90" s="68"/>
      <c r="YO90" s="68"/>
      <c r="YP90" s="68"/>
      <c r="YQ90" s="68"/>
      <c r="YR90" s="68"/>
      <c r="YS90" s="68"/>
      <c r="YT90" s="68"/>
      <c r="YU90" s="68"/>
      <c r="YV90" s="68"/>
      <c r="YW90" s="68"/>
      <c r="YX90" s="68"/>
      <c r="YY90" s="68"/>
      <c r="YZ90" s="68"/>
      <c r="ZA90" s="68"/>
      <c r="ZB90" s="68"/>
      <c r="ZC90" s="68"/>
      <c r="ZD90" s="68"/>
      <c r="ZE90" s="68"/>
      <c r="ZF90" s="68"/>
      <c r="ZG90" s="68"/>
      <c r="ZH90" s="68"/>
      <c r="ZI90" s="68"/>
      <c r="ZJ90" s="68"/>
      <c r="ZK90" s="68"/>
      <c r="ZL90" s="68"/>
      <c r="ZM90" s="68"/>
      <c r="ZN90" s="68"/>
      <c r="ZO90" s="68"/>
      <c r="ZP90" s="68"/>
      <c r="ZQ90" s="68"/>
      <c r="ZR90" s="68"/>
      <c r="ZS90" s="68"/>
      <c r="ZT90" s="68"/>
      <c r="ZU90" s="68"/>
      <c r="ZV90" s="68"/>
      <c r="ZW90" s="68"/>
      <c r="ZX90" s="68"/>
      <c r="ZY90" s="68"/>
      <c r="ZZ90" s="68"/>
      <c r="AAA90" s="68"/>
      <c r="AAB90" s="68"/>
      <c r="AAC90" s="68"/>
      <c r="AAD90" s="68"/>
      <c r="AAE90" s="68"/>
      <c r="AAF90" s="68"/>
      <c r="AAG90" s="68"/>
      <c r="AAH90" s="68"/>
      <c r="AAI90" s="68"/>
      <c r="AAJ90" s="68"/>
      <c r="AAK90" s="68"/>
      <c r="AAL90" s="68"/>
      <c r="AAM90" s="68"/>
      <c r="AAN90" s="68"/>
      <c r="AAO90" s="68"/>
      <c r="AAP90" s="68"/>
      <c r="AAQ90" s="68"/>
      <c r="AAR90" s="68"/>
      <c r="AAS90" s="68"/>
      <c r="AAT90" s="68"/>
      <c r="AAU90" s="68"/>
      <c r="AAV90" s="68"/>
      <c r="AAW90" s="68"/>
      <c r="AAX90" s="68"/>
      <c r="AAY90" s="68"/>
      <c r="AAZ90" s="68"/>
      <c r="ABA90" s="68"/>
      <c r="ABB90" s="68"/>
      <c r="ABC90" s="68"/>
      <c r="ABD90" s="68"/>
      <c r="ABE90" s="68"/>
      <c r="ABF90" s="68"/>
      <c r="ABG90" s="68"/>
      <c r="ABH90" s="68"/>
      <c r="ABI90" s="68"/>
      <c r="ABJ90" s="68"/>
      <c r="ABK90" s="68"/>
      <c r="ABL90" s="68"/>
      <c r="ABM90" s="68"/>
      <c r="ABN90" s="68"/>
      <c r="ABO90" s="68"/>
      <c r="ABP90" s="68"/>
      <c r="ABQ90" s="68"/>
      <c r="ABR90" s="68"/>
      <c r="ABS90" s="68"/>
      <c r="ABT90" s="68"/>
      <c r="ABU90" s="68"/>
      <c r="ABV90" s="68"/>
      <c r="ABW90" s="68"/>
      <c r="ABX90" s="68"/>
      <c r="ABY90" s="68"/>
      <c r="ABZ90" s="68"/>
      <c r="ACA90" s="68"/>
      <c r="ACB90" s="68"/>
      <c r="ACC90" s="68"/>
      <c r="ACD90" s="68"/>
      <c r="ACE90" s="68"/>
      <c r="ACF90" s="68"/>
      <c r="ACG90" s="68"/>
      <c r="ACH90" s="68"/>
      <c r="ACI90" s="68"/>
      <c r="ACJ90" s="68"/>
      <c r="ACK90" s="68"/>
      <c r="ACL90" s="68"/>
      <c r="ACM90" s="68"/>
      <c r="ACN90" s="68"/>
      <c r="ACO90" s="68"/>
      <c r="ACP90" s="68"/>
      <c r="ACQ90" s="68"/>
      <c r="ACR90" s="68"/>
      <c r="ACS90" s="68"/>
      <c r="ACT90" s="68"/>
      <c r="ACU90" s="68"/>
      <c r="ACV90" s="68"/>
      <c r="ACW90" s="68"/>
      <c r="ACX90" s="68"/>
      <c r="ACY90" s="68"/>
      <c r="ACZ90" s="68"/>
      <c r="ADA90" s="68"/>
      <c r="ADB90" s="68"/>
      <c r="ADC90" s="68"/>
      <c r="ADD90" s="68"/>
      <c r="ADE90" s="68"/>
      <c r="ADF90" s="68"/>
      <c r="ADG90" s="68"/>
      <c r="ADH90" s="68"/>
      <c r="ADI90" s="68"/>
      <c r="ADJ90" s="68"/>
      <c r="ADK90" s="68"/>
      <c r="ADL90" s="68"/>
      <c r="ADM90" s="68"/>
      <c r="ADN90" s="68"/>
      <c r="ADO90" s="68"/>
      <c r="ADP90" s="68"/>
      <c r="ADQ90" s="68"/>
      <c r="ADR90" s="68"/>
      <c r="ADS90" s="68"/>
      <c r="ADT90" s="68"/>
      <c r="ADU90" s="68"/>
      <c r="ADV90" s="68"/>
      <c r="ADW90" s="68"/>
      <c r="ADX90" s="68"/>
      <c r="ADY90" s="68"/>
      <c r="ADZ90" s="68"/>
      <c r="AEA90" s="68"/>
      <c r="AEB90" s="68"/>
      <c r="AEC90" s="68"/>
      <c r="AED90" s="68"/>
      <c r="AEE90" s="68"/>
      <c r="AEF90" s="68"/>
      <c r="AEG90" s="68"/>
      <c r="AEH90" s="68"/>
      <c r="AEI90" s="68"/>
      <c r="AEJ90" s="68"/>
      <c r="AEK90" s="68"/>
      <c r="AEL90" s="68"/>
      <c r="AEM90" s="68"/>
      <c r="AEN90" s="68"/>
      <c r="AEO90" s="68"/>
      <c r="AEP90" s="68"/>
      <c r="AEQ90" s="68"/>
      <c r="AER90" s="68"/>
      <c r="AES90" s="68"/>
      <c r="AET90" s="68"/>
      <c r="AEU90" s="68"/>
      <c r="AEV90" s="68"/>
      <c r="AEW90" s="68"/>
      <c r="AEX90" s="68"/>
      <c r="AEY90" s="68"/>
      <c r="AEZ90" s="68"/>
      <c r="AFA90" s="68"/>
      <c r="AFB90" s="68"/>
      <c r="AFC90" s="68"/>
      <c r="AFD90" s="68"/>
      <c r="AFE90" s="68"/>
      <c r="AFF90" s="68"/>
      <c r="AFG90" s="68"/>
      <c r="AFH90" s="68"/>
      <c r="AFI90" s="68"/>
      <c r="AFJ90" s="68"/>
      <c r="AFK90" s="68"/>
      <c r="AFL90" s="68"/>
      <c r="AFM90" s="68"/>
      <c r="AFN90" s="68"/>
      <c r="AFO90" s="68"/>
      <c r="AFP90" s="68"/>
      <c r="AFQ90" s="68"/>
      <c r="AFR90" s="68"/>
      <c r="AFS90" s="68"/>
      <c r="AFT90" s="68"/>
      <c r="AFU90" s="68"/>
      <c r="AFV90" s="68"/>
      <c r="AFW90" s="68"/>
      <c r="AFX90" s="68"/>
      <c r="AFY90" s="68"/>
      <c r="AFZ90" s="68"/>
      <c r="AGA90" s="68"/>
      <c r="AGB90" s="68"/>
      <c r="AGC90" s="68"/>
      <c r="AGD90" s="68"/>
      <c r="AGE90" s="68"/>
      <c r="AGF90" s="68"/>
      <c r="AGG90" s="68"/>
      <c r="AGH90" s="68"/>
      <c r="AGI90" s="68"/>
      <c r="AGJ90" s="68"/>
      <c r="AGK90" s="68"/>
      <c r="AGL90" s="68"/>
      <c r="AGM90" s="68"/>
      <c r="AGN90" s="68"/>
      <c r="AGO90" s="68"/>
      <c r="AGP90" s="68"/>
      <c r="AGQ90" s="68"/>
      <c r="AGR90" s="68"/>
      <c r="AGS90" s="68"/>
      <c r="AGT90" s="68"/>
      <c r="AGU90" s="68"/>
      <c r="AGV90" s="68"/>
      <c r="AGW90" s="68"/>
      <c r="AGX90" s="68"/>
      <c r="AGY90" s="68"/>
      <c r="AGZ90" s="68"/>
      <c r="AHA90" s="68"/>
      <c r="AHB90" s="68"/>
      <c r="AHC90" s="68"/>
      <c r="AHD90" s="68"/>
      <c r="AHE90" s="68"/>
      <c r="AHF90" s="68"/>
      <c r="AHG90" s="68"/>
      <c r="AHH90" s="68"/>
      <c r="AHI90" s="68"/>
      <c r="AHJ90" s="68"/>
      <c r="AHK90" s="68"/>
      <c r="AHL90" s="68"/>
      <c r="AHM90" s="68"/>
      <c r="AHN90" s="68"/>
      <c r="AHO90" s="68"/>
      <c r="AHP90" s="68"/>
      <c r="AHQ90" s="68"/>
      <c r="AHR90" s="68"/>
      <c r="AHS90" s="68"/>
      <c r="AHT90" s="68"/>
      <c r="AHU90" s="68"/>
      <c r="AHV90" s="68"/>
      <c r="AHW90" s="68"/>
      <c r="AHX90" s="68"/>
      <c r="AHY90" s="68"/>
      <c r="AHZ90" s="68"/>
      <c r="AIA90" s="68"/>
      <c r="AIB90" s="68"/>
      <c r="AIC90" s="68"/>
      <c r="AID90" s="68"/>
      <c r="AIE90" s="68"/>
      <c r="AIF90" s="68"/>
      <c r="AIG90" s="68"/>
      <c r="AIH90" s="68"/>
      <c r="AII90" s="68"/>
      <c r="AIJ90" s="68"/>
      <c r="AIK90" s="68"/>
      <c r="AIL90" s="68"/>
      <c r="AIM90" s="68"/>
      <c r="AIN90" s="68"/>
      <c r="AIO90" s="68"/>
      <c r="AIP90" s="68"/>
      <c r="AIQ90" s="68"/>
      <c r="AIR90" s="68"/>
      <c r="AIS90" s="68"/>
      <c r="AIT90" s="68"/>
      <c r="AIU90" s="68"/>
      <c r="AIV90" s="68"/>
      <c r="AIW90" s="68"/>
      <c r="AIX90" s="68"/>
      <c r="AIY90" s="68"/>
      <c r="AIZ90" s="68"/>
      <c r="AJA90" s="68"/>
      <c r="AJB90" s="68"/>
      <c r="AJC90" s="68"/>
      <c r="AJD90" s="68"/>
      <c r="AJE90" s="68"/>
      <c r="AJF90" s="68"/>
      <c r="AJG90" s="68"/>
      <c r="AJH90" s="68"/>
      <c r="AJI90" s="68"/>
      <c r="AJJ90" s="68"/>
      <c r="AJK90" s="68"/>
      <c r="AJL90" s="68"/>
      <c r="AJM90" s="68"/>
      <c r="AJN90" s="68"/>
      <c r="AJO90" s="68"/>
      <c r="AJP90" s="68"/>
      <c r="AJQ90" s="68"/>
      <c r="AJR90" s="68"/>
      <c r="AJS90" s="68"/>
      <c r="AJT90" s="68"/>
      <c r="AJU90" s="68"/>
      <c r="AJV90" s="68"/>
      <c r="AJW90" s="68"/>
      <c r="AJX90" s="68"/>
      <c r="AJY90" s="68"/>
      <c r="AJZ90" s="68"/>
      <c r="AKA90" s="68"/>
      <c r="AKB90" s="68"/>
      <c r="AKC90" s="68"/>
      <c r="AKD90" s="68"/>
      <c r="AKE90" s="68"/>
      <c r="AKF90" s="68"/>
      <c r="AKG90" s="68"/>
      <c r="AKH90" s="68"/>
      <c r="AKI90" s="68"/>
      <c r="AKJ90" s="68"/>
      <c r="AKK90" s="68"/>
      <c r="AKL90" s="68"/>
      <c r="AKM90" s="68"/>
      <c r="AKN90" s="68"/>
      <c r="AKO90" s="68"/>
      <c r="AKP90" s="68"/>
      <c r="AKQ90" s="68"/>
      <c r="AKR90" s="68"/>
      <c r="AKS90" s="68"/>
      <c r="AKT90" s="68"/>
      <c r="AKU90" s="68"/>
      <c r="AKV90" s="68"/>
      <c r="AKW90" s="68"/>
      <c r="AKX90" s="68"/>
      <c r="AKY90" s="68"/>
      <c r="AKZ90" s="68"/>
      <c r="ALA90" s="68"/>
      <c r="ALB90" s="68"/>
      <c r="ALC90" s="68"/>
      <c r="ALD90" s="68"/>
      <c r="ALE90" s="68"/>
      <c r="ALF90" s="68"/>
      <c r="ALG90" s="68"/>
      <c r="ALH90" s="68"/>
      <c r="ALI90" s="68"/>
      <c r="ALJ90" s="68"/>
      <c r="ALK90" s="68"/>
      <c r="ALL90" s="68"/>
      <c r="ALM90" s="68"/>
      <c r="ALN90" s="68"/>
      <c r="ALO90" s="68"/>
      <c r="ALP90" s="68"/>
      <c r="ALQ90" s="68"/>
      <c r="ALR90" s="68"/>
      <c r="ALS90" s="68"/>
      <c r="ALT90" s="68"/>
      <c r="ALU90" s="68"/>
      <c r="ALV90" s="68"/>
      <c r="ALW90" s="68"/>
      <c r="ALX90" s="68"/>
      <c r="ALY90" s="68"/>
      <c r="ALZ90" s="68"/>
      <c r="AMA90" s="68"/>
      <c r="AMB90" s="68"/>
      <c r="AMC90" s="68"/>
      <c r="AMD90" s="68"/>
      <c r="AME90" s="68"/>
      <c r="AMF90" s="68"/>
      <c r="AMG90" s="68"/>
      <c r="AMH90" s="68"/>
      <c r="AMI90" s="68"/>
      <c r="AMJ90" s="68"/>
      <c r="AMK90" s="68"/>
      <c r="AML90" s="68"/>
      <c r="AMM90" s="68"/>
      <c r="AMN90" s="68"/>
      <c r="AMO90" s="68"/>
      <c r="AMP90" s="68"/>
      <c r="AMQ90" s="68"/>
      <c r="AMR90" s="68"/>
      <c r="AMS90" s="68"/>
      <c r="AMT90" s="68"/>
      <c r="AMU90" s="68"/>
      <c r="AMV90" s="68"/>
      <c r="AMW90" s="68"/>
      <c r="AMX90" s="68"/>
      <c r="AMY90" s="68"/>
      <c r="AMZ90" s="68"/>
      <c r="ANA90" s="68"/>
      <c r="ANB90" s="68"/>
      <c r="ANC90" s="68"/>
      <c r="AND90" s="68"/>
      <c r="ANE90" s="68"/>
      <c r="ANF90" s="68"/>
      <c r="ANG90" s="68"/>
      <c r="ANH90" s="68"/>
      <c r="ANI90" s="68"/>
      <c r="ANJ90" s="68"/>
      <c r="ANK90" s="68"/>
      <c r="ANL90" s="68"/>
      <c r="ANM90" s="68"/>
      <c r="ANN90" s="68"/>
      <c r="ANO90" s="68"/>
      <c r="ANP90" s="68"/>
      <c r="ANQ90" s="68"/>
      <c r="ANR90" s="68"/>
      <c r="ANS90" s="68"/>
      <c r="ANT90" s="68"/>
      <c r="ANU90" s="68"/>
      <c r="ANV90" s="68"/>
      <c r="ANW90" s="68"/>
      <c r="ANX90" s="68"/>
      <c r="ANY90" s="68"/>
      <c r="ANZ90" s="68"/>
      <c r="AOA90" s="68"/>
      <c r="AOB90" s="68"/>
      <c r="AOC90" s="68"/>
      <c r="AOD90" s="68"/>
      <c r="AOE90" s="68"/>
      <c r="AOF90" s="68"/>
      <c r="AOG90" s="68"/>
      <c r="AOH90" s="68"/>
      <c r="AOI90" s="68"/>
      <c r="AOJ90" s="68"/>
      <c r="AOK90" s="68"/>
      <c r="AOL90" s="68"/>
      <c r="AOM90" s="68"/>
      <c r="AON90" s="68"/>
      <c r="AOO90" s="68"/>
      <c r="AOP90" s="68"/>
      <c r="AOQ90" s="68"/>
      <c r="AOR90" s="68"/>
      <c r="AOS90" s="68"/>
      <c r="AOT90" s="68"/>
      <c r="AOU90" s="68"/>
      <c r="AOV90" s="68"/>
      <c r="AOW90" s="68"/>
      <c r="AOX90" s="68"/>
      <c r="AOY90" s="68"/>
      <c r="AOZ90" s="68"/>
      <c r="APA90" s="68"/>
      <c r="APB90" s="68"/>
      <c r="APC90" s="68"/>
      <c r="APD90" s="68"/>
      <c r="APE90" s="68"/>
      <c r="APF90" s="68"/>
      <c r="APG90" s="68"/>
      <c r="APH90" s="68"/>
      <c r="API90" s="68"/>
      <c r="APJ90" s="68"/>
      <c r="APK90" s="68"/>
      <c r="APL90" s="68"/>
      <c r="APM90" s="68"/>
      <c r="APN90" s="68"/>
      <c r="APO90" s="68"/>
      <c r="APP90" s="68"/>
      <c r="APQ90" s="68"/>
      <c r="APR90" s="68"/>
      <c r="APS90" s="68"/>
      <c r="APT90" s="68"/>
      <c r="APU90" s="68"/>
      <c r="APV90" s="68"/>
      <c r="APW90" s="68"/>
      <c r="APX90" s="68"/>
      <c r="APY90" s="68"/>
      <c r="APZ90" s="68"/>
      <c r="AQA90" s="68"/>
      <c r="AQB90" s="68"/>
      <c r="AQC90" s="68"/>
      <c r="AQD90" s="68"/>
      <c r="AQE90" s="68"/>
      <c r="AQF90" s="68"/>
      <c r="AQG90" s="68"/>
      <c r="AQH90" s="68"/>
      <c r="AQI90" s="68"/>
      <c r="AQJ90" s="68"/>
      <c r="AQK90" s="68"/>
      <c r="AQL90" s="68"/>
      <c r="AQM90" s="68"/>
      <c r="AQN90" s="68"/>
      <c r="AQO90" s="68"/>
      <c r="AQP90" s="68"/>
      <c r="AQQ90" s="68"/>
      <c r="AQR90" s="68"/>
      <c r="AQS90" s="68"/>
      <c r="AQT90" s="68"/>
      <c r="AQU90" s="68"/>
      <c r="AQV90" s="68"/>
      <c r="AQW90" s="68"/>
      <c r="AQX90" s="68"/>
      <c r="AQY90" s="68"/>
      <c r="AQZ90" s="68"/>
      <c r="ARA90" s="68"/>
      <c r="ARB90" s="68"/>
      <c r="ARC90" s="68"/>
      <c r="ARD90" s="68"/>
      <c r="ARE90" s="68"/>
      <c r="ARF90" s="68"/>
      <c r="ARG90" s="68"/>
      <c r="ARH90" s="68"/>
      <c r="ARI90" s="68"/>
      <c r="ARJ90" s="68"/>
      <c r="ARK90" s="68"/>
      <c r="ARL90" s="68"/>
      <c r="ARM90" s="68"/>
      <c r="ARN90" s="68"/>
      <c r="ARO90" s="68"/>
      <c r="ARP90" s="68"/>
      <c r="ARQ90" s="68"/>
      <c r="ARR90" s="68"/>
      <c r="ARS90" s="68"/>
      <c r="ART90" s="68"/>
      <c r="ARU90" s="68"/>
      <c r="ARV90" s="68"/>
      <c r="ARW90" s="68"/>
      <c r="ARX90" s="68"/>
      <c r="ARY90" s="68"/>
      <c r="ARZ90" s="68"/>
      <c r="ASA90" s="68"/>
      <c r="ASB90" s="68"/>
      <c r="ASC90" s="68"/>
      <c r="ASD90" s="68"/>
      <c r="ASE90" s="68"/>
      <c r="ASF90" s="68"/>
      <c r="ASG90" s="68"/>
      <c r="ASH90" s="68"/>
      <c r="ASI90" s="68"/>
      <c r="ASJ90" s="68"/>
      <c r="ASK90" s="68"/>
      <c r="ASL90" s="68"/>
      <c r="ASM90" s="68"/>
      <c r="ASN90" s="68"/>
      <c r="ASO90" s="68"/>
      <c r="ASP90" s="68"/>
      <c r="ASQ90" s="68"/>
      <c r="ASR90" s="68"/>
      <c r="ASS90" s="68"/>
      <c r="AST90" s="68"/>
      <c r="ASU90" s="68"/>
      <c r="ASV90" s="68"/>
      <c r="ASW90" s="68"/>
      <c r="ASX90" s="68"/>
      <c r="ASY90" s="68"/>
      <c r="ASZ90" s="68"/>
      <c r="ATA90" s="68"/>
      <c r="ATB90" s="68"/>
      <c r="ATC90" s="68"/>
      <c r="ATD90" s="68"/>
      <c r="ATE90" s="68"/>
      <c r="ATF90" s="68"/>
      <c r="ATG90" s="68"/>
      <c r="ATH90" s="68"/>
      <c r="ATI90" s="68"/>
      <c r="ATJ90" s="68"/>
      <c r="ATK90" s="68"/>
      <c r="ATL90" s="68"/>
      <c r="ATM90" s="68"/>
      <c r="ATN90" s="68"/>
      <c r="ATO90" s="68"/>
      <c r="ATP90" s="68"/>
      <c r="ATQ90" s="68"/>
      <c r="ATR90" s="68"/>
      <c r="ATS90" s="68"/>
      <c r="ATT90" s="68"/>
      <c r="ATU90" s="68"/>
      <c r="ATV90" s="68"/>
      <c r="ATW90" s="68"/>
      <c r="ATX90" s="68"/>
      <c r="ATY90" s="68"/>
      <c r="ATZ90" s="68"/>
      <c r="AUA90" s="68"/>
      <c r="AUB90" s="68"/>
      <c r="AUC90" s="68"/>
      <c r="AUD90" s="68"/>
      <c r="AUE90" s="68"/>
      <c r="AUF90" s="68"/>
      <c r="AUG90" s="68"/>
      <c r="AUH90" s="68"/>
      <c r="AUI90" s="68"/>
      <c r="AUJ90" s="68"/>
      <c r="AUK90" s="68"/>
      <c r="AUL90" s="68"/>
      <c r="AUM90" s="68"/>
      <c r="AUN90" s="68"/>
      <c r="AUO90" s="68"/>
      <c r="AUP90" s="68"/>
      <c r="AUQ90" s="68"/>
      <c r="AUR90" s="68"/>
      <c r="AUS90" s="68"/>
      <c r="AUT90" s="68"/>
      <c r="AUU90" s="68"/>
      <c r="AUV90" s="68"/>
      <c r="AUW90" s="68"/>
      <c r="AUX90" s="68"/>
      <c r="AUY90" s="68"/>
      <c r="AUZ90" s="68"/>
      <c r="AVA90" s="68"/>
      <c r="AVB90" s="68"/>
      <c r="AVC90" s="68"/>
      <c r="AVD90" s="68"/>
      <c r="AVE90" s="68"/>
      <c r="AVF90" s="68"/>
      <c r="AVG90" s="68"/>
      <c r="AVH90" s="68"/>
      <c r="AVI90" s="68"/>
      <c r="AVJ90" s="68"/>
      <c r="AVK90" s="68"/>
      <c r="AVL90" s="68"/>
      <c r="AVM90" s="68"/>
      <c r="AVN90" s="68"/>
      <c r="AVO90" s="68"/>
      <c r="AVP90" s="68"/>
      <c r="AVQ90" s="68"/>
      <c r="AVR90" s="68"/>
      <c r="AVS90" s="68"/>
      <c r="AVT90" s="68"/>
      <c r="AVU90" s="68"/>
      <c r="AVV90" s="68"/>
      <c r="AVW90" s="68"/>
      <c r="AVX90" s="68"/>
      <c r="AVY90" s="68"/>
      <c r="AVZ90" s="68"/>
      <c r="AWA90" s="68"/>
      <c r="AWB90" s="68"/>
      <c r="AWC90" s="68"/>
      <c r="AWD90" s="68"/>
      <c r="AWE90" s="68"/>
      <c r="AWF90" s="68"/>
      <c r="AWG90" s="68"/>
      <c r="AWH90" s="68"/>
      <c r="AWI90" s="68"/>
      <c r="AWJ90" s="68"/>
      <c r="AWK90" s="68"/>
      <c r="AWL90" s="68"/>
      <c r="AWM90" s="68"/>
      <c r="AWN90" s="68"/>
      <c r="AWO90" s="68"/>
      <c r="AWP90" s="68"/>
      <c r="AWQ90" s="68"/>
      <c r="AWR90" s="68"/>
      <c r="AWS90" s="68"/>
      <c r="AWT90" s="68"/>
      <c r="AWU90" s="68"/>
      <c r="AWV90" s="68"/>
      <c r="AWW90" s="68"/>
      <c r="AWX90" s="68"/>
      <c r="AWY90" s="68"/>
      <c r="AWZ90" s="68"/>
      <c r="AXA90" s="68"/>
      <c r="AXB90" s="68"/>
      <c r="AXC90" s="68"/>
      <c r="AXD90" s="68"/>
      <c r="AXE90" s="68"/>
      <c r="AXF90" s="68"/>
      <c r="AXG90" s="68"/>
      <c r="AXH90" s="68"/>
      <c r="AXI90" s="68"/>
      <c r="AXJ90" s="68"/>
      <c r="AXK90" s="68"/>
      <c r="AXL90" s="68"/>
      <c r="AXM90" s="68"/>
      <c r="AXN90" s="68"/>
      <c r="AXO90" s="68"/>
      <c r="AXP90" s="68"/>
      <c r="AXQ90" s="68"/>
      <c r="AXR90" s="68"/>
      <c r="AXS90" s="68"/>
      <c r="AXT90" s="68"/>
      <c r="AXU90" s="68"/>
      <c r="AXV90" s="68"/>
      <c r="AXW90" s="68"/>
      <c r="AXX90" s="68"/>
      <c r="AXY90" s="68"/>
      <c r="AXZ90" s="68"/>
      <c r="AYA90" s="68"/>
      <c r="AYB90" s="68"/>
      <c r="AYC90" s="68"/>
      <c r="AYD90" s="68"/>
      <c r="AYE90" s="68"/>
      <c r="AYF90" s="68"/>
      <c r="AYG90" s="68"/>
      <c r="AYH90" s="68"/>
      <c r="AYI90" s="68"/>
      <c r="AYJ90" s="68"/>
      <c r="AYK90" s="68"/>
      <c r="AYL90" s="68"/>
      <c r="AYM90" s="68"/>
      <c r="AYN90" s="68"/>
      <c r="AYO90" s="68"/>
      <c r="AYP90" s="68"/>
      <c r="AYQ90" s="68"/>
      <c r="AYR90" s="68"/>
      <c r="AYS90" s="68"/>
      <c r="AYT90" s="68"/>
      <c r="AYU90" s="68"/>
      <c r="AYV90" s="68"/>
      <c r="AYW90" s="68"/>
      <c r="AYX90" s="68"/>
      <c r="AYY90" s="68"/>
      <c r="AYZ90" s="68"/>
      <c r="AZA90" s="68"/>
      <c r="AZB90" s="68"/>
      <c r="AZC90" s="68"/>
      <c r="AZD90" s="68"/>
      <c r="AZE90" s="68"/>
      <c r="AZF90" s="68"/>
      <c r="AZG90" s="68"/>
      <c r="AZH90" s="68"/>
      <c r="AZI90" s="68"/>
      <c r="AZJ90" s="68"/>
      <c r="AZK90" s="68"/>
      <c r="AZL90" s="68"/>
      <c r="AZM90" s="68"/>
      <c r="AZN90" s="68"/>
      <c r="AZO90" s="68"/>
      <c r="AZP90" s="68"/>
      <c r="AZQ90" s="68"/>
      <c r="AZR90" s="68"/>
      <c r="AZS90" s="68"/>
      <c r="AZT90" s="68"/>
      <c r="AZU90" s="68"/>
      <c r="AZV90" s="68"/>
      <c r="AZW90" s="68"/>
      <c r="AZX90" s="68"/>
      <c r="AZY90" s="68"/>
      <c r="AZZ90" s="68"/>
      <c r="BAA90" s="68"/>
      <c r="BAB90" s="68"/>
      <c r="BAC90" s="68"/>
      <c r="BAD90" s="68"/>
      <c r="BAE90" s="68"/>
      <c r="BAF90" s="68"/>
      <c r="BAG90" s="68"/>
      <c r="BAH90" s="68"/>
      <c r="BAI90" s="68"/>
      <c r="BAJ90" s="68"/>
      <c r="BAK90" s="68"/>
      <c r="BAL90" s="68"/>
      <c r="BAM90" s="68"/>
      <c r="BAN90" s="68"/>
      <c r="BAO90" s="68"/>
      <c r="BAP90" s="68"/>
      <c r="BAQ90" s="68"/>
      <c r="BAR90" s="68"/>
      <c r="BAS90" s="68"/>
      <c r="BAT90" s="68"/>
      <c r="BAU90" s="68"/>
      <c r="BAV90" s="68"/>
      <c r="BAW90" s="68"/>
      <c r="BAX90" s="68"/>
      <c r="BAY90" s="68"/>
      <c r="BAZ90" s="68"/>
      <c r="BBA90" s="68"/>
      <c r="BBB90" s="68"/>
      <c r="BBC90" s="68"/>
      <c r="BBD90" s="68"/>
      <c r="BBE90" s="68"/>
      <c r="BBF90" s="68"/>
      <c r="BBG90" s="68"/>
      <c r="BBH90" s="68"/>
      <c r="BBI90" s="68"/>
      <c r="BBJ90" s="68"/>
      <c r="BBK90" s="68"/>
      <c r="BBL90" s="68"/>
      <c r="BBM90" s="68"/>
      <c r="BBN90" s="68"/>
      <c r="BBO90" s="68"/>
      <c r="BBP90" s="68"/>
      <c r="BBQ90" s="68"/>
      <c r="BBR90" s="68"/>
      <c r="BBS90" s="68"/>
      <c r="BBT90" s="68"/>
      <c r="BBU90" s="68"/>
      <c r="BBV90" s="68"/>
      <c r="BBW90" s="68"/>
      <c r="BBX90" s="68"/>
      <c r="BBY90" s="68"/>
      <c r="BBZ90" s="68"/>
      <c r="BCA90" s="68"/>
      <c r="BCB90" s="68"/>
      <c r="BCC90" s="68"/>
      <c r="BCD90" s="68"/>
      <c r="BCE90" s="68"/>
      <c r="BCF90" s="68"/>
      <c r="BCG90" s="68"/>
      <c r="BCH90" s="68"/>
      <c r="BCI90" s="68"/>
      <c r="BCJ90" s="68"/>
      <c r="BCK90" s="68"/>
      <c r="BCL90" s="68"/>
      <c r="BCM90" s="68"/>
      <c r="BCN90" s="68"/>
      <c r="BCO90" s="68"/>
      <c r="BCP90" s="68"/>
      <c r="BCQ90" s="68"/>
      <c r="BCR90" s="68"/>
      <c r="BCS90" s="68"/>
      <c r="BCT90" s="68"/>
      <c r="BCU90" s="68"/>
      <c r="BCV90" s="68"/>
      <c r="BCW90" s="68"/>
      <c r="BCX90" s="68"/>
      <c r="BCY90" s="68"/>
      <c r="BCZ90" s="68"/>
      <c r="BDA90" s="68"/>
    </row>
    <row r="91" spans="1:1458" s="67" customFormat="1" ht="54" customHeight="1" x14ac:dyDescent="0.25">
      <c r="A91" s="49">
        <v>9</v>
      </c>
      <c r="B91" s="71" t="s">
        <v>723</v>
      </c>
      <c r="C91" s="71" t="s">
        <v>724</v>
      </c>
      <c r="D91" s="71" t="s">
        <v>708</v>
      </c>
      <c r="E91" s="71" t="s">
        <v>709</v>
      </c>
      <c r="F91" s="51">
        <v>6836550</v>
      </c>
      <c r="G91" s="70" t="s">
        <v>574</v>
      </c>
      <c r="H91" s="42" t="s">
        <v>664</v>
      </c>
      <c r="I91" s="71" t="s">
        <v>725</v>
      </c>
      <c r="J91" s="71" t="s">
        <v>60</v>
      </c>
      <c r="K91" s="71" t="s">
        <v>341</v>
      </c>
      <c r="L91" s="73">
        <v>6836550</v>
      </c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  <c r="BW91" s="68"/>
      <c r="BX91" s="68"/>
      <c r="BY91" s="68"/>
      <c r="BZ91" s="68"/>
      <c r="CA91" s="68"/>
      <c r="CB91" s="68"/>
      <c r="CC91" s="68"/>
      <c r="CD91" s="68"/>
      <c r="CE91" s="68"/>
      <c r="CF91" s="68"/>
      <c r="CG91" s="68"/>
      <c r="CH91" s="68"/>
      <c r="CI91" s="68"/>
      <c r="CJ91" s="68"/>
      <c r="CK91" s="68"/>
      <c r="CL91" s="68"/>
      <c r="CM91" s="68"/>
      <c r="CN91" s="68"/>
      <c r="CO91" s="68"/>
      <c r="CP91" s="68"/>
      <c r="CQ91" s="68"/>
      <c r="CR91" s="68"/>
      <c r="CS91" s="68"/>
      <c r="CT91" s="68"/>
      <c r="CU91" s="68"/>
      <c r="CV91" s="68"/>
      <c r="CW91" s="68"/>
      <c r="CX91" s="68"/>
      <c r="CY91" s="68"/>
      <c r="CZ91" s="68"/>
      <c r="DA91" s="68"/>
      <c r="DB91" s="68"/>
      <c r="DC91" s="68"/>
      <c r="DD91" s="68"/>
      <c r="DE91" s="68"/>
      <c r="DF91" s="68"/>
      <c r="DG91" s="68"/>
      <c r="DH91" s="68"/>
      <c r="DI91" s="68"/>
      <c r="DJ91" s="68"/>
      <c r="DK91" s="68"/>
      <c r="DL91" s="68"/>
      <c r="DM91" s="68"/>
      <c r="DN91" s="68"/>
      <c r="DO91" s="68"/>
      <c r="DP91" s="68"/>
      <c r="DQ91" s="68"/>
      <c r="DR91" s="68"/>
      <c r="DS91" s="68"/>
      <c r="DT91" s="68"/>
      <c r="DU91" s="68"/>
      <c r="DV91" s="68"/>
      <c r="DW91" s="68"/>
      <c r="DX91" s="68"/>
      <c r="DY91" s="68"/>
      <c r="DZ91" s="68"/>
      <c r="EA91" s="68"/>
      <c r="EB91" s="68"/>
      <c r="EC91" s="68"/>
      <c r="ED91" s="68"/>
      <c r="EE91" s="68"/>
      <c r="EF91" s="68"/>
      <c r="EG91" s="68"/>
      <c r="EH91" s="68"/>
      <c r="EI91" s="68"/>
      <c r="EJ91" s="68"/>
      <c r="EK91" s="68"/>
      <c r="EL91" s="68"/>
      <c r="EM91" s="68"/>
      <c r="EN91" s="68"/>
      <c r="EO91" s="68"/>
      <c r="EP91" s="68"/>
      <c r="EQ91" s="68"/>
      <c r="ER91" s="68"/>
      <c r="ES91" s="68"/>
      <c r="ET91" s="68"/>
      <c r="EU91" s="68"/>
      <c r="EV91" s="68"/>
      <c r="EW91" s="68"/>
      <c r="EX91" s="68"/>
      <c r="EY91" s="68"/>
      <c r="EZ91" s="68"/>
      <c r="FA91" s="68"/>
      <c r="FB91" s="68"/>
      <c r="FC91" s="68"/>
      <c r="FD91" s="68"/>
      <c r="FE91" s="68"/>
      <c r="FF91" s="68"/>
      <c r="FG91" s="68"/>
      <c r="FH91" s="68"/>
      <c r="FI91" s="68"/>
      <c r="FJ91" s="68"/>
      <c r="FK91" s="68"/>
      <c r="FL91" s="68"/>
      <c r="FM91" s="68"/>
      <c r="FN91" s="68"/>
      <c r="FO91" s="68"/>
      <c r="FP91" s="68"/>
      <c r="FQ91" s="68"/>
      <c r="FR91" s="68"/>
      <c r="FS91" s="68"/>
      <c r="FT91" s="68"/>
      <c r="FU91" s="68"/>
      <c r="FV91" s="68"/>
      <c r="FW91" s="68"/>
      <c r="FX91" s="68"/>
      <c r="FY91" s="68"/>
      <c r="FZ91" s="68"/>
      <c r="GA91" s="68"/>
      <c r="GB91" s="68"/>
      <c r="GC91" s="68"/>
      <c r="GD91" s="68"/>
      <c r="GE91" s="68"/>
      <c r="GF91" s="68"/>
      <c r="GG91" s="68"/>
      <c r="GH91" s="68"/>
      <c r="GI91" s="68"/>
      <c r="GJ91" s="68"/>
      <c r="GK91" s="68"/>
      <c r="GL91" s="68"/>
      <c r="GM91" s="68"/>
      <c r="GN91" s="68"/>
      <c r="GO91" s="68"/>
      <c r="GP91" s="68"/>
      <c r="GQ91" s="68"/>
      <c r="GR91" s="68"/>
      <c r="GS91" s="68"/>
      <c r="GT91" s="68"/>
      <c r="GU91" s="68"/>
      <c r="GV91" s="68"/>
      <c r="GW91" s="68"/>
      <c r="GX91" s="68"/>
      <c r="GY91" s="68"/>
      <c r="GZ91" s="68"/>
      <c r="HA91" s="68"/>
      <c r="HB91" s="68"/>
      <c r="HC91" s="68"/>
      <c r="HD91" s="68"/>
      <c r="HE91" s="68"/>
      <c r="HF91" s="68"/>
      <c r="HG91" s="68"/>
      <c r="HH91" s="68"/>
      <c r="HI91" s="68"/>
      <c r="HJ91" s="68"/>
      <c r="HK91" s="68"/>
      <c r="HL91" s="68"/>
      <c r="HM91" s="68"/>
      <c r="HN91" s="68"/>
      <c r="HO91" s="68"/>
      <c r="HP91" s="68"/>
      <c r="HQ91" s="68"/>
      <c r="HR91" s="68"/>
      <c r="HS91" s="68"/>
      <c r="HT91" s="68"/>
      <c r="HU91" s="68"/>
      <c r="HV91" s="68"/>
      <c r="HW91" s="68"/>
      <c r="HX91" s="68"/>
      <c r="HY91" s="68"/>
      <c r="HZ91" s="68"/>
      <c r="IA91" s="68"/>
      <c r="IB91" s="68"/>
      <c r="IC91" s="68"/>
      <c r="ID91" s="68"/>
      <c r="IE91" s="68"/>
      <c r="IF91" s="68"/>
      <c r="IG91" s="68"/>
      <c r="IH91" s="68"/>
      <c r="II91" s="68"/>
      <c r="IJ91" s="68"/>
      <c r="IK91" s="68"/>
      <c r="IL91" s="68"/>
      <c r="IM91" s="68"/>
      <c r="IN91" s="68"/>
      <c r="IO91" s="68"/>
      <c r="IP91" s="68"/>
      <c r="IQ91" s="68"/>
      <c r="IR91" s="68"/>
      <c r="IS91" s="68"/>
      <c r="IT91" s="68"/>
      <c r="IU91" s="68"/>
      <c r="IV91" s="68"/>
      <c r="IW91" s="68"/>
      <c r="IX91" s="68"/>
      <c r="IY91" s="68"/>
      <c r="IZ91" s="68"/>
      <c r="JA91" s="68"/>
      <c r="JB91" s="68"/>
      <c r="JC91" s="68"/>
      <c r="JD91" s="68"/>
      <c r="JE91" s="68"/>
      <c r="JF91" s="68"/>
      <c r="JG91" s="68"/>
      <c r="JH91" s="68"/>
      <c r="JI91" s="68"/>
      <c r="JJ91" s="68"/>
      <c r="JK91" s="68"/>
      <c r="JL91" s="68"/>
      <c r="JM91" s="68"/>
      <c r="JN91" s="68"/>
      <c r="JO91" s="68"/>
      <c r="JP91" s="68"/>
      <c r="JQ91" s="68"/>
      <c r="JR91" s="68"/>
      <c r="JS91" s="68"/>
      <c r="JT91" s="68"/>
      <c r="JU91" s="68"/>
      <c r="JV91" s="68"/>
      <c r="JW91" s="68"/>
      <c r="JX91" s="68"/>
      <c r="JY91" s="68"/>
      <c r="JZ91" s="68"/>
      <c r="KA91" s="68"/>
      <c r="KB91" s="68"/>
      <c r="KC91" s="68"/>
      <c r="KD91" s="68"/>
      <c r="KE91" s="68"/>
      <c r="KF91" s="68"/>
      <c r="KG91" s="68"/>
      <c r="KH91" s="68"/>
      <c r="KI91" s="68"/>
      <c r="KJ91" s="68"/>
      <c r="KK91" s="68"/>
      <c r="KL91" s="68"/>
      <c r="KM91" s="68"/>
      <c r="KN91" s="68"/>
      <c r="KO91" s="68"/>
      <c r="KP91" s="68"/>
      <c r="KQ91" s="68"/>
      <c r="KR91" s="68"/>
      <c r="KS91" s="68"/>
      <c r="KT91" s="68"/>
      <c r="KU91" s="68"/>
      <c r="KV91" s="68"/>
      <c r="KW91" s="68"/>
      <c r="KX91" s="68"/>
      <c r="KY91" s="68"/>
      <c r="KZ91" s="68"/>
      <c r="LA91" s="68"/>
      <c r="LB91" s="68"/>
      <c r="LC91" s="68"/>
      <c r="LD91" s="68"/>
      <c r="LE91" s="68"/>
      <c r="LF91" s="68"/>
      <c r="LG91" s="68"/>
      <c r="LH91" s="68"/>
      <c r="LI91" s="68"/>
      <c r="LJ91" s="68"/>
      <c r="LK91" s="68"/>
      <c r="LL91" s="68"/>
      <c r="LM91" s="68"/>
      <c r="LN91" s="68"/>
      <c r="LO91" s="68"/>
      <c r="LP91" s="68"/>
      <c r="LQ91" s="68"/>
      <c r="LR91" s="68"/>
      <c r="LS91" s="68"/>
      <c r="LT91" s="68"/>
      <c r="LU91" s="68"/>
      <c r="LV91" s="68"/>
      <c r="LW91" s="68"/>
      <c r="LX91" s="68"/>
      <c r="LY91" s="68"/>
      <c r="LZ91" s="68"/>
      <c r="MA91" s="68"/>
      <c r="MB91" s="68"/>
      <c r="MC91" s="68"/>
      <c r="MD91" s="68"/>
      <c r="ME91" s="68"/>
      <c r="MF91" s="68"/>
      <c r="MG91" s="68"/>
      <c r="MH91" s="68"/>
      <c r="MI91" s="68"/>
      <c r="MJ91" s="68"/>
      <c r="MK91" s="68"/>
      <c r="ML91" s="68"/>
      <c r="MM91" s="68"/>
      <c r="MN91" s="68"/>
      <c r="MO91" s="68"/>
      <c r="MP91" s="68"/>
      <c r="MQ91" s="68"/>
      <c r="MR91" s="68"/>
      <c r="MS91" s="68"/>
      <c r="MT91" s="68"/>
      <c r="MU91" s="68"/>
      <c r="MV91" s="68"/>
      <c r="MW91" s="68"/>
      <c r="MX91" s="68"/>
      <c r="MY91" s="68"/>
      <c r="MZ91" s="68"/>
      <c r="NA91" s="68"/>
      <c r="NB91" s="68"/>
      <c r="NC91" s="68"/>
      <c r="ND91" s="68"/>
      <c r="NE91" s="68"/>
      <c r="NF91" s="68"/>
      <c r="NG91" s="68"/>
      <c r="NH91" s="68"/>
      <c r="NI91" s="68"/>
      <c r="NJ91" s="68"/>
      <c r="NK91" s="68"/>
      <c r="NL91" s="68"/>
      <c r="NM91" s="68"/>
      <c r="NN91" s="68"/>
      <c r="NO91" s="68"/>
      <c r="NP91" s="68"/>
      <c r="NQ91" s="68"/>
      <c r="NR91" s="68"/>
      <c r="NS91" s="68"/>
      <c r="NT91" s="68"/>
      <c r="NU91" s="68"/>
      <c r="NV91" s="68"/>
      <c r="NW91" s="68"/>
      <c r="NX91" s="68"/>
      <c r="NY91" s="68"/>
      <c r="NZ91" s="68"/>
      <c r="OA91" s="68"/>
      <c r="OB91" s="68"/>
      <c r="OC91" s="68"/>
      <c r="OD91" s="68"/>
      <c r="OE91" s="68"/>
      <c r="OF91" s="68"/>
      <c r="OG91" s="68"/>
      <c r="OH91" s="68"/>
      <c r="OI91" s="68"/>
      <c r="OJ91" s="68"/>
      <c r="OK91" s="68"/>
      <c r="OL91" s="68"/>
      <c r="OM91" s="68"/>
      <c r="ON91" s="68"/>
      <c r="OO91" s="68"/>
      <c r="OP91" s="68"/>
      <c r="OQ91" s="68"/>
      <c r="OR91" s="68"/>
      <c r="OS91" s="68"/>
      <c r="OT91" s="68"/>
      <c r="OU91" s="68"/>
      <c r="OV91" s="68"/>
      <c r="OW91" s="68"/>
      <c r="OX91" s="68"/>
      <c r="OY91" s="68"/>
      <c r="OZ91" s="68"/>
      <c r="PA91" s="68"/>
      <c r="PB91" s="68"/>
      <c r="PC91" s="68"/>
      <c r="PD91" s="68"/>
      <c r="PE91" s="68"/>
      <c r="PF91" s="68"/>
      <c r="PG91" s="68"/>
      <c r="PH91" s="68"/>
      <c r="PI91" s="68"/>
      <c r="PJ91" s="68"/>
      <c r="PK91" s="68"/>
      <c r="PL91" s="68"/>
      <c r="PM91" s="68"/>
      <c r="PN91" s="68"/>
      <c r="PO91" s="68"/>
      <c r="PP91" s="68"/>
      <c r="PQ91" s="68"/>
      <c r="PR91" s="68"/>
      <c r="PS91" s="68"/>
      <c r="PT91" s="68"/>
      <c r="PU91" s="68"/>
      <c r="PV91" s="68"/>
      <c r="PW91" s="68"/>
      <c r="PX91" s="68"/>
      <c r="PY91" s="68"/>
      <c r="PZ91" s="68"/>
      <c r="QA91" s="68"/>
      <c r="QB91" s="68"/>
      <c r="QC91" s="68"/>
      <c r="QD91" s="68"/>
      <c r="QE91" s="68"/>
      <c r="QF91" s="68"/>
      <c r="QG91" s="68"/>
      <c r="QH91" s="68"/>
      <c r="QI91" s="68"/>
      <c r="QJ91" s="68"/>
      <c r="QK91" s="68"/>
      <c r="QL91" s="68"/>
      <c r="QM91" s="68"/>
      <c r="QN91" s="68"/>
      <c r="QO91" s="68"/>
      <c r="QP91" s="68"/>
      <c r="QQ91" s="68"/>
      <c r="QR91" s="68"/>
      <c r="QS91" s="68"/>
      <c r="QT91" s="68"/>
      <c r="QU91" s="68"/>
      <c r="QV91" s="68"/>
      <c r="QW91" s="68"/>
      <c r="QX91" s="68"/>
      <c r="QY91" s="68"/>
      <c r="QZ91" s="68"/>
      <c r="RA91" s="68"/>
      <c r="RB91" s="68"/>
      <c r="RC91" s="68"/>
      <c r="RD91" s="68"/>
      <c r="RE91" s="68"/>
      <c r="RF91" s="68"/>
      <c r="RG91" s="68"/>
      <c r="RH91" s="68"/>
      <c r="RI91" s="68"/>
      <c r="RJ91" s="68"/>
      <c r="RK91" s="68"/>
      <c r="RL91" s="68"/>
      <c r="RM91" s="68"/>
      <c r="RN91" s="68"/>
      <c r="RO91" s="68"/>
      <c r="RP91" s="68"/>
      <c r="RQ91" s="68"/>
      <c r="RR91" s="68"/>
      <c r="RS91" s="68"/>
      <c r="RT91" s="68"/>
      <c r="RU91" s="68"/>
      <c r="RV91" s="68"/>
      <c r="RW91" s="68"/>
      <c r="RX91" s="68"/>
      <c r="RY91" s="68"/>
      <c r="RZ91" s="68"/>
      <c r="SA91" s="68"/>
      <c r="SB91" s="68"/>
      <c r="SC91" s="68"/>
      <c r="SD91" s="68"/>
      <c r="SE91" s="68"/>
      <c r="SF91" s="68"/>
      <c r="SG91" s="68"/>
      <c r="SH91" s="68"/>
      <c r="SI91" s="68"/>
      <c r="SJ91" s="68"/>
      <c r="SK91" s="68"/>
      <c r="SL91" s="68"/>
      <c r="SM91" s="68"/>
      <c r="SN91" s="68"/>
      <c r="SO91" s="68"/>
      <c r="SP91" s="68"/>
      <c r="SQ91" s="68"/>
      <c r="SR91" s="68"/>
      <c r="SS91" s="68"/>
      <c r="ST91" s="68"/>
      <c r="SU91" s="68"/>
      <c r="SV91" s="68"/>
      <c r="SW91" s="68"/>
      <c r="SX91" s="68"/>
      <c r="SY91" s="68"/>
      <c r="SZ91" s="68"/>
      <c r="TA91" s="68"/>
      <c r="TB91" s="68"/>
      <c r="TC91" s="68"/>
      <c r="TD91" s="68"/>
      <c r="TE91" s="68"/>
      <c r="TF91" s="68"/>
      <c r="TG91" s="68"/>
      <c r="TH91" s="68"/>
      <c r="TI91" s="68"/>
      <c r="TJ91" s="68"/>
      <c r="TK91" s="68"/>
      <c r="TL91" s="68"/>
      <c r="TM91" s="68"/>
      <c r="TN91" s="68"/>
      <c r="TO91" s="68"/>
      <c r="TP91" s="68"/>
      <c r="TQ91" s="68"/>
      <c r="TR91" s="68"/>
      <c r="TS91" s="68"/>
      <c r="TT91" s="68"/>
      <c r="TU91" s="68"/>
      <c r="TV91" s="68"/>
      <c r="TW91" s="68"/>
      <c r="TX91" s="68"/>
      <c r="TY91" s="68"/>
      <c r="TZ91" s="68"/>
      <c r="UA91" s="68"/>
      <c r="UB91" s="68"/>
      <c r="UC91" s="68"/>
      <c r="UD91" s="68"/>
      <c r="UE91" s="68"/>
      <c r="UF91" s="68"/>
      <c r="UG91" s="68"/>
      <c r="UH91" s="68"/>
      <c r="UI91" s="68"/>
      <c r="UJ91" s="68"/>
      <c r="UK91" s="68"/>
      <c r="UL91" s="68"/>
      <c r="UM91" s="68"/>
      <c r="UN91" s="68"/>
      <c r="UO91" s="68"/>
      <c r="UP91" s="68"/>
      <c r="UQ91" s="68"/>
      <c r="UR91" s="68"/>
      <c r="US91" s="68"/>
      <c r="UT91" s="68"/>
      <c r="UU91" s="68"/>
      <c r="UV91" s="68"/>
      <c r="UW91" s="68"/>
      <c r="UX91" s="68"/>
      <c r="UY91" s="68"/>
      <c r="UZ91" s="68"/>
      <c r="VA91" s="68"/>
      <c r="VB91" s="68"/>
      <c r="VC91" s="68"/>
      <c r="VD91" s="68"/>
      <c r="VE91" s="68"/>
      <c r="VF91" s="68"/>
      <c r="VG91" s="68"/>
      <c r="VH91" s="68"/>
      <c r="VI91" s="68"/>
      <c r="VJ91" s="68"/>
      <c r="VK91" s="68"/>
      <c r="VL91" s="68"/>
      <c r="VM91" s="68"/>
      <c r="VN91" s="68"/>
      <c r="VO91" s="68"/>
      <c r="VP91" s="68"/>
      <c r="VQ91" s="68"/>
      <c r="VR91" s="68"/>
      <c r="VS91" s="68"/>
      <c r="VT91" s="68"/>
      <c r="VU91" s="68"/>
      <c r="VV91" s="68"/>
      <c r="VW91" s="68"/>
      <c r="VX91" s="68"/>
      <c r="VY91" s="68"/>
      <c r="VZ91" s="68"/>
      <c r="WA91" s="68"/>
      <c r="WB91" s="68"/>
      <c r="WC91" s="68"/>
      <c r="WD91" s="68"/>
      <c r="WE91" s="68"/>
      <c r="WF91" s="68"/>
      <c r="WG91" s="68"/>
      <c r="WH91" s="68"/>
      <c r="WI91" s="68"/>
      <c r="WJ91" s="68"/>
      <c r="WK91" s="68"/>
      <c r="WL91" s="68"/>
      <c r="WM91" s="68"/>
      <c r="WN91" s="68"/>
      <c r="WO91" s="68"/>
      <c r="WP91" s="68"/>
      <c r="WQ91" s="68"/>
      <c r="WR91" s="68"/>
      <c r="WS91" s="68"/>
      <c r="WT91" s="68"/>
      <c r="WU91" s="68"/>
      <c r="WV91" s="68"/>
      <c r="WW91" s="68"/>
      <c r="WX91" s="68"/>
      <c r="WY91" s="68"/>
      <c r="WZ91" s="68"/>
      <c r="XA91" s="68"/>
      <c r="XB91" s="68"/>
      <c r="XC91" s="68"/>
      <c r="XD91" s="68"/>
      <c r="XE91" s="68"/>
      <c r="XF91" s="68"/>
      <c r="XG91" s="68"/>
      <c r="XH91" s="68"/>
      <c r="XI91" s="68"/>
      <c r="XJ91" s="68"/>
      <c r="XK91" s="68"/>
      <c r="XL91" s="68"/>
      <c r="XM91" s="68"/>
      <c r="XN91" s="68"/>
      <c r="XO91" s="68"/>
      <c r="XP91" s="68"/>
      <c r="XQ91" s="68"/>
      <c r="XR91" s="68"/>
      <c r="XS91" s="68"/>
      <c r="XT91" s="68"/>
      <c r="XU91" s="68"/>
      <c r="XV91" s="68"/>
      <c r="XW91" s="68"/>
      <c r="XX91" s="68"/>
      <c r="XY91" s="68"/>
      <c r="XZ91" s="68"/>
      <c r="YA91" s="68"/>
      <c r="YB91" s="68"/>
      <c r="YC91" s="68"/>
      <c r="YD91" s="68"/>
      <c r="YE91" s="68"/>
      <c r="YF91" s="68"/>
      <c r="YG91" s="68"/>
      <c r="YH91" s="68"/>
      <c r="YI91" s="68"/>
      <c r="YJ91" s="68"/>
      <c r="YK91" s="68"/>
      <c r="YL91" s="68"/>
      <c r="YM91" s="68"/>
      <c r="YN91" s="68"/>
      <c r="YO91" s="68"/>
      <c r="YP91" s="68"/>
      <c r="YQ91" s="68"/>
      <c r="YR91" s="68"/>
      <c r="YS91" s="68"/>
      <c r="YT91" s="68"/>
      <c r="YU91" s="68"/>
      <c r="YV91" s="68"/>
      <c r="YW91" s="68"/>
      <c r="YX91" s="68"/>
      <c r="YY91" s="68"/>
      <c r="YZ91" s="68"/>
      <c r="ZA91" s="68"/>
      <c r="ZB91" s="68"/>
      <c r="ZC91" s="68"/>
      <c r="ZD91" s="68"/>
      <c r="ZE91" s="68"/>
      <c r="ZF91" s="68"/>
      <c r="ZG91" s="68"/>
      <c r="ZH91" s="68"/>
      <c r="ZI91" s="68"/>
      <c r="ZJ91" s="68"/>
      <c r="ZK91" s="68"/>
      <c r="ZL91" s="68"/>
      <c r="ZM91" s="68"/>
      <c r="ZN91" s="68"/>
      <c r="ZO91" s="68"/>
      <c r="ZP91" s="68"/>
      <c r="ZQ91" s="68"/>
      <c r="ZR91" s="68"/>
      <c r="ZS91" s="68"/>
      <c r="ZT91" s="68"/>
      <c r="ZU91" s="68"/>
      <c r="ZV91" s="68"/>
      <c r="ZW91" s="68"/>
      <c r="ZX91" s="68"/>
      <c r="ZY91" s="68"/>
      <c r="ZZ91" s="68"/>
      <c r="AAA91" s="68"/>
      <c r="AAB91" s="68"/>
      <c r="AAC91" s="68"/>
      <c r="AAD91" s="68"/>
      <c r="AAE91" s="68"/>
      <c r="AAF91" s="68"/>
      <c r="AAG91" s="68"/>
      <c r="AAH91" s="68"/>
      <c r="AAI91" s="68"/>
      <c r="AAJ91" s="68"/>
      <c r="AAK91" s="68"/>
      <c r="AAL91" s="68"/>
      <c r="AAM91" s="68"/>
      <c r="AAN91" s="68"/>
      <c r="AAO91" s="68"/>
      <c r="AAP91" s="68"/>
      <c r="AAQ91" s="68"/>
      <c r="AAR91" s="68"/>
      <c r="AAS91" s="68"/>
      <c r="AAT91" s="68"/>
      <c r="AAU91" s="68"/>
      <c r="AAV91" s="68"/>
      <c r="AAW91" s="68"/>
      <c r="AAX91" s="68"/>
      <c r="AAY91" s="68"/>
      <c r="AAZ91" s="68"/>
      <c r="ABA91" s="68"/>
      <c r="ABB91" s="68"/>
      <c r="ABC91" s="68"/>
      <c r="ABD91" s="68"/>
      <c r="ABE91" s="68"/>
      <c r="ABF91" s="68"/>
      <c r="ABG91" s="68"/>
      <c r="ABH91" s="68"/>
      <c r="ABI91" s="68"/>
      <c r="ABJ91" s="68"/>
      <c r="ABK91" s="68"/>
      <c r="ABL91" s="68"/>
      <c r="ABM91" s="68"/>
      <c r="ABN91" s="68"/>
      <c r="ABO91" s="68"/>
      <c r="ABP91" s="68"/>
      <c r="ABQ91" s="68"/>
      <c r="ABR91" s="68"/>
      <c r="ABS91" s="68"/>
      <c r="ABT91" s="68"/>
      <c r="ABU91" s="68"/>
      <c r="ABV91" s="68"/>
      <c r="ABW91" s="68"/>
      <c r="ABX91" s="68"/>
      <c r="ABY91" s="68"/>
      <c r="ABZ91" s="68"/>
      <c r="ACA91" s="68"/>
      <c r="ACB91" s="68"/>
      <c r="ACC91" s="68"/>
      <c r="ACD91" s="68"/>
      <c r="ACE91" s="68"/>
      <c r="ACF91" s="68"/>
      <c r="ACG91" s="68"/>
      <c r="ACH91" s="68"/>
      <c r="ACI91" s="68"/>
      <c r="ACJ91" s="68"/>
      <c r="ACK91" s="68"/>
      <c r="ACL91" s="68"/>
      <c r="ACM91" s="68"/>
      <c r="ACN91" s="68"/>
      <c r="ACO91" s="68"/>
      <c r="ACP91" s="68"/>
      <c r="ACQ91" s="68"/>
      <c r="ACR91" s="68"/>
      <c r="ACS91" s="68"/>
      <c r="ACT91" s="68"/>
      <c r="ACU91" s="68"/>
      <c r="ACV91" s="68"/>
      <c r="ACW91" s="68"/>
      <c r="ACX91" s="68"/>
      <c r="ACY91" s="68"/>
      <c r="ACZ91" s="68"/>
      <c r="ADA91" s="68"/>
      <c r="ADB91" s="68"/>
      <c r="ADC91" s="68"/>
      <c r="ADD91" s="68"/>
      <c r="ADE91" s="68"/>
      <c r="ADF91" s="68"/>
      <c r="ADG91" s="68"/>
      <c r="ADH91" s="68"/>
      <c r="ADI91" s="68"/>
      <c r="ADJ91" s="68"/>
      <c r="ADK91" s="68"/>
      <c r="ADL91" s="68"/>
      <c r="ADM91" s="68"/>
      <c r="ADN91" s="68"/>
      <c r="ADO91" s="68"/>
      <c r="ADP91" s="68"/>
      <c r="ADQ91" s="68"/>
      <c r="ADR91" s="68"/>
      <c r="ADS91" s="68"/>
      <c r="ADT91" s="68"/>
      <c r="ADU91" s="68"/>
      <c r="ADV91" s="68"/>
      <c r="ADW91" s="68"/>
      <c r="ADX91" s="68"/>
      <c r="ADY91" s="68"/>
      <c r="ADZ91" s="68"/>
      <c r="AEA91" s="68"/>
      <c r="AEB91" s="68"/>
      <c r="AEC91" s="68"/>
      <c r="AED91" s="68"/>
      <c r="AEE91" s="68"/>
      <c r="AEF91" s="68"/>
      <c r="AEG91" s="68"/>
      <c r="AEH91" s="68"/>
      <c r="AEI91" s="68"/>
      <c r="AEJ91" s="68"/>
      <c r="AEK91" s="68"/>
      <c r="AEL91" s="68"/>
      <c r="AEM91" s="68"/>
      <c r="AEN91" s="68"/>
      <c r="AEO91" s="68"/>
      <c r="AEP91" s="68"/>
      <c r="AEQ91" s="68"/>
      <c r="AER91" s="68"/>
      <c r="AES91" s="68"/>
      <c r="AET91" s="68"/>
      <c r="AEU91" s="68"/>
      <c r="AEV91" s="68"/>
      <c r="AEW91" s="68"/>
      <c r="AEX91" s="68"/>
      <c r="AEY91" s="68"/>
      <c r="AEZ91" s="68"/>
      <c r="AFA91" s="68"/>
      <c r="AFB91" s="68"/>
      <c r="AFC91" s="68"/>
      <c r="AFD91" s="68"/>
      <c r="AFE91" s="68"/>
      <c r="AFF91" s="68"/>
      <c r="AFG91" s="68"/>
      <c r="AFH91" s="68"/>
      <c r="AFI91" s="68"/>
      <c r="AFJ91" s="68"/>
      <c r="AFK91" s="68"/>
      <c r="AFL91" s="68"/>
      <c r="AFM91" s="68"/>
      <c r="AFN91" s="68"/>
      <c r="AFO91" s="68"/>
      <c r="AFP91" s="68"/>
      <c r="AFQ91" s="68"/>
      <c r="AFR91" s="68"/>
      <c r="AFS91" s="68"/>
      <c r="AFT91" s="68"/>
      <c r="AFU91" s="68"/>
      <c r="AFV91" s="68"/>
      <c r="AFW91" s="68"/>
      <c r="AFX91" s="68"/>
      <c r="AFY91" s="68"/>
      <c r="AFZ91" s="68"/>
      <c r="AGA91" s="68"/>
      <c r="AGB91" s="68"/>
      <c r="AGC91" s="68"/>
      <c r="AGD91" s="68"/>
      <c r="AGE91" s="68"/>
      <c r="AGF91" s="68"/>
      <c r="AGG91" s="68"/>
      <c r="AGH91" s="68"/>
      <c r="AGI91" s="68"/>
      <c r="AGJ91" s="68"/>
      <c r="AGK91" s="68"/>
      <c r="AGL91" s="68"/>
      <c r="AGM91" s="68"/>
      <c r="AGN91" s="68"/>
      <c r="AGO91" s="68"/>
      <c r="AGP91" s="68"/>
      <c r="AGQ91" s="68"/>
      <c r="AGR91" s="68"/>
      <c r="AGS91" s="68"/>
      <c r="AGT91" s="68"/>
      <c r="AGU91" s="68"/>
      <c r="AGV91" s="68"/>
      <c r="AGW91" s="68"/>
      <c r="AGX91" s="68"/>
      <c r="AGY91" s="68"/>
      <c r="AGZ91" s="68"/>
      <c r="AHA91" s="68"/>
      <c r="AHB91" s="68"/>
      <c r="AHC91" s="68"/>
      <c r="AHD91" s="68"/>
      <c r="AHE91" s="68"/>
      <c r="AHF91" s="68"/>
      <c r="AHG91" s="68"/>
      <c r="AHH91" s="68"/>
      <c r="AHI91" s="68"/>
      <c r="AHJ91" s="68"/>
      <c r="AHK91" s="68"/>
      <c r="AHL91" s="68"/>
      <c r="AHM91" s="68"/>
      <c r="AHN91" s="68"/>
      <c r="AHO91" s="68"/>
      <c r="AHP91" s="68"/>
      <c r="AHQ91" s="68"/>
      <c r="AHR91" s="68"/>
      <c r="AHS91" s="68"/>
      <c r="AHT91" s="68"/>
      <c r="AHU91" s="68"/>
      <c r="AHV91" s="68"/>
      <c r="AHW91" s="68"/>
      <c r="AHX91" s="68"/>
      <c r="AHY91" s="68"/>
      <c r="AHZ91" s="68"/>
      <c r="AIA91" s="68"/>
      <c r="AIB91" s="68"/>
      <c r="AIC91" s="68"/>
      <c r="AID91" s="68"/>
      <c r="AIE91" s="68"/>
      <c r="AIF91" s="68"/>
      <c r="AIG91" s="68"/>
      <c r="AIH91" s="68"/>
      <c r="AII91" s="68"/>
      <c r="AIJ91" s="68"/>
      <c r="AIK91" s="68"/>
      <c r="AIL91" s="68"/>
      <c r="AIM91" s="68"/>
      <c r="AIN91" s="68"/>
      <c r="AIO91" s="68"/>
      <c r="AIP91" s="68"/>
      <c r="AIQ91" s="68"/>
      <c r="AIR91" s="68"/>
      <c r="AIS91" s="68"/>
      <c r="AIT91" s="68"/>
      <c r="AIU91" s="68"/>
      <c r="AIV91" s="68"/>
      <c r="AIW91" s="68"/>
      <c r="AIX91" s="68"/>
      <c r="AIY91" s="68"/>
      <c r="AIZ91" s="68"/>
      <c r="AJA91" s="68"/>
      <c r="AJB91" s="68"/>
      <c r="AJC91" s="68"/>
      <c r="AJD91" s="68"/>
      <c r="AJE91" s="68"/>
      <c r="AJF91" s="68"/>
      <c r="AJG91" s="68"/>
      <c r="AJH91" s="68"/>
      <c r="AJI91" s="68"/>
      <c r="AJJ91" s="68"/>
      <c r="AJK91" s="68"/>
      <c r="AJL91" s="68"/>
      <c r="AJM91" s="68"/>
      <c r="AJN91" s="68"/>
      <c r="AJO91" s="68"/>
      <c r="AJP91" s="68"/>
      <c r="AJQ91" s="68"/>
      <c r="AJR91" s="68"/>
      <c r="AJS91" s="68"/>
      <c r="AJT91" s="68"/>
      <c r="AJU91" s="68"/>
      <c r="AJV91" s="68"/>
      <c r="AJW91" s="68"/>
      <c r="AJX91" s="68"/>
      <c r="AJY91" s="68"/>
      <c r="AJZ91" s="68"/>
      <c r="AKA91" s="68"/>
      <c r="AKB91" s="68"/>
      <c r="AKC91" s="68"/>
      <c r="AKD91" s="68"/>
      <c r="AKE91" s="68"/>
      <c r="AKF91" s="68"/>
      <c r="AKG91" s="68"/>
      <c r="AKH91" s="68"/>
      <c r="AKI91" s="68"/>
      <c r="AKJ91" s="68"/>
      <c r="AKK91" s="68"/>
      <c r="AKL91" s="68"/>
      <c r="AKM91" s="68"/>
      <c r="AKN91" s="68"/>
      <c r="AKO91" s="68"/>
      <c r="AKP91" s="68"/>
      <c r="AKQ91" s="68"/>
      <c r="AKR91" s="68"/>
      <c r="AKS91" s="68"/>
      <c r="AKT91" s="68"/>
      <c r="AKU91" s="68"/>
      <c r="AKV91" s="68"/>
      <c r="AKW91" s="68"/>
      <c r="AKX91" s="68"/>
      <c r="AKY91" s="68"/>
      <c r="AKZ91" s="68"/>
      <c r="ALA91" s="68"/>
      <c r="ALB91" s="68"/>
      <c r="ALC91" s="68"/>
      <c r="ALD91" s="68"/>
      <c r="ALE91" s="68"/>
      <c r="ALF91" s="68"/>
      <c r="ALG91" s="68"/>
      <c r="ALH91" s="68"/>
      <c r="ALI91" s="68"/>
      <c r="ALJ91" s="68"/>
      <c r="ALK91" s="68"/>
      <c r="ALL91" s="68"/>
      <c r="ALM91" s="68"/>
      <c r="ALN91" s="68"/>
      <c r="ALO91" s="68"/>
      <c r="ALP91" s="68"/>
      <c r="ALQ91" s="68"/>
      <c r="ALR91" s="68"/>
      <c r="ALS91" s="68"/>
      <c r="ALT91" s="68"/>
      <c r="ALU91" s="68"/>
      <c r="ALV91" s="68"/>
      <c r="ALW91" s="68"/>
      <c r="ALX91" s="68"/>
      <c r="ALY91" s="68"/>
      <c r="ALZ91" s="68"/>
      <c r="AMA91" s="68"/>
      <c r="AMB91" s="68"/>
      <c r="AMC91" s="68"/>
      <c r="AMD91" s="68"/>
      <c r="AME91" s="68"/>
      <c r="AMF91" s="68"/>
      <c r="AMG91" s="68"/>
      <c r="AMH91" s="68"/>
      <c r="AMI91" s="68"/>
      <c r="AMJ91" s="68"/>
      <c r="AMK91" s="68"/>
      <c r="AML91" s="68"/>
      <c r="AMM91" s="68"/>
      <c r="AMN91" s="68"/>
      <c r="AMO91" s="68"/>
      <c r="AMP91" s="68"/>
      <c r="AMQ91" s="68"/>
      <c r="AMR91" s="68"/>
      <c r="AMS91" s="68"/>
      <c r="AMT91" s="68"/>
      <c r="AMU91" s="68"/>
      <c r="AMV91" s="68"/>
      <c r="AMW91" s="68"/>
      <c r="AMX91" s="68"/>
      <c r="AMY91" s="68"/>
      <c r="AMZ91" s="68"/>
      <c r="ANA91" s="68"/>
      <c r="ANB91" s="68"/>
      <c r="ANC91" s="68"/>
      <c r="AND91" s="68"/>
      <c r="ANE91" s="68"/>
      <c r="ANF91" s="68"/>
      <c r="ANG91" s="68"/>
      <c r="ANH91" s="68"/>
      <c r="ANI91" s="68"/>
      <c r="ANJ91" s="68"/>
      <c r="ANK91" s="68"/>
      <c r="ANL91" s="68"/>
      <c r="ANM91" s="68"/>
      <c r="ANN91" s="68"/>
      <c r="ANO91" s="68"/>
      <c r="ANP91" s="68"/>
      <c r="ANQ91" s="68"/>
      <c r="ANR91" s="68"/>
      <c r="ANS91" s="68"/>
      <c r="ANT91" s="68"/>
      <c r="ANU91" s="68"/>
      <c r="ANV91" s="68"/>
      <c r="ANW91" s="68"/>
      <c r="ANX91" s="68"/>
      <c r="ANY91" s="68"/>
      <c r="ANZ91" s="68"/>
      <c r="AOA91" s="68"/>
      <c r="AOB91" s="68"/>
      <c r="AOC91" s="68"/>
      <c r="AOD91" s="68"/>
      <c r="AOE91" s="68"/>
      <c r="AOF91" s="68"/>
      <c r="AOG91" s="68"/>
      <c r="AOH91" s="68"/>
      <c r="AOI91" s="68"/>
      <c r="AOJ91" s="68"/>
      <c r="AOK91" s="68"/>
      <c r="AOL91" s="68"/>
      <c r="AOM91" s="68"/>
      <c r="AON91" s="68"/>
      <c r="AOO91" s="68"/>
      <c r="AOP91" s="68"/>
      <c r="AOQ91" s="68"/>
      <c r="AOR91" s="68"/>
      <c r="AOS91" s="68"/>
      <c r="AOT91" s="68"/>
      <c r="AOU91" s="68"/>
      <c r="AOV91" s="68"/>
      <c r="AOW91" s="68"/>
      <c r="AOX91" s="68"/>
      <c r="AOY91" s="68"/>
      <c r="AOZ91" s="68"/>
      <c r="APA91" s="68"/>
      <c r="APB91" s="68"/>
      <c r="APC91" s="68"/>
      <c r="APD91" s="68"/>
      <c r="APE91" s="68"/>
      <c r="APF91" s="68"/>
      <c r="APG91" s="68"/>
      <c r="APH91" s="68"/>
      <c r="API91" s="68"/>
      <c r="APJ91" s="68"/>
      <c r="APK91" s="68"/>
      <c r="APL91" s="68"/>
      <c r="APM91" s="68"/>
      <c r="APN91" s="68"/>
      <c r="APO91" s="68"/>
      <c r="APP91" s="68"/>
      <c r="APQ91" s="68"/>
      <c r="APR91" s="68"/>
      <c r="APS91" s="68"/>
      <c r="APT91" s="68"/>
      <c r="APU91" s="68"/>
      <c r="APV91" s="68"/>
      <c r="APW91" s="68"/>
      <c r="APX91" s="68"/>
      <c r="APY91" s="68"/>
      <c r="APZ91" s="68"/>
      <c r="AQA91" s="68"/>
      <c r="AQB91" s="68"/>
      <c r="AQC91" s="68"/>
      <c r="AQD91" s="68"/>
      <c r="AQE91" s="68"/>
      <c r="AQF91" s="68"/>
      <c r="AQG91" s="68"/>
      <c r="AQH91" s="68"/>
      <c r="AQI91" s="68"/>
      <c r="AQJ91" s="68"/>
      <c r="AQK91" s="68"/>
      <c r="AQL91" s="68"/>
      <c r="AQM91" s="68"/>
      <c r="AQN91" s="68"/>
      <c r="AQO91" s="68"/>
      <c r="AQP91" s="68"/>
      <c r="AQQ91" s="68"/>
      <c r="AQR91" s="68"/>
      <c r="AQS91" s="68"/>
      <c r="AQT91" s="68"/>
      <c r="AQU91" s="68"/>
      <c r="AQV91" s="68"/>
      <c r="AQW91" s="68"/>
      <c r="AQX91" s="68"/>
      <c r="AQY91" s="68"/>
      <c r="AQZ91" s="68"/>
      <c r="ARA91" s="68"/>
      <c r="ARB91" s="68"/>
      <c r="ARC91" s="68"/>
      <c r="ARD91" s="68"/>
      <c r="ARE91" s="68"/>
      <c r="ARF91" s="68"/>
      <c r="ARG91" s="68"/>
      <c r="ARH91" s="68"/>
      <c r="ARI91" s="68"/>
      <c r="ARJ91" s="68"/>
      <c r="ARK91" s="68"/>
      <c r="ARL91" s="68"/>
      <c r="ARM91" s="68"/>
      <c r="ARN91" s="68"/>
      <c r="ARO91" s="68"/>
      <c r="ARP91" s="68"/>
      <c r="ARQ91" s="68"/>
      <c r="ARR91" s="68"/>
      <c r="ARS91" s="68"/>
      <c r="ART91" s="68"/>
      <c r="ARU91" s="68"/>
      <c r="ARV91" s="68"/>
      <c r="ARW91" s="68"/>
      <c r="ARX91" s="68"/>
      <c r="ARY91" s="68"/>
      <c r="ARZ91" s="68"/>
      <c r="ASA91" s="68"/>
      <c r="ASB91" s="68"/>
      <c r="ASC91" s="68"/>
      <c r="ASD91" s="68"/>
      <c r="ASE91" s="68"/>
      <c r="ASF91" s="68"/>
      <c r="ASG91" s="68"/>
      <c r="ASH91" s="68"/>
      <c r="ASI91" s="68"/>
      <c r="ASJ91" s="68"/>
      <c r="ASK91" s="68"/>
      <c r="ASL91" s="68"/>
      <c r="ASM91" s="68"/>
      <c r="ASN91" s="68"/>
      <c r="ASO91" s="68"/>
      <c r="ASP91" s="68"/>
      <c r="ASQ91" s="68"/>
      <c r="ASR91" s="68"/>
      <c r="ASS91" s="68"/>
      <c r="AST91" s="68"/>
      <c r="ASU91" s="68"/>
      <c r="ASV91" s="68"/>
      <c r="ASW91" s="68"/>
      <c r="ASX91" s="68"/>
      <c r="ASY91" s="68"/>
      <c r="ASZ91" s="68"/>
      <c r="ATA91" s="68"/>
      <c r="ATB91" s="68"/>
      <c r="ATC91" s="68"/>
      <c r="ATD91" s="68"/>
      <c r="ATE91" s="68"/>
      <c r="ATF91" s="68"/>
      <c r="ATG91" s="68"/>
      <c r="ATH91" s="68"/>
      <c r="ATI91" s="68"/>
      <c r="ATJ91" s="68"/>
      <c r="ATK91" s="68"/>
      <c r="ATL91" s="68"/>
      <c r="ATM91" s="68"/>
      <c r="ATN91" s="68"/>
      <c r="ATO91" s="68"/>
      <c r="ATP91" s="68"/>
      <c r="ATQ91" s="68"/>
      <c r="ATR91" s="68"/>
      <c r="ATS91" s="68"/>
      <c r="ATT91" s="68"/>
      <c r="ATU91" s="68"/>
      <c r="ATV91" s="68"/>
      <c r="ATW91" s="68"/>
      <c r="ATX91" s="68"/>
      <c r="ATY91" s="68"/>
      <c r="ATZ91" s="68"/>
      <c r="AUA91" s="68"/>
      <c r="AUB91" s="68"/>
      <c r="AUC91" s="68"/>
      <c r="AUD91" s="68"/>
      <c r="AUE91" s="68"/>
      <c r="AUF91" s="68"/>
      <c r="AUG91" s="68"/>
      <c r="AUH91" s="68"/>
      <c r="AUI91" s="68"/>
      <c r="AUJ91" s="68"/>
      <c r="AUK91" s="68"/>
      <c r="AUL91" s="68"/>
      <c r="AUM91" s="68"/>
      <c r="AUN91" s="68"/>
      <c r="AUO91" s="68"/>
      <c r="AUP91" s="68"/>
      <c r="AUQ91" s="68"/>
      <c r="AUR91" s="68"/>
      <c r="AUS91" s="68"/>
      <c r="AUT91" s="68"/>
      <c r="AUU91" s="68"/>
      <c r="AUV91" s="68"/>
      <c r="AUW91" s="68"/>
      <c r="AUX91" s="68"/>
      <c r="AUY91" s="68"/>
      <c r="AUZ91" s="68"/>
      <c r="AVA91" s="68"/>
      <c r="AVB91" s="68"/>
      <c r="AVC91" s="68"/>
      <c r="AVD91" s="68"/>
      <c r="AVE91" s="68"/>
      <c r="AVF91" s="68"/>
      <c r="AVG91" s="68"/>
      <c r="AVH91" s="68"/>
      <c r="AVI91" s="68"/>
      <c r="AVJ91" s="68"/>
      <c r="AVK91" s="68"/>
      <c r="AVL91" s="68"/>
      <c r="AVM91" s="68"/>
      <c r="AVN91" s="68"/>
      <c r="AVO91" s="68"/>
      <c r="AVP91" s="68"/>
      <c r="AVQ91" s="68"/>
      <c r="AVR91" s="68"/>
      <c r="AVS91" s="68"/>
      <c r="AVT91" s="68"/>
      <c r="AVU91" s="68"/>
      <c r="AVV91" s="68"/>
      <c r="AVW91" s="68"/>
      <c r="AVX91" s="68"/>
      <c r="AVY91" s="68"/>
      <c r="AVZ91" s="68"/>
      <c r="AWA91" s="68"/>
      <c r="AWB91" s="68"/>
      <c r="AWC91" s="68"/>
      <c r="AWD91" s="68"/>
      <c r="AWE91" s="68"/>
      <c r="AWF91" s="68"/>
      <c r="AWG91" s="68"/>
      <c r="AWH91" s="68"/>
      <c r="AWI91" s="68"/>
      <c r="AWJ91" s="68"/>
      <c r="AWK91" s="68"/>
      <c r="AWL91" s="68"/>
      <c r="AWM91" s="68"/>
      <c r="AWN91" s="68"/>
      <c r="AWO91" s="68"/>
      <c r="AWP91" s="68"/>
      <c r="AWQ91" s="68"/>
      <c r="AWR91" s="68"/>
      <c r="AWS91" s="68"/>
      <c r="AWT91" s="68"/>
      <c r="AWU91" s="68"/>
      <c r="AWV91" s="68"/>
      <c r="AWW91" s="68"/>
      <c r="AWX91" s="68"/>
      <c r="AWY91" s="68"/>
      <c r="AWZ91" s="68"/>
      <c r="AXA91" s="68"/>
      <c r="AXB91" s="68"/>
      <c r="AXC91" s="68"/>
      <c r="AXD91" s="68"/>
      <c r="AXE91" s="68"/>
      <c r="AXF91" s="68"/>
      <c r="AXG91" s="68"/>
      <c r="AXH91" s="68"/>
      <c r="AXI91" s="68"/>
      <c r="AXJ91" s="68"/>
      <c r="AXK91" s="68"/>
      <c r="AXL91" s="68"/>
      <c r="AXM91" s="68"/>
      <c r="AXN91" s="68"/>
      <c r="AXO91" s="68"/>
      <c r="AXP91" s="68"/>
      <c r="AXQ91" s="68"/>
      <c r="AXR91" s="68"/>
      <c r="AXS91" s="68"/>
      <c r="AXT91" s="68"/>
      <c r="AXU91" s="68"/>
      <c r="AXV91" s="68"/>
      <c r="AXW91" s="68"/>
      <c r="AXX91" s="68"/>
      <c r="AXY91" s="68"/>
      <c r="AXZ91" s="68"/>
      <c r="AYA91" s="68"/>
      <c r="AYB91" s="68"/>
      <c r="AYC91" s="68"/>
      <c r="AYD91" s="68"/>
      <c r="AYE91" s="68"/>
      <c r="AYF91" s="68"/>
      <c r="AYG91" s="68"/>
      <c r="AYH91" s="68"/>
      <c r="AYI91" s="68"/>
      <c r="AYJ91" s="68"/>
      <c r="AYK91" s="68"/>
      <c r="AYL91" s="68"/>
      <c r="AYM91" s="68"/>
      <c r="AYN91" s="68"/>
      <c r="AYO91" s="68"/>
      <c r="AYP91" s="68"/>
      <c r="AYQ91" s="68"/>
      <c r="AYR91" s="68"/>
      <c r="AYS91" s="68"/>
      <c r="AYT91" s="68"/>
      <c r="AYU91" s="68"/>
      <c r="AYV91" s="68"/>
      <c r="AYW91" s="68"/>
      <c r="AYX91" s="68"/>
      <c r="AYY91" s="68"/>
      <c r="AYZ91" s="68"/>
      <c r="AZA91" s="68"/>
      <c r="AZB91" s="68"/>
      <c r="AZC91" s="68"/>
      <c r="AZD91" s="68"/>
      <c r="AZE91" s="68"/>
      <c r="AZF91" s="68"/>
      <c r="AZG91" s="68"/>
      <c r="AZH91" s="68"/>
      <c r="AZI91" s="68"/>
      <c r="AZJ91" s="68"/>
      <c r="AZK91" s="68"/>
      <c r="AZL91" s="68"/>
      <c r="AZM91" s="68"/>
      <c r="AZN91" s="68"/>
      <c r="AZO91" s="68"/>
      <c r="AZP91" s="68"/>
      <c r="AZQ91" s="68"/>
      <c r="AZR91" s="68"/>
      <c r="AZS91" s="68"/>
      <c r="AZT91" s="68"/>
      <c r="AZU91" s="68"/>
      <c r="AZV91" s="68"/>
      <c r="AZW91" s="68"/>
      <c r="AZX91" s="68"/>
      <c r="AZY91" s="68"/>
      <c r="AZZ91" s="68"/>
      <c r="BAA91" s="68"/>
      <c r="BAB91" s="68"/>
      <c r="BAC91" s="68"/>
      <c r="BAD91" s="68"/>
      <c r="BAE91" s="68"/>
      <c r="BAF91" s="68"/>
      <c r="BAG91" s="68"/>
      <c r="BAH91" s="68"/>
      <c r="BAI91" s="68"/>
      <c r="BAJ91" s="68"/>
      <c r="BAK91" s="68"/>
      <c r="BAL91" s="68"/>
      <c r="BAM91" s="68"/>
      <c r="BAN91" s="68"/>
      <c r="BAO91" s="68"/>
      <c r="BAP91" s="68"/>
      <c r="BAQ91" s="68"/>
      <c r="BAR91" s="68"/>
      <c r="BAS91" s="68"/>
      <c r="BAT91" s="68"/>
      <c r="BAU91" s="68"/>
      <c r="BAV91" s="68"/>
      <c r="BAW91" s="68"/>
      <c r="BAX91" s="68"/>
      <c r="BAY91" s="68"/>
      <c r="BAZ91" s="68"/>
      <c r="BBA91" s="68"/>
      <c r="BBB91" s="68"/>
      <c r="BBC91" s="68"/>
      <c r="BBD91" s="68"/>
      <c r="BBE91" s="68"/>
      <c r="BBF91" s="68"/>
      <c r="BBG91" s="68"/>
      <c r="BBH91" s="68"/>
      <c r="BBI91" s="68"/>
      <c r="BBJ91" s="68"/>
      <c r="BBK91" s="68"/>
      <c r="BBL91" s="68"/>
      <c r="BBM91" s="68"/>
      <c r="BBN91" s="68"/>
      <c r="BBO91" s="68"/>
      <c r="BBP91" s="68"/>
      <c r="BBQ91" s="68"/>
      <c r="BBR91" s="68"/>
      <c r="BBS91" s="68"/>
      <c r="BBT91" s="68"/>
      <c r="BBU91" s="68"/>
      <c r="BBV91" s="68"/>
      <c r="BBW91" s="68"/>
      <c r="BBX91" s="68"/>
      <c r="BBY91" s="68"/>
      <c r="BBZ91" s="68"/>
      <c r="BCA91" s="68"/>
      <c r="BCB91" s="68"/>
      <c r="BCC91" s="68"/>
      <c r="BCD91" s="68"/>
      <c r="BCE91" s="68"/>
      <c r="BCF91" s="68"/>
      <c r="BCG91" s="68"/>
      <c r="BCH91" s="68"/>
      <c r="BCI91" s="68"/>
      <c r="BCJ91" s="68"/>
      <c r="BCK91" s="68"/>
      <c r="BCL91" s="68"/>
      <c r="BCM91" s="68"/>
      <c r="BCN91" s="68"/>
      <c r="BCO91" s="68"/>
      <c r="BCP91" s="68"/>
      <c r="BCQ91" s="68"/>
      <c r="BCR91" s="68"/>
      <c r="BCS91" s="68"/>
      <c r="BCT91" s="68"/>
      <c r="BCU91" s="68"/>
      <c r="BCV91" s="68"/>
      <c r="BCW91" s="68"/>
      <c r="BCX91" s="68"/>
      <c r="BCY91" s="68"/>
      <c r="BCZ91" s="68"/>
      <c r="BDA91" s="68"/>
    </row>
    <row r="92" spans="1:1458" s="67" customFormat="1" ht="54" customHeight="1" x14ac:dyDescent="0.25">
      <c r="A92" s="49">
        <v>10</v>
      </c>
      <c r="B92" s="71" t="s">
        <v>726</v>
      </c>
      <c r="C92" s="71" t="s">
        <v>715</v>
      </c>
      <c r="D92" s="71" t="s">
        <v>708</v>
      </c>
      <c r="E92" s="71" t="s">
        <v>709</v>
      </c>
      <c r="F92" s="51">
        <v>6836550</v>
      </c>
      <c r="G92" s="70" t="s">
        <v>574</v>
      </c>
      <c r="H92" s="42" t="s">
        <v>664</v>
      </c>
      <c r="I92" s="71" t="s">
        <v>725</v>
      </c>
      <c r="J92" s="71" t="s">
        <v>60</v>
      </c>
      <c r="K92" s="71" t="s">
        <v>341</v>
      </c>
      <c r="L92" s="73">
        <v>6836550</v>
      </c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  <c r="BW92" s="68"/>
      <c r="BX92" s="68"/>
      <c r="BY92" s="68"/>
      <c r="BZ92" s="68"/>
      <c r="CA92" s="68"/>
      <c r="CB92" s="68"/>
      <c r="CC92" s="68"/>
      <c r="CD92" s="68"/>
      <c r="CE92" s="68"/>
      <c r="CF92" s="68"/>
      <c r="CG92" s="68"/>
      <c r="CH92" s="68"/>
      <c r="CI92" s="68"/>
      <c r="CJ92" s="68"/>
      <c r="CK92" s="68"/>
      <c r="CL92" s="68"/>
      <c r="CM92" s="68"/>
      <c r="CN92" s="68"/>
      <c r="CO92" s="68"/>
      <c r="CP92" s="68"/>
      <c r="CQ92" s="68"/>
      <c r="CR92" s="68"/>
      <c r="CS92" s="68"/>
      <c r="CT92" s="68"/>
      <c r="CU92" s="68"/>
      <c r="CV92" s="68"/>
      <c r="CW92" s="68"/>
      <c r="CX92" s="68"/>
      <c r="CY92" s="68"/>
      <c r="CZ92" s="68"/>
      <c r="DA92" s="68"/>
      <c r="DB92" s="68"/>
      <c r="DC92" s="68"/>
      <c r="DD92" s="68"/>
      <c r="DE92" s="68"/>
      <c r="DF92" s="68"/>
      <c r="DG92" s="68"/>
      <c r="DH92" s="68"/>
      <c r="DI92" s="68"/>
      <c r="DJ92" s="68"/>
      <c r="DK92" s="68"/>
      <c r="DL92" s="68"/>
      <c r="DM92" s="68"/>
      <c r="DN92" s="68"/>
      <c r="DO92" s="68"/>
      <c r="DP92" s="68"/>
      <c r="DQ92" s="68"/>
      <c r="DR92" s="68"/>
      <c r="DS92" s="68"/>
      <c r="DT92" s="68"/>
      <c r="DU92" s="68"/>
      <c r="DV92" s="68"/>
      <c r="DW92" s="68"/>
      <c r="DX92" s="68"/>
      <c r="DY92" s="68"/>
      <c r="DZ92" s="68"/>
      <c r="EA92" s="68"/>
      <c r="EB92" s="68"/>
      <c r="EC92" s="68"/>
      <c r="ED92" s="68"/>
      <c r="EE92" s="68"/>
      <c r="EF92" s="68"/>
      <c r="EG92" s="68"/>
      <c r="EH92" s="68"/>
      <c r="EI92" s="68"/>
      <c r="EJ92" s="68"/>
      <c r="EK92" s="68"/>
      <c r="EL92" s="68"/>
      <c r="EM92" s="68"/>
      <c r="EN92" s="68"/>
      <c r="EO92" s="68"/>
      <c r="EP92" s="68"/>
      <c r="EQ92" s="68"/>
      <c r="ER92" s="68"/>
      <c r="ES92" s="68"/>
      <c r="ET92" s="68"/>
      <c r="EU92" s="68"/>
      <c r="EV92" s="68"/>
      <c r="EW92" s="68"/>
      <c r="EX92" s="68"/>
      <c r="EY92" s="68"/>
      <c r="EZ92" s="68"/>
      <c r="FA92" s="68"/>
      <c r="FB92" s="68"/>
      <c r="FC92" s="68"/>
      <c r="FD92" s="68"/>
      <c r="FE92" s="68"/>
      <c r="FF92" s="68"/>
      <c r="FG92" s="68"/>
      <c r="FH92" s="68"/>
      <c r="FI92" s="68"/>
      <c r="FJ92" s="68"/>
      <c r="FK92" s="68"/>
      <c r="FL92" s="68"/>
      <c r="FM92" s="68"/>
      <c r="FN92" s="68"/>
      <c r="FO92" s="68"/>
      <c r="FP92" s="68"/>
      <c r="FQ92" s="68"/>
      <c r="FR92" s="68"/>
      <c r="FS92" s="68"/>
      <c r="FT92" s="68"/>
      <c r="FU92" s="68"/>
      <c r="FV92" s="68"/>
      <c r="FW92" s="68"/>
      <c r="FX92" s="68"/>
      <c r="FY92" s="68"/>
      <c r="FZ92" s="68"/>
      <c r="GA92" s="68"/>
      <c r="GB92" s="68"/>
      <c r="GC92" s="68"/>
      <c r="GD92" s="68"/>
      <c r="GE92" s="68"/>
      <c r="GF92" s="68"/>
      <c r="GG92" s="68"/>
      <c r="GH92" s="68"/>
      <c r="GI92" s="68"/>
      <c r="GJ92" s="68"/>
      <c r="GK92" s="68"/>
      <c r="GL92" s="68"/>
      <c r="GM92" s="68"/>
      <c r="GN92" s="68"/>
      <c r="GO92" s="68"/>
      <c r="GP92" s="68"/>
      <c r="GQ92" s="68"/>
      <c r="GR92" s="68"/>
      <c r="GS92" s="68"/>
      <c r="GT92" s="68"/>
      <c r="GU92" s="68"/>
      <c r="GV92" s="68"/>
      <c r="GW92" s="68"/>
      <c r="GX92" s="68"/>
      <c r="GY92" s="68"/>
      <c r="GZ92" s="68"/>
      <c r="HA92" s="68"/>
      <c r="HB92" s="68"/>
      <c r="HC92" s="68"/>
      <c r="HD92" s="68"/>
      <c r="HE92" s="68"/>
      <c r="HF92" s="68"/>
      <c r="HG92" s="68"/>
      <c r="HH92" s="68"/>
      <c r="HI92" s="68"/>
      <c r="HJ92" s="68"/>
      <c r="HK92" s="68"/>
      <c r="HL92" s="68"/>
      <c r="HM92" s="68"/>
      <c r="HN92" s="68"/>
      <c r="HO92" s="68"/>
      <c r="HP92" s="68"/>
      <c r="HQ92" s="68"/>
      <c r="HR92" s="68"/>
      <c r="HS92" s="68"/>
      <c r="HT92" s="68"/>
      <c r="HU92" s="68"/>
      <c r="HV92" s="68"/>
      <c r="HW92" s="68"/>
      <c r="HX92" s="68"/>
      <c r="HY92" s="68"/>
      <c r="HZ92" s="68"/>
      <c r="IA92" s="68"/>
      <c r="IB92" s="68"/>
      <c r="IC92" s="68"/>
      <c r="ID92" s="68"/>
      <c r="IE92" s="68"/>
      <c r="IF92" s="68"/>
      <c r="IG92" s="68"/>
      <c r="IH92" s="68"/>
      <c r="II92" s="68"/>
      <c r="IJ92" s="68"/>
      <c r="IK92" s="68"/>
      <c r="IL92" s="68"/>
      <c r="IM92" s="68"/>
      <c r="IN92" s="68"/>
      <c r="IO92" s="68"/>
      <c r="IP92" s="68"/>
      <c r="IQ92" s="68"/>
      <c r="IR92" s="68"/>
      <c r="IS92" s="68"/>
      <c r="IT92" s="68"/>
      <c r="IU92" s="68"/>
      <c r="IV92" s="68"/>
      <c r="IW92" s="68"/>
      <c r="IX92" s="68"/>
      <c r="IY92" s="68"/>
      <c r="IZ92" s="68"/>
      <c r="JA92" s="68"/>
      <c r="JB92" s="68"/>
      <c r="JC92" s="68"/>
      <c r="JD92" s="68"/>
      <c r="JE92" s="68"/>
      <c r="JF92" s="68"/>
      <c r="JG92" s="68"/>
      <c r="JH92" s="68"/>
      <c r="JI92" s="68"/>
      <c r="JJ92" s="68"/>
      <c r="JK92" s="68"/>
      <c r="JL92" s="68"/>
      <c r="JM92" s="68"/>
      <c r="JN92" s="68"/>
      <c r="JO92" s="68"/>
      <c r="JP92" s="68"/>
      <c r="JQ92" s="68"/>
      <c r="JR92" s="68"/>
      <c r="JS92" s="68"/>
      <c r="JT92" s="68"/>
      <c r="JU92" s="68"/>
      <c r="JV92" s="68"/>
      <c r="JW92" s="68"/>
      <c r="JX92" s="68"/>
      <c r="JY92" s="68"/>
      <c r="JZ92" s="68"/>
      <c r="KA92" s="68"/>
      <c r="KB92" s="68"/>
      <c r="KC92" s="68"/>
      <c r="KD92" s="68"/>
      <c r="KE92" s="68"/>
      <c r="KF92" s="68"/>
      <c r="KG92" s="68"/>
      <c r="KH92" s="68"/>
      <c r="KI92" s="68"/>
      <c r="KJ92" s="68"/>
      <c r="KK92" s="68"/>
      <c r="KL92" s="68"/>
      <c r="KM92" s="68"/>
      <c r="KN92" s="68"/>
      <c r="KO92" s="68"/>
      <c r="KP92" s="68"/>
      <c r="KQ92" s="68"/>
      <c r="KR92" s="68"/>
      <c r="KS92" s="68"/>
      <c r="KT92" s="68"/>
      <c r="KU92" s="68"/>
      <c r="KV92" s="68"/>
      <c r="KW92" s="68"/>
      <c r="KX92" s="68"/>
      <c r="KY92" s="68"/>
      <c r="KZ92" s="68"/>
      <c r="LA92" s="68"/>
      <c r="LB92" s="68"/>
      <c r="LC92" s="68"/>
      <c r="LD92" s="68"/>
      <c r="LE92" s="68"/>
      <c r="LF92" s="68"/>
      <c r="LG92" s="68"/>
      <c r="LH92" s="68"/>
      <c r="LI92" s="68"/>
      <c r="LJ92" s="68"/>
      <c r="LK92" s="68"/>
      <c r="LL92" s="68"/>
      <c r="LM92" s="68"/>
      <c r="LN92" s="68"/>
      <c r="LO92" s="68"/>
      <c r="LP92" s="68"/>
      <c r="LQ92" s="68"/>
      <c r="LR92" s="68"/>
      <c r="LS92" s="68"/>
      <c r="LT92" s="68"/>
      <c r="LU92" s="68"/>
      <c r="LV92" s="68"/>
      <c r="LW92" s="68"/>
      <c r="LX92" s="68"/>
      <c r="LY92" s="68"/>
      <c r="LZ92" s="68"/>
      <c r="MA92" s="68"/>
      <c r="MB92" s="68"/>
      <c r="MC92" s="68"/>
      <c r="MD92" s="68"/>
      <c r="ME92" s="68"/>
      <c r="MF92" s="68"/>
      <c r="MG92" s="68"/>
      <c r="MH92" s="68"/>
      <c r="MI92" s="68"/>
      <c r="MJ92" s="68"/>
      <c r="MK92" s="68"/>
      <c r="ML92" s="68"/>
      <c r="MM92" s="68"/>
      <c r="MN92" s="68"/>
      <c r="MO92" s="68"/>
      <c r="MP92" s="68"/>
      <c r="MQ92" s="68"/>
      <c r="MR92" s="68"/>
      <c r="MS92" s="68"/>
      <c r="MT92" s="68"/>
      <c r="MU92" s="68"/>
      <c r="MV92" s="68"/>
      <c r="MW92" s="68"/>
      <c r="MX92" s="68"/>
      <c r="MY92" s="68"/>
      <c r="MZ92" s="68"/>
      <c r="NA92" s="68"/>
      <c r="NB92" s="68"/>
      <c r="NC92" s="68"/>
      <c r="ND92" s="68"/>
      <c r="NE92" s="68"/>
      <c r="NF92" s="68"/>
      <c r="NG92" s="68"/>
      <c r="NH92" s="68"/>
      <c r="NI92" s="68"/>
      <c r="NJ92" s="68"/>
      <c r="NK92" s="68"/>
      <c r="NL92" s="68"/>
      <c r="NM92" s="68"/>
      <c r="NN92" s="68"/>
      <c r="NO92" s="68"/>
      <c r="NP92" s="68"/>
      <c r="NQ92" s="68"/>
      <c r="NR92" s="68"/>
      <c r="NS92" s="68"/>
      <c r="NT92" s="68"/>
      <c r="NU92" s="68"/>
      <c r="NV92" s="68"/>
      <c r="NW92" s="68"/>
      <c r="NX92" s="68"/>
      <c r="NY92" s="68"/>
      <c r="NZ92" s="68"/>
      <c r="OA92" s="68"/>
      <c r="OB92" s="68"/>
      <c r="OC92" s="68"/>
      <c r="OD92" s="68"/>
      <c r="OE92" s="68"/>
      <c r="OF92" s="68"/>
      <c r="OG92" s="68"/>
      <c r="OH92" s="68"/>
      <c r="OI92" s="68"/>
      <c r="OJ92" s="68"/>
      <c r="OK92" s="68"/>
      <c r="OL92" s="68"/>
      <c r="OM92" s="68"/>
      <c r="ON92" s="68"/>
      <c r="OO92" s="68"/>
      <c r="OP92" s="68"/>
      <c r="OQ92" s="68"/>
      <c r="OR92" s="68"/>
      <c r="OS92" s="68"/>
      <c r="OT92" s="68"/>
      <c r="OU92" s="68"/>
      <c r="OV92" s="68"/>
      <c r="OW92" s="68"/>
      <c r="OX92" s="68"/>
      <c r="OY92" s="68"/>
      <c r="OZ92" s="68"/>
      <c r="PA92" s="68"/>
      <c r="PB92" s="68"/>
      <c r="PC92" s="68"/>
      <c r="PD92" s="68"/>
      <c r="PE92" s="68"/>
      <c r="PF92" s="68"/>
      <c r="PG92" s="68"/>
      <c r="PH92" s="68"/>
      <c r="PI92" s="68"/>
      <c r="PJ92" s="68"/>
      <c r="PK92" s="68"/>
      <c r="PL92" s="68"/>
      <c r="PM92" s="68"/>
      <c r="PN92" s="68"/>
      <c r="PO92" s="68"/>
      <c r="PP92" s="68"/>
      <c r="PQ92" s="68"/>
      <c r="PR92" s="68"/>
      <c r="PS92" s="68"/>
      <c r="PT92" s="68"/>
      <c r="PU92" s="68"/>
      <c r="PV92" s="68"/>
      <c r="PW92" s="68"/>
      <c r="PX92" s="68"/>
      <c r="PY92" s="68"/>
      <c r="PZ92" s="68"/>
      <c r="QA92" s="68"/>
      <c r="QB92" s="68"/>
      <c r="QC92" s="68"/>
      <c r="QD92" s="68"/>
      <c r="QE92" s="68"/>
      <c r="QF92" s="68"/>
      <c r="QG92" s="68"/>
      <c r="QH92" s="68"/>
      <c r="QI92" s="68"/>
      <c r="QJ92" s="68"/>
      <c r="QK92" s="68"/>
      <c r="QL92" s="68"/>
      <c r="QM92" s="68"/>
      <c r="QN92" s="68"/>
      <c r="QO92" s="68"/>
      <c r="QP92" s="68"/>
      <c r="QQ92" s="68"/>
      <c r="QR92" s="68"/>
      <c r="QS92" s="68"/>
      <c r="QT92" s="68"/>
      <c r="QU92" s="68"/>
      <c r="QV92" s="68"/>
      <c r="QW92" s="68"/>
      <c r="QX92" s="68"/>
      <c r="QY92" s="68"/>
      <c r="QZ92" s="68"/>
      <c r="RA92" s="68"/>
      <c r="RB92" s="68"/>
      <c r="RC92" s="68"/>
      <c r="RD92" s="68"/>
      <c r="RE92" s="68"/>
      <c r="RF92" s="68"/>
      <c r="RG92" s="68"/>
      <c r="RH92" s="68"/>
      <c r="RI92" s="68"/>
      <c r="RJ92" s="68"/>
      <c r="RK92" s="68"/>
      <c r="RL92" s="68"/>
      <c r="RM92" s="68"/>
      <c r="RN92" s="68"/>
      <c r="RO92" s="68"/>
      <c r="RP92" s="68"/>
      <c r="RQ92" s="68"/>
      <c r="RR92" s="68"/>
      <c r="RS92" s="68"/>
      <c r="RT92" s="68"/>
      <c r="RU92" s="68"/>
      <c r="RV92" s="68"/>
      <c r="RW92" s="68"/>
      <c r="RX92" s="68"/>
      <c r="RY92" s="68"/>
      <c r="RZ92" s="68"/>
      <c r="SA92" s="68"/>
      <c r="SB92" s="68"/>
      <c r="SC92" s="68"/>
      <c r="SD92" s="68"/>
      <c r="SE92" s="68"/>
      <c r="SF92" s="68"/>
      <c r="SG92" s="68"/>
      <c r="SH92" s="68"/>
      <c r="SI92" s="68"/>
      <c r="SJ92" s="68"/>
      <c r="SK92" s="68"/>
      <c r="SL92" s="68"/>
      <c r="SM92" s="68"/>
      <c r="SN92" s="68"/>
      <c r="SO92" s="68"/>
      <c r="SP92" s="68"/>
      <c r="SQ92" s="68"/>
      <c r="SR92" s="68"/>
      <c r="SS92" s="68"/>
      <c r="ST92" s="68"/>
      <c r="SU92" s="68"/>
      <c r="SV92" s="68"/>
      <c r="SW92" s="68"/>
      <c r="SX92" s="68"/>
      <c r="SY92" s="68"/>
      <c r="SZ92" s="68"/>
      <c r="TA92" s="68"/>
      <c r="TB92" s="68"/>
      <c r="TC92" s="68"/>
      <c r="TD92" s="68"/>
      <c r="TE92" s="68"/>
      <c r="TF92" s="68"/>
      <c r="TG92" s="68"/>
      <c r="TH92" s="68"/>
      <c r="TI92" s="68"/>
      <c r="TJ92" s="68"/>
      <c r="TK92" s="68"/>
      <c r="TL92" s="68"/>
      <c r="TM92" s="68"/>
      <c r="TN92" s="68"/>
      <c r="TO92" s="68"/>
      <c r="TP92" s="68"/>
      <c r="TQ92" s="68"/>
      <c r="TR92" s="68"/>
      <c r="TS92" s="68"/>
      <c r="TT92" s="68"/>
      <c r="TU92" s="68"/>
      <c r="TV92" s="68"/>
      <c r="TW92" s="68"/>
      <c r="TX92" s="68"/>
      <c r="TY92" s="68"/>
      <c r="TZ92" s="68"/>
      <c r="UA92" s="68"/>
      <c r="UB92" s="68"/>
      <c r="UC92" s="68"/>
      <c r="UD92" s="68"/>
      <c r="UE92" s="68"/>
      <c r="UF92" s="68"/>
      <c r="UG92" s="68"/>
      <c r="UH92" s="68"/>
      <c r="UI92" s="68"/>
      <c r="UJ92" s="68"/>
      <c r="UK92" s="68"/>
      <c r="UL92" s="68"/>
      <c r="UM92" s="68"/>
      <c r="UN92" s="68"/>
      <c r="UO92" s="68"/>
      <c r="UP92" s="68"/>
      <c r="UQ92" s="68"/>
      <c r="UR92" s="68"/>
      <c r="US92" s="68"/>
      <c r="UT92" s="68"/>
      <c r="UU92" s="68"/>
      <c r="UV92" s="68"/>
      <c r="UW92" s="68"/>
      <c r="UX92" s="68"/>
      <c r="UY92" s="68"/>
      <c r="UZ92" s="68"/>
      <c r="VA92" s="68"/>
      <c r="VB92" s="68"/>
      <c r="VC92" s="68"/>
      <c r="VD92" s="68"/>
      <c r="VE92" s="68"/>
      <c r="VF92" s="68"/>
      <c r="VG92" s="68"/>
      <c r="VH92" s="68"/>
      <c r="VI92" s="68"/>
      <c r="VJ92" s="68"/>
      <c r="VK92" s="68"/>
      <c r="VL92" s="68"/>
      <c r="VM92" s="68"/>
      <c r="VN92" s="68"/>
      <c r="VO92" s="68"/>
      <c r="VP92" s="68"/>
      <c r="VQ92" s="68"/>
      <c r="VR92" s="68"/>
      <c r="VS92" s="68"/>
      <c r="VT92" s="68"/>
      <c r="VU92" s="68"/>
      <c r="VV92" s="68"/>
      <c r="VW92" s="68"/>
      <c r="VX92" s="68"/>
      <c r="VY92" s="68"/>
      <c r="VZ92" s="68"/>
      <c r="WA92" s="68"/>
      <c r="WB92" s="68"/>
      <c r="WC92" s="68"/>
      <c r="WD92" s="68"/>
      <c r="WE92" s="68"/>
      <c r="WF92" s="68"/>
      <c r="WG92" s="68"/>
      <c r="WH92" s="68"/>
      <c r="WI92" s="68"/>
      <c r="WJ92" s="68"/>
      <c r="WK92" s="68"/>
      <c r="WL92" s="68"/>
      <c r="WM92" s="68"/>
      <c r="WN92" s="68"/>
      <c r="WO92" s="68"/>
      <c r="WP92" s="68"/>
      <c r="WQ92" s="68"/>
      <c r="WR92" s="68"/>
      <c r="WS92" s="68"/>
      <c r="WT92" s="68"/>
      <c r="WU92" s="68"/>
      <c r="WV92" s="68"/>
      <c r="WW92" s="68"/>
      <c r="WX92" s="68"/>
      <c r="WY92" s="68"/>
      <c r="WZ92" s="68"/>
      <c r="XA92" s="68"/>
      <c r="XB92" s="68"/>
      <c r="XC92" s="68"/>
      <c r="XD92" s="68"/>
      <c r="XE92" s="68"/>
      <c r="XF92" s="68"/>
      <c r="XG92" s="68"/>
      <c r="XH92" s="68"/>
      <c r="XI92" s="68"/>
      <c r="XJ92" s="68"/>
      <c r="XK92" s="68"/>
      <c r="XL92" s="68"/>
      <c r="XM92" s="68"/>
      <c r="XN92" s="68"/>
      <c r="XO92" s="68"/>
      <c r="XP92" s="68"/>
      <c r="XQ92" s="68"/>
      <c r="XR92" s="68"/>
      <c r="XS92" s="68"/>
      <c r="XT92" s="68"/>
      <c r="XU92" s="68"/>
      <c r="XV92" s="68"/>
      <c r="XW92" s="68"/>
      <c r="XX92" s="68"/>
      <c r="XY92" s="68"/>
      <c r="XZ92" s="68"/>
      <c r="YA92" s="68"/>
      <c r="YB92" s="68"/>
      <c r="YC92" s="68"/>
      <c r="YD92" s="68"/>
      <c r="YE92" s="68"/>
      <c r="YF92" s="68"/>
      <c r="YG92" s="68"/>
      <c r="YH92" s="68"/>
      <c r="YI92" s="68"/>
      <c r="YJ92" s="68"/>
      <c r="YK92" s="68"/>
      <c r="YL92" s="68"/>
      <c r="YM92" s="68"/>
      <c r="YN92" s="68"/>
      <c r="YO92" s="68"/>
      <c r="YP92" s="68"/>
      <c r="YQ92" s="68"/>
      <c r="YR92" s="68"/>
      <c r="YS92" s="68"/>
      <c r="YT92" s="68"/>
      <c r="YU92" s="68"/>
      <c r="YV92" s="68"/>
      <c r="YW92" s="68"/>
      <c r="YX92" s="68"/>
      <c r="YY92" s="68"/>
      <c r="YZ92" s="68"/>
      <c r="ZA92" s="68"/>
      <c r="ZB92" s="68"/>
      <c r="ZC92" s="68"/>
      <c r="ZD92" s="68"/>
      <c r="ZE92" s="68"/>
      <c r="ZF92" s="68"/>
      <c r="ZG92" s="68"/>
      <c r="ZH92" s="68"/>
      <c r="ZI92" s="68"/>
      <c r="ZJ92" s="68"/>
      <c r="ZK92" s="68"/>
      <c r="ZL92" s="68"/>
      <c r="ZM92" s="68"/>
      <c r="ZN92" s="68"/>
      <c r="ZO92" s="68"/>
      <c r="ZP92" s="68"/>
      <c r="ZQ92" s="68"/>
      <c r="ZR92" s="68"/>
      <c r="ZS92" s="68"/>
      <c r="ZT92" s="68"/>
      <c r="ZU92" s="68"/>
      <c r="ZV92" s="68"/>
      <c r="ZW92" s="68"/>
      <c r="ZX92" s="68"/>
      <c r="ZY92" s="68"/>
      <c r="ZZ92" s="68"/>
      <c r="AAA92" s="68"/>
      <c r="AAB92" s="68"/>
      <c r="AAC92" s="68"/>
      <c r="AAD92" s="68"/>
      <c r="AAE92" s="68"/>
      <c r="AAF92" s="68"/>
      <c r="AAG92" s="68"/>
      <c r="AAH92" s="68"/>
      <c r="AAI92" s="68"/>
      <c r="AAJ92" s="68"/>
      <c r="AAK92" s="68"/>
      <c r="AAL92" s="68"/>
      <c r="AAM92" s="68"/>
      <c r="AAN92" s="68"/>
      <c r="AAO92" s="68"/>
      <c r="AAP92" s="68"/>
      <c r="AAQ92" s="68"/>
      <c r="AAR92" s="68"/>
      <c r="AAS92" s="68"/>
      <c r="AAT92" s="68"/>
      <c r="AAU92" s="68"/>
      <c r="AAV92" s="68"/>
      <c r="AAW92" s="68"/>
      <c r="AAX92" s="68"/>
      <c r="AAY92" s="68"/>
      <c r="AAZ92" s="68"/>
      <c r="ABA92" s="68"/>
      <c r="ABB92" s="68"/>
      <c r="ABC92" s="68"/>
      <c r="ABD92" s="68"/>
      <c r="ABE92" s="68"/>
      <c r="ABF92" s="68"/>
      <c r="ABG92" s="68"/>
      <c r="ABH92" s="68"/>
      <c r="ABI92" s="68"/>
      <c r="ABJ92" s="68"/>
      <c r="ABK92" s="68"/>
      <c r="ABL92" s="68"/>
      <c r="ABM92" s="68"/>
      <c r="ABN92" s="68"/>
      <c r="ABO92" s="68"/>
      <c r="ABP92" s="68"/>
      <c r="ABQ92" s="68"/>
      <c r="ABR92" s="68"/>
      <c r="ABS92" s="68"/>
      <c r="ABT92" s="68"/>
      <c r="ABU92" s="68"/>
      <c r="ABV92" s="68"/>
      <c r="ABW92" s="68"/>
      <c r="ABX92" s="68"/>
      <c r="ABY92" s="68"/>
      <c r="ABZ92" s="68"/>
      <c r="ACA92" s="68"/>
      <c r="ACB92" s="68"/>
      <c r="ACC92" s="68"/>
      <c r="ACD92" s="68"/>
      <c r="ACE92" s="68"/>
      <c r="ACF92" s="68"/>
      <c r="ACG92" s="68"/>
      <c r="ACH92" s="68"/>
      <c r="ACI92" s="68"/>
      <c r="ACJ92" s="68"/>
      <c r="ACK92" s="68"/>
      <c r="ACL92" s="68"/>
      <c r="ACM92" s="68"/>
      <c r="ACN92" s="68"/>
      <c r="ACO92" s="68"/>
      <c r="ACP92" s="68"/>
      <c r="ACQ92" s="68"/>
      <c r="ACR92" s="68"/>
      <c r="ACS92" s="68"/>
      <c r="ACT92" s="68"/>
      <c r="ACU92" s="68"/>
      <c r="ACV92" s="68"/>
      <c r="ACW92" s="68"/>
      <c r="ACX92" s="68"/>
      <c r="ACY92" s="68"/>
      <c r="ACZ92" s="68"/>
      <c r="ADA92" s="68"/>
      <c r="ADB92" s="68"/>
      <c r="ADC92" s="68"/>
      <c r="ADD92" s="68"/>
      <c r="ADE92" s="68"/>
      <c r="ADF92" s="68"/>
      <c r="ADG92" s="68"/>
      <c r="ADH92" s="68"/>
      <c r="ADI92" s="68"/>
      <c r="ADJ92" s="68"/>
      <c r="ADK92" s="68"/>
      <c r="ADL92" s="68"/>
      <c r="ADM92" s="68"/>
      <c r="ADN92" s="68"/>
      <c r="ADO92" s="68"/>
      <c r="ADP92" s="68"/>
      <c r="ADQ92" s="68"/>
      <c r="ADR92" s="68"/>
      <c r="ADS92" s="68"/>
      <c r="ADT92" s="68"/>
      <c r="ADU92" s="68"/>
      <c r="ADV92" s="68"/>
      <c r="ADW92" s="68"/>
      <c r="ADX92" s="68"/>
      <c r="ADY92" s="68"/>
      <c r="ADZ92" s="68"/>
      <c r="AEA92" s="68"/>
      <c r="AEB92" s="68"/>
      <c r="AEC92" s="68"/>
      <c r="AED92" s="68"/>
      <c r="AEE92" s="68"/>
      <c r="AEF92" s="68"/>
      <c r="AEG92" s="68"/>
      <c r="AEH92" s="68"/>
      <c r="AEI92" s="68"/>
      <c r="AEJ92" s="68"/>
      <c r="AEK92" s="68"/>
      <c r="AEL92" s="68"/>
      <c r="AEM92" s="68"/>
      <c r="AEN92" s="68"/>
      <c r="AEO92" s="68"/>
      <c r="AEP92" s="68"/>
      <c r="AEQ92" s="68"/>
      <c r="AER92" s="68"/>
      <c r="AES92" s="68"/>
      <c r="AET92" s="68"/>
      <c r="AEU92" s="68"/>
      <c r="AEV92" s="68"/>
      <c r="AEW92" s="68"/>
      <c r="AEX92" s="68"/>
      <c r="AEY92" s="68"/>
      <c r="AEZ92" s="68"/>
      <c r="AFA92" s="68"/>
      <c r="AFB92" s="68"/>
      <c r="AFC92" s="68"/>
      <c r="AFD92" s="68"/>
      <c r="AFE92" s="68"/>
      <c r="AFF92" s="68"/>
      <c r="AFG92" s="68"/>
      <c r="AFH92" s="68"/>
      <c r="AFI92" s="68"/>
      <c r="AFJ92" s="68"/>
      <c r="AFK92" s="68"/>
      <c r="AFL92" s="68"/>
      <c r="AFM92" s="68"/>
      <c r="AFN92" s="68"/>
      <c r="AFO92" s="68"/>
      <c r="AFP92" s="68"/>
      <c r="AFQ92" s="68"/>
      <c r="AFR92" s="68"/>
      <c r="AFS92" s="68"/>
      <c r="AFT92" s="68"/>
      <c r="AFU92" s="68"/>
      <c r="AFV92" s="68"/>
      <c r="AFW92" s="68"/>
      <c r="AFX92" s="68"/>
      <c r="AFY92" s="68"/>
      <c r="AFZ92" s="68"/>
      <c r="AGA92" s="68"/>
      <c r="AGB92" s="68"/>
      <c r="AGC92" s="68"/>
      <c r="AGD92" s="68"/>
      <c r="AGE92" s="68"/>
      <c r="AGF92" s="68"/>
      <c r="AGG92" s="68"/>
      <c r="AGH92" s="68"/>
      <c r="AGI92" s="68"/>
      <c r="AGJ92" s="68"/>
      <c r="AGK92" s="68"/>
      <c r="AGL92" s="68"/>
      <c r="AGM92" s="68"/>
      <c r="AGN92" s="68"/>
      <c r="AGO92" s="68"/>
      <c r="AGP92" s="68"/>
      <c r="AGQ92" s="68"/>
      <c r="AGR92" s="68"/>
      <c r="AGS92" s="68"/>
      <c r="AGT92" s="68"/>
      <c r="AGU92" s="68"/>
      <c r="AGV92" s="68"/>
      <c r="AGW92" s="68"/>
      <c r="AGX92" s="68"/>
      <c r="AGY92" s="68"/>
      <c r="AGZ92" s="68"/>
      <c r="AHA92" s="68"/>
      <c r="AHB92" s="68"/>
      <c r="AHC92" s="68"/>
      <c r="AHD92" s="68"/>
      <c r="AHE92" s="68"/>
      <c r="AHF92" s="68"/>
      <c r="AHG92" s="68"/>
      <c r="AHH92" s="68"/>
      <c r="AHI92" s="68"/>
      <c r="AHJ92" s="68"/>
      <c r="AHK92" s="68"/>
      <c r="AHL92" s="68"/>
      <c r="AHM92" s="68"/>
      <c r="AHN92" s="68"/>
      <c r="AHO92" s="68"/>
      <c r="AHP92" s="68"/>
      <c r="AHQ92" s="68"/>
      <c r="AHR92" s="68"/>
      <c r="AHS92" s="68"/>
      <c r="AHT92" s="68"/>
      <c r="AHU92" s="68"/>
      <c r="AHV92" s="68"/>
      <c r="AHW92" s="68"/>
      <c r="AHX92" s="68"/>
      <c r="AHY92" s="68"/>
      <c r="AHZ92" s="68"/>
      <c r="AIA92" s="68"/>
      <c r="AIB92" s="68"/>
      <c r="AIC92" s="68"/>
      <c r="AID92" s="68"/>
      <c r="AIE92" s="68"/>
      <c r="AIF92" s="68"/>
      <c r="AIG92" s="68"/>
      <c r="AIH92" s="68"/>
      <c r="AII92" s="68"/>
      <c r="AIJ92" s="68"/>
      <c r="AIK92" s="68"/>
      <c r="AIL92" s="68"/>
      <c r="AIM92" s="68"/>
      <c r="AIN92" s="68"/>
      <c r="AIO92" s="68"/>
      <c r="AIP92" s="68"/>
      <c r="AIQ92" s="68"/>
      <c r="AIR92" s="68"/>
      <c r="AIS92" s="68"/>
      <c r="AIT92" s="68"/>
      <c r="AIU92" s="68"/>
      <c r="AIV92" s="68"/>
      <c r="AIW92" s="68"/>
      <c r="AIX92" s="68"/>
      <c r="AIY92" s="68"/>
      <c r="AIZ92" s="68"/>
      <c r="AJA92" s="68"/>
      <c r="AJB92" s="68"/>
      <c r="AJC92" s="68"/>
      <c r="AJD92" s="68"/>
      <c r="AJE92" s="68"/>
      <c r="AJF92" s="68"/>
      <c r="AJG92" s="68"/>
      <c r="AJH92" s="68"/>
      <c r="AJI92" s="68"/>
      <c r="AJJ92" s="68"/>
      <c r="AJK92" s="68"/>
      <c r="AJL92" s="68"/>
      <c r="AJM92" s="68"/>
      <c r="AJN92" s="68"/>
      <c r="AJO92" s="68"/>
      <c r="AJP92" s="68"/>
      <c r="AJQ92" s="68"/>
      <c r="AJR92" s="68"/>
      <c r="AJS92" s="68"/>
      <c r="AJT92" s="68"/>
      <c r="AJU92" s="68"/>
      <c r="AJV92" s="68"/>
      <c r="AJW92" s="68"/>
      <c r="AJX92" s="68"/>
      <c r="AJY92" s="68"/>
      <c r="AJZ92" s="68"/>
      <c r="AKA92" s="68"/>
      <c r="AKB92" s="68"/>
      <c r="AKC92" s="68"/>
      <c r="AKD92" s="68"/>
      <c r="AKE92" s="68"/>
      <c r="AKF92" s="68"/>
      <c r="AKG92" s="68"/>
      <c r="AKH92" s="68"/>
      <c r="AKI92" s="68"/>
      <c r="AKJ92" s="68"/>
      <c r="AKK92" s="68"/>
      <c r="AKL92" s="68"/>
      <c r="AKM92" s="68"/>
      <c r="AKN92" s="68"/>
      <c r="AKO92" s="68"/>
      <c r="AKP92" s="68"/>
      <c r="AKQ92" s="68"/>
      <c r="AKR92" s="68"/>
      <c r="AKS92" s="68"/>
      <c r="AKT92" s="68"/>
      <c r="AKU92" s="68"/>
      <c r="AKV92" s="68"/>
      <c r="AKW92" s="68"/>
      <c r="AKX92" s="68"/>
      <c r="AKY92" s="68"/>
      <c r="AKZ92" s="68"/>
      <c r="ALA92" s="68"/>
      <c r="ALB92" s="68"/>
      <c r="ALC92" s="68"/>
      <c r="ALD92" s="68"/>
      <c r="ALE92" s="68"/>
      <c r="ALF92" s="68"/>
      <c r="ALG92" s="68"/>
      <c r="ALH92" s="68"/>
      <c r="ALI92" s="68"/>
      <c r="ALJ92" s="68"/>
      <c r="ALK92" s="68"/>
      <c r="ALL92" s="68"/>
      <c r="ALM92" s="68"/>
      <c r="ALN92" s="68"/>
      <c r="ALO92" s="68"/>
      <c r="ALP92" s="68"/>
      <c r="ALQ92" s="68"/>
      <c r="ALR92" s="68"/>
      <c r="ALS92" s="68"/>
      <c r="ALT92" s="68"/>
      <c r="ALU92" s="68"/>
      <c r="ALV92" s="68"/>
      <c r="ALW92" s="68"/>
      <c r="ALX92" s="68"/>
      <c r="ALY92" s="68"/>
      <c r="ALZ92" s="68"/>
      <c r="AMA92" s="68"/>
      <c r="AMB92" s="68"/>
      <c r="AMC92" s="68"/>
      <c r="AMD92" s="68"/>
      <c r="AME92" s="68"/>
      <c r="AMF92" s="68"/>
      <c r="AMG92" s="68"/>
      <c r="AMH92" s="68"/>
      <c r="AMI92" s="68"/>
      <c r="AMJ92" s="68"/>
      <c r="AMK92" s="68"/>
      <c r="AML92" s="68"/>
      <c r="AMM92" s="68"/>
      <c r="AMN92" s="68"/>
      <c r="AMO92" s="68"/>
      <c r="AMP92" s="68"/>
      <c r="AMQ92" s="68"/>
      <c r="AMR92" s="68"/>
      <c r="AMS92" s="68"/>
      <c r="AMT92" s="68"/>
      <c r="AMU92" s="68"/>
      <c r="AMV92" s="68"/>
      <c r="AMW92" s="68"/>
      <c r="AMX92" s="68"/>
      <c r="AMY92" s="68"/>
      <c r="AMZ92" s="68"/>
      <c r="ANA92" s="68"/>
      <c r="ANB92" s="68"/>
      <c r="ANC92" s="68"/>
      <c r="AND92" s="68"/>
      <c r="ANE92" s="68"/>
      <c r="ANF92" s="68"/>
      <c r="ANG92" s="68"/>
      <c r="ANH92" s="68"/>
      <c r="ANI92" s="68"/>
      <c r="ANJ92" s="68"/>
      <c r="ANK92" s="68"/>
      <c r="ANL92" s="68"/>
      <c r="ANM92" s="68"/>
      <c r="ANN92" s="68"/>
      <c r="ANO92" s="68"/>
      <c r="ANP92" s="68"/>
      <c r="ANQ92" s="68"/>
      <c r="ANR92" s="68"/>
      <c r="ANS92" s="68"/>
      <c r="ANT92" s="68"/>
      <c r="ANU92" s="68"/>
      <c r="ANV92" s="68"/>
      <c r="ANW92" s="68"/>
      <c r="ANX92" s="68"/>
      <c r="ANY92" s="68"/>
      <c r="ANZ92" s="68"/>
      <c r="AOA92" s="68"/>
      <c r="AOB92" s="68"/>
      <c r="AOC92" s="68"/>
      <c r="AOD92" s="68"/>
      <c r="AOE92" s="68"/>
      <c r="AOF92" s="68"/>
      <c r="AOG92" s="68"/>
      <c r="AOH92" s="68"/>
      <c r="AOI92" s="68"/>
      <c r="AOJ92" s="68"/>
      <c r="AOK92" s="68"/>
      <c r="AOL92" s="68"/>
      <c r="AOM92" s="68"/>
      <c r="AON92" s="68"/>
      <c r="AOO92" s="68"/>
      <c r="AOP92" s="68"/>
      <c r="AOQ92" s="68"/>
      <c r="AOR92" s="68"/>
      <c r="AOS92" s="68"/>
      <c r="AOT92" s="68"/>
      <c r="AOU92" s="68"/>
      <c r="AOV92" s="68"/>
      <c r="AOW92" s="68"/>
      <c r="AOX92" s="68"/>
      <c r="AOY92" s="68"/>
      <c r="AOZ92" s="68"/>
      <c r="APA92" s="68"/>
      <c r="APB92" s="68"/>
      <c r="APC92" s="68"/>
      <c r="APD92" s="68"/>
      <c r="APE92" s="68"/>
      <c r="APF92" s="68"/>
      <c r="APG92" s="68"/>
      <c r="APH92" s="68"/>
      <c r="API92" s="68"/>
      <c r="APJ92" s="68"/>
      <c r="APK92" s="68"/>
      <c r="APL92" s="68"/>
      <c r="APM92" s="68"/>
      <c r="APN92" s="68"/>
      <c r="APO92" s="68"/>
      <c r="APP92" s="68"/>
      <c r="APQ92" s="68"/>
      <c r="APR92" s="68"/>
      <c r="APS92" s="68"/>
      <c r="APT92" s="68"/>
      <c r="APU92" s="68"/>
      <c r="APV92" s="68"/>
      <c r="APW92" s="68"/>
      <c r="APX92" s="68"/>
      <c r="APY92" s="68"/>
      <c r="APZ92" s="68"/>
      <c r="AQA92" s="68"/>
      <c r="AQB92" s="68"/>
      <c r="AQC92" s="68"/>
      <c r="AQD92" s="68"/>
      <c r="AQE92" s="68"/>
      <c r="AQF92" s="68"/>
      <c r="AQG92" s="68"/>
      <c r="AQH92" s="68"/>
      <c r="AQI92" s="68"/>
      <c r="AQJ92" s="68"/>
      <c r="AQK92" s="68"/>
      <c r="AQL92" s="68"/>
      <c r="AQM92" s="68"/>
      <c r="AQN92" s="68"/>
      <c r="AQO92" s="68"/>
      <c r="AQP92" s="68"/>
      <c r="AQQ92" s="68"/>
      <c r="AQR92" s="68"/>
      <c r="AQS92" s="68"/>
      <c r="AQT92" s="68"/>
      <c r="AQU92" s="68"/>
      <c r="AQV92" s="68"/>
      <c r="AQW92" s="68"/>
      <c r="AQX92" s="68"/>
      <c r="AQY92" s="68"/>
      <c r="AQZ92" s="68"/>
      <c r="ARA92" s="68"/>
      <c r="ARB92" s="68"/>
      <c r="ARC92" s="68"/>
      <c r="ARD92" s="68"/>
      <c r="ARE92" s="68"/>
      <c r="ARF92" s="68"/>
      <c r="ARG92" s="68"/>
      <c r="ARH92" s="68"/>
      <c r="ARI92" s="68"/>
      <c r="ARJ92" s="68"/>
      <c r="ARK92" s="68"/>
      <c r="ARL92" s="68"/>
      <c r="ARM92" s="68"/>
      <c r="ARN92" s="68"/>
      <c r="ARO92" s="68"/>
      <c r="ARP92" s="68"/>
      <c r="ARQ92" s="68"/>
      <c r="ARR92" s="68"/>
      <c r="ARS92" s="68"/>
      <c r="ART92" s="68"/>
      <c r="ARU92" s="68"/>
      <c r="ARV92" s="68"/>
      <c r="ARW92" s="68"/>
      <c r="ARX92" s="68"/>
      <c r="ARY92" s="68"/>
      <c r="ARZ92" s="68"/>
      <c r="ASA92" s="68"/>
      <c r="ASB92" s="68"/>
      <c r="ASC92" s="68"/>
      <c r="ASD92" s="68"/>
      <c r="ASE92" s="68"/>
      <c r="ASF92" s="68"/>
      <c r="ASG92" s="68"/>
      <c r="ASH92" s="68"/>
      <c r="ASI92" s="68"/>
      <c r="ASJ92" s="68"/>
      <c r="ASK92" s="68"/>
      <c r="ASL92" s="68"/>
      <c r="ASM92" s="68"/>
      <c r="ASN92" s="68"/>
      <c r="ASO92" s="68"/>
      <c r="ASP92" s="68"/>
      <c r="ASQ92" s="68"/>
      <c r="ASR92" s="68"/>
      <c r="ASS92" s="68"/>
      <c r="AST92" s="68"/>
      <c r="ASU92" s="68"/>
      <c r="ASV92" s="68"/>
      <c r="ASW92" s="68"/>
      <c r="ASX92" s="68"/>
      <c r="ASY92" s="68"/>
      <c r="ASZ92" s="68"/>
      <c r="ATA92" s="68"/>
      <c r="ATB92" s="68"/>
      <c r="ATC92" s="68"/>
      <c r="ATD92" s="68"/>
      <c r="ATE92" s="68"/>
      <c r="ATF92" s="68"/>
      <c r="ATG92" s="68"/>
      <c r="ATH92" s="68"/>
      <c r="ATI92" s="68"/>
      <c r="ATJ92" s="68"/>
      <c r="ATK92" s="68"/>
      <c r="ATL92" s="68"/>
      <c r="ATM92" s="68"/>
      <c r="ATN92" s="68"/>
      <c r="ATO92" s="68"/>
      <c r="ATP92" s="68"/>
      <c r="ATQ92" s="68"/>
      <c r="ATR92" s="68"/>
      <c r="ATS92" s="68"/>
      <c r="ATT92" s="68"/>
      <c r="ATU92" s="68"/>
      <c r="ATV92" s="68"/>
      <c r="ATW92" s="68"/>
      <c r="ATX92" s="68"/>
      <c r="ATY92" s="68"/>
      <c r="ATZ92" s="68"/>
      <c r="AUA92" s="68"/>
      <c r="AUB92" s="68"/>
      <c r="AUC92" s="68"/>
      <c r="AUD92" s="68"/>
      <c r="AUE92" s="68"/>
      <c r="AUF92" s="68"/>
      <c r="AUG92" s="68"/>
      <c r="AUH92" s="68"/>
      <c r="AUI92" s="68"/>
      <c r="AUJ92" s="68"/>
      <c r="AUK92" s="68"/>
      <c r="AUL92" s="68"/>
      <c r="AUM92" s="68"/>
      <c r="AUN92" s="68"/>
      <c r="AUO92" s="68"/>
      <c r="AUP92" s="68"/>
      <c r="AUQ92" s="68"/>
      <c r="AUR92" s="68"/>
      <c r="AUS92" s="68"/>
      <c r="AUT92" s="68"/>
      <c r="AUU92" s="68"/>
      <c r="AUV92" s="68"/>
      <c r="AUW92" s="68"/>
      <c r="AUX92" s="68"/>
      <c r="AUY92" s="68"/>
      <c r="AUZ92" s="68"/>
      <c r="AVA92" s="68"/>
      <c r="AVB92" s="68"/>
      <c r="AVC92" s="68"/>
      <c r="AVD92" s="68"/>
      <c r="AVE92" s="68"/>
      <c r="AVF92" s="68"/>
      <c r="AVG92" s="68"/>
      <c r="AVH92" s="68"/>
      <c r="AVI92" s="68"/>
      <c r="AVJ92" s="68"/>
      <c r="AVK92" s="68"/>
      <c r="AVL92" s="68"/>
      <c r="AVM92" s="68"/>
      <c r="AVN92" s="68"/>
      <c r="AVO92" s="68"/>
      <c r="AVP92" s="68"/>
      <c r="AVQ92" s="68"/>
      <c r="AVR92" s="68"/>
      <c r="AVS92" s="68"/>
      <c r="AVT92" s="68"/>
      <c r="AVU92" s="68"/>
      <c r="AVV92" s="68"/>
      <c r="AVW92" s="68"/>
      <c r="AVX92" s="68"/>
      <c r="AVY92" s="68"/>
      <c r="AVZ92" s="68"/>
      <c r="AWA92" s="68"/>
      <c r="AWB92" s="68"/>
      <c r="AWC92" s="68"/>
      <c r="AWD92" s="68"/>
      <c r="AWE92" s="68"/>
      <c r="AWF92" s="68"/>
      <c r="AWG92" s="68"/>
      <c r="AWH92" s="68"/>
      <c r="AWI92" s="68"/>
      <c r="AWJ92" s="68"/>
      <c r="AWK92" s="68"/>
      <c r="AWL92" s="68"/>
      <c r="AWM92" s="68"/>
      <c r="AWN92" s="68"/>
      <c r="AWO92" s="68"/>
      <c r="AWP92" s="68"/>
      <c r="AWQ92" s="68"/>
      <c r="AWR92" s="68"/>
      <c r="AWS92" s="68"/>
      <c r="AWT92" s="68"/>
      <c r="AWU92" s="68"/>
      <c r="AWV92" s="68"/>
      <c r="AWW92" s="68"/>
      <c r="AWX92" s="68"/>
      <c r="AWY92" s="68"/>
      <c r="AWZ92" s="68"/>
      <c r="AXA92" s="68"/>
      <c r="AXB92" s="68"/>
      <c r="AXC92" s="68"/>
      <c r="AXD92" s="68"/>
      <c r="AXE92" s="68"/>
      <c r="AXF92" s="68"/>
      <c r="AXG92" s="68"/>
      <c r="AXH92" s="68"/>
      <c r="AXI92" s="68"/>
      <c r="AXJ92" s="68"/>
      <c r="AXK92" s="68"/>
      <c r="AXL92" s="68"/>
      <c r="AXM92" s="68"/>
      <c r="AXN92" s="68"/>
      <c r="AXO92" s="68"/>
      <c r="AXP92" s="68"/>
      <c r="AXQ92" s="68"/>
      <c r="AXR92" s="68"/>
      <c r="AXS92" s="68"/>
      <c r="AXT92" s="68"/>
      <c r="AXU92" s="68"/>
      <c r="AXV92" s="68"/>
      <c r="AXW92" s="68"/>
      <c r="AXX92" s="68"/>
      <c r="AXY92" s="68"/>
      <c r="AXZ92" s="68"/>
      <c r="AYA92" s="68"/>
      <c r="AYB92" s="68"/>
      <c r="AYC92" s="68"/>
      <c r="AYD92" s="68"/>
      <c r="AYE92" s="68"/>
      <c r="AYF92" s="68"/>
      <c r="AYG92" s="68"/>
      <c r="AYH92" s="68"/>
      <c r="AYI92" s="68"/>
      <c r="AYJ92" s="68"/>
      <c r="AYK92" s="68"/>
      <c r="AYL92" s="68"/>
      <c r="AYM92" s="68"/>
      <c r="AYN92" s="68"/>
      <c r="AYO92" s="68"/>
      <c r="AYP92" s="68"/>
      <c r="AYQ92" s="68"/>
      <c r="AYR92" s="68"/>
      <c r="AYS92" s="68"/>
      <c r="AYT92" s="68"/>
      <c r="AYU92" s="68"/>
      <c r="AYV92" s="68"/>
      <c r="AYW92" s="68"/>
      <c r="AYX92" s="68"/>
      <c r="AYY92" s="68"/>
      <c r="AYZ92" s="68"/>
      <c r="AZA92" s="68"/>
      <c r="AZB92" s="68"/>
      <c r="AZC92" s="68"/>
      <c r="AZD92" s="68"/>
      <c r="AZE92" s="68"/>
      <c r="AZF92" s="68"/>
      <c r="AZG92" s="68"/>
      <c r="AZH92" s="68"/>
      <c r="AZI92" s="68"/>
      <c r="AZJ92" s="68"/>
      <c r="AZK92" s="68"/>
      <c r="AZL92" s="68"/>
      <c r="AZM92" s="68"/>
      <c r="AZN92" s="68"/>
      <c r="AZO92" s="68"/>
      <c r="AZP92" s="68"/>
      <c r="AZQ92" s="68"/>
      <c r="AZR92" s="68"/>
      <c r="AZS92" s="68"/>
      <c r="AZT92" s="68"/>
      <c r="AZU92" s="68"/>
      <c r="AZV92" s="68"/>
      <c r="AZW92" s="68"/>
      <c r="AZX92" s="68"/>
      <c r="AZY92" s="68"/>
      <c r="AZZ92" s="68"/>
      <c r="BAA92" s="68"/>
      <c r="BAB92" s="68"/>
      <c r="BAC92" s="68"/>
      <c r="BAD92" s="68"/>
      <c r="BAE92" s="68"/>
      <c r="BAF92" s="68"/>
      <c r="BAG92" s="68"/>
      <c r="BAH92" s="68"/>
      <c r="BAI92" s="68"/>
      <c r="BAJ92" s="68"/>
      <c r="BAK92" s="68"/>
      <c r="BAL92" s="68"/>
      <c r="BAM92" s="68"/>
      <c r="BAN92" s="68"/>
      <c r="BAO92" s="68"/>
      <c r="BAP92" s="68"/>
      <c r="BAQ92" s="68"/>
      <c r="BAR92" s="68"/>
      <c r="BAS92" s="68"/>
      <c r="BAT92" s="68"/>
      <c r="BAU92" s="68"/>
      <c r="BAV92" s="68"/>
      <c r="BAW92" s="68"/>
      <c r="BAX92" s="68"/>
      <c r="BAY92" s="68"/>
      <c r="BAZ92" s="68"/>
      <c r="BBA92" s="68"/>
      <c r="BBB92" s="68"/>
      <c r="BBC92" s="68"/>
      <c r="BBD92" s="68"/>
      <c r="BBE92" s="68"/>
      <c r="BBF92" s="68"/>
      <c r="BBG92" s="68"/>
      <c r="BBH92" s="68"/>
      <c r="BBI92" s="68"/>
      <c r="BBJ92" s="68"/>
      <c r="BBK92" s="68"/>
      <c r="BBL92" s="68"/>
      <c r="BBM92" s="68"/>
      <c r="BBN92" s="68"/>
      <c r="BBO92" s="68"/>
      <c r="BBP92" s="68"/>
      <c r="BBQ92" s="68"/>
      <c r="BBR92" s="68"/>
      <c r="BBS92" s="68"/>
      <c r="BBT92" s="68"/>
      <c r="BBU92" s="68"/>
      <c r="BBV92" s="68"/>
      <c r="BBW92" s="68"/>
      <c r="BBX92" s="68"/>
      <c r="BBY92" s="68"/>
      <c r="BBZ92" s="68"/>
      <c r="BCA92" s="68"/>
      <c r="BCB92" s="68"/>
      <c r="BCC92" s="68"/>
      <c r="BCD92" s="68"/>
      <c r="BCE92" s="68"/>
      <c r="BCF92" s="68"/>
      <c r="BCG92" s="68"/>
      <c r="BCH92" s="68"/>
      <c r="BCI92" s="68"/>
      <c r="BCJ92" s="68"/>
      <c r="BCK92" s="68"/>
      <c r="BCL92" s="68"/>
      <c r="BCM92" s="68"/>
      <c r="BCN92" s="68"/>
      <c r="BCO92" s="68"/>
      <c r="BCP92" s="68"/>
      <c r="BCQ92" s="68"/>
      <c r="BCR92" s="68"/>
      <c r="BCS92" s="68"/>
      <c r="BCT92" s="68"/>
      <c r="BCU92" s="68"/>
      <c r="BCV92" s="68"/>
      <c r="BCW92" s="68"/>
      <c r="BCX92" s="68"/>
      <c r="BCY92" s="68"/>
      <c r="BCZ92" s="68"/>
      <c r="BDA92" s="68"/>
    </row>
    <row r="93" spans="1:1458" s="67" customFormat="1" ht="48" customHeight="1" x14ac:dyDescent="0.25">
      <c r="A93" s="49">
        <v>11</v>
      </c>
      <c r="B93" s="71" t="s">
        <v>727</v>
      </c>
      <c r="C93" s="71" t="s">
        <v>730</v>
      </c>
      <c r="D93" s="71" t="s">
        <v>708</v>
      </c>
      <c r="E93" s="71" t="s">
        <v>709</v>
      </c>
      <c r="F93" s="51">
        <v>8052400</v>
      </c>
      <c r="G93" s="70" t="s">
        <v>630</v>
      </c>
      <c r="H93" s="42" t="s">
        <v>564</v>
      </c>
      <c r="I93" s="71" t="s">
        <v>732</v>
      </c>
      <c r="J93" s="71" t="s">
        <v>71</v>
      </c>
      <c r="K93" s="71"/>
      <c r="L93" s="71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/>
      <c r="BU93" s="68"/>
      <c r="BV93" s="68"/>
      <c r="BW93" s="68"/>
      <c r="BX93" s="68"/>
      <c r="BY93" s="68"/>
      <c r="BZ93" s="68"/>
      <c r="CA93" s="68"/>
      <c r="CB93" s="68"/>
      <c r="CC93" s="68"/>
      <c r="CD93" s="68"/>
      <c r="CE93" s="68"/>
      <c r="CF93" s="68"/>
      <c r="CG93" s="68"/>
      <c r="CH93" s="68"/>
      <c r="CI93" s="68"/>
      <c r="CJ93" s="68"/>
      <c r="CK93" s="68"/>
      <c r="CL93" s="68"/>
      <c r="CM93" s="68"/>
      <c r="CN93" s="68"/>
      <c r="CO93" s="68"/>
      <c r="CP93" s="68"/>
      <c r="CQ93" s="68"/>
      <c r="CR93" s="68"/>
      <c r="CS93" s="68"/>
      <c r="CT93" s="68"/>
      <c r="CU93" s="68"/>
      <c r="CV93" s="68"/>
      <c r="CW93" s="68"/>
      <c r="CX93" s="68"/>
      <c r="CY93" s="68"/>
      <c r="CZ93" s="68"/>
      <c r="DA93" s="68"/>
      <c r="DB93" s="68"/>
      <c r="DC93" s="68"/>
      <c r="DD93" s="68"/>
      <c r="DE93" s="68"/>
      <c r="DF93" s="68"/>
      <c r="DG93" s="68"/>
      <c r="DH93" s="68"/>
      <c r="DI93" s="68"/>
      <c r="DJ93" s="68"/>
      <c r="DK93" s="68"/>
      <c r="DL93" s="68"/>
      <c r="DM93" s="68"/>
      <c r="DN93" s="68"/>
      <c r="DO93" s="68"/>
      <c r="DP93" s="6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  <c r="EE93" s="68"/>
      <c r="EF93" s="68"/>
      <c r="EG93" s="68"/>
      <c r="EH93" s="68"/>
      <c r="EI93" s="68"/>
      <c r="EJ93" s="68"/>
      <c r="EK93" s="68"/>
      <c r="EL93" s="68"/>
      <c r="EM93" s="68"/>
      <c r="EN93" s="68"/>
      <c r="EO93" s="68"/>
      <c r="EP93" s="68"/>
      <c r="EQ93" s="68"/>
      <c r="ER93" s="68"/>
      <c r="ES93" s="68"/>
      <c r="ET93" s="68"/>
      <c r="EU93" s="68"/>
      <c r="EV93" s="68"/>
      <c r="EW93" s="68"/>
      <c r="EX93" s="68"/>
      <c r="EY93" s="68"/>
      <c r="EZ93" s="68"/>
      <c r="FA93" s="68"/>
      <c r="FB93" s="68"/>
      <c r="FC93" s="68"/>
      <c r="FD93" s="68"/>
      <c r="FE93" s="68"/>
      <c r="FF93" s="68"/>
      <c r="FG93" s="68"/>
      <c r="FH93" s="68"/>
      <c r="FI93" s="68"/>
      <c r="FJ93" s="68"/>
      <c r="FK93" s="68"/>
      <c r="FL93" s="68"/>
      <c r="FM93" s="68"/>
      <c r="FN93" s="68"/>
      <c r="FO93" s="68"/>
      <c r="FP93" s="68"/>
      <c r="FQ93" s="68"/>
      <c r="FR93" s="68"/>
      <c r="FS93" s="68"/>
      <c r="FT93" s="68"/>
      <c r="FU93" s="68"/>
      <c r="FV93" s="68"/>
      <c r="FW93" s="68"/>
      <c r="FX93" s="68"/>
      <c r="FY93" s="68"/>
      <c r="FZ93" s="68"/>
      <c r="GA93" s="68"/>
      <c r="GB93" s="68"/>
      <c r="GC93" s="68"/>
      <c r="GD93" s="68"/>
      <c r="GE93" s="68"/>
      <c r="GF93" s="68"/>
      <c r="GG93" s="68"/>
      <c r="GH93" s="68"/>
      <c r="GI93" s="68"/>
      <c r="GJ93" s="68"/>
      <c r="GK93" s="68"/>
      <c r="GL93" s="68"/>
      <c r="GM93" s="68"/>
      <c r="GN93" s="68"/>
      <c r="GO93" s="68"/>
      <c r="GP93" s="68"/>
      <c r="GQ93" s="68"/>
      <c r="GR93" s="68"/>
      <c r="GS93" s="68"/>
      <c r="GT93" s="68"/>
      <c r="GU93" s="68"/>
      <c r="GV93" s="68"/>
      <c r="GW93" s="68"/>
      <c r="GX93" s="68"/>
      <c r="GY93" s="68"/>
      <c r="GZ93" s="68"/>
      <c r="HA93" s="68"/>
      <c r="HB93" s="68"/>
      <c r="HC93" s="68"/>
      <c r="HD93" s="68"/>
      <c r="HE93" s="68"/>
      <c r="HF93" s="68"/>
      <c r="HG93" s="68"/>
      <c r="HH93" s="68"/>
      <c r="HI93" s="68"/>
      <c r="HJ93" s="68"/>
      <c r="HK93" s="68"/>
      <c r="HL93" s="68"/>
      <c r="HM93" s="68"/>
      <c r="HN93" s="68"/>
      <c r="HO93" s="68"/>
      <c r="HP93" s="68"/>
      <c r="HQ93" s="68"/>
      <c r="HR93" s="68"/>
      <c r="HS93" s="68"/>
      <c r="HT93" s="68"/>
      <c r="HU93" s="68"/>
      <c r="HV93" s="68"/>
      <c r="HW93" s="68"/>
      <c r="HX93" s="68"/>
      <c r="HY93" s="68"/>
      <c r="HZ93" s="68"/>
      <c r="IA93" s="68"/>
      <c r="IB93" s="68"/>
      <c r="IC93" s="68"/>
      <c r="ID93" s="68"/>
      <c r="IE93" s="68"/>
      <c r="IF93" s="68"/>
      <c r="IG93" s="68"/>
      <c r="IH93" s="68"/>
      <c r="II93" s="68"/>
      <c r="IJ93" s="68"/>
      <c r="IK93" s="68"/>
      <c r="IL93" s="68"/>
      <c r="IM93" s="68"/>
      <c r="IN93" s="68"/>
      <c r="IO93" s="68"/>
      <c r="IP93" s="68"/>
      <c r="IQ93" s="68"/>
      <c r="IR93" s="68"/>
      <c r="IS93" s="68"/>
      <c r="IT93" s="68"/>
      <c r="IU93" s="68"/>
      <c r="IV93" s="68"/>
      <c r="IW93" s="68"/>
      <c r="IX93" s="68"/>
      <c r="IY93" s="68"/>
      <c r="IZ93" s="68"/>
      <c r="JA93" s="68"/>
      <c r="JB93" s="68"/>
      <c r="JC93" s="68"/>
      <c r="JD93" s="68"/>
      <c r="JE93" s="68"/>
      <c r="JF93" s="68"/>
      <c r="JG93" s="68"/>
      <c r="JH93" s="68"/>
      <c r="JI93" s="68"/>
      <c r="JJ93" s="68"/>
      <c r="JK93" s="68"/>
      <c r="JL93" s="68"/>
      <c r="JM93" s="68"/>
      <c r="JN93" s="68"/>
      <c r="JO93" s="68"/>
      <c r="JP93" s="68"/>
      <c r="JQ93" s="68"/>
      <c r="JR93" s="68"/>
      <c r="JS93" s="68"/>
      <c r="JT93" s="68"/>
      <c r="JU93" s="68"/>
      <c r="JV93" s="68"/>
      <c r="JW93" s="68"/>
      <c r="JX93" s="68"/>
      <c r="JY93" s="68"/>
      <c r="JZ93" s="68"/>
      <c r="KA93" s="68"/>
      <c r="KB93" s="68"/>
      <c r="KC93" s="68"/>
      <c r="KD93" s="68"/>
      <c r="KE93" s="68"/>
      <c r="KF93" s="68"/>
      <c r="KG93" s="68"/>
      <c r="KH93" s="68"/>
      <c r="KI93" s="68"/>
      <c r="KJ93" s="68"/>
      <c r="KK93" s="68"/>
      <c r="KL93" s="68"/>
      <c r="KM93" s="68"/>
      <c r="KN93" s="68"/>
      <c r="KO93" s="68"/>
      <c r="KP93" s="68"/>
      <c r="KQ93" s="68"/>
      <c r="KR93" s="68"/>
      <c r="KS93" s="68"/>
      <c r="KT93" s="68"/>
      <c r="KU93" s="68"/>
      <c r="KV93" s="68"/>
      <c r="KW93" s="68"/>
      <c r="KX93" s="68"/>
      <c r="KY93" s="68"/>
      <c r="KZ93" s="68"/>
      <c r="LA93" s="68"/>
      <c r="LB93" s="68"/>
      <c r="LC93" s="68"/>
      <c r="LD93" s="68"/>
      <c r="LE93" s="68"/>
      <c r="LF93" s="68"/>
      <c r="LG93" s="68"/>
      <c r="LH93" s="68"/>
      <c r="LI93" s="68"/>
      <c r="LJ93" s="68"/>
      <c r="LK93" s="68"/>
      <c r="LL93" s="68"/>
      <c r="LM93" s="68"/>
      <c r="LN93" s="68"/>
      <c r="LO93" s="68"/>
      <c r="LP93" s="68"/>
      <c r="LQ93" s="68"/>
      <c r="LR93" s="68"/>
      <c r="LS93" s="68"/>
      <c r="LT93" s="68"/>
      <c r="LU93" s="68"/>
      <c r="LV93" s="68"/>
      <c r="LW93" s="68"/>
      <c r="LX93" s="68"/>
      <c r="LY93" s="68"/>
      <c r="LZ93" s="68"/>
      <c r="MA93" s="68"/>
      <c r="MB93" s="68"/>
      <c r="MC93" s="68"/>
      <c r="MD93" s="68"/>
      <c r="ME93" s="68"/>
      <c r="MF93" s="68"/>
      <c r="MG93" s="68"/>
      <c r="MH93" s="68"/>
      <c r="MI93" s="68"/>
      <c r="MJ93" s="68"/>
      <c r="MK93" s="68"/>
      <c r="ML93" s="68"/>
      <c r="MM93" s="68"/>
      <c r="MN93" s="68"/>
      <c r="MO93" s="68"/>
      <c r="MP93" s="68"/>
      <c r="MQ93" s="68"/>
      <c r="MR93" s="68"/>
      <c r="MS93" s="68"/>
      <c r="MT93" s="68"/>
      <c r="MU93" s="68"/>
      <c r="MV93" s="68"/>
      <c r="MW93" s="68"/>
      <c r="MX93" s="68"/>
      <c r="MY93" s="68"/>
      <c r="MZ93" s="68"/>
      <c r="NA93" s="68"/>
      <c r="NB93" s="68"/>
      <c r="NC93" s="68"/>
      <c r="ND93" s="68"/>
      <c r="NE93" s="68"/>
      <c r="NF93" s="68"/>
      <c r="NG93" s="68"/>
      <c r="NH93" s="68"/>
      <c r="NI93" s="68"/>
      <c r="NJ93" s="68"/>
      <c r="NK93" s="68"/>
      <c r="NL93" s="68"/>
      <c r="NM93" s="68"/>
      <c r="NN93" s="68"/>
      <c r="NO93" s="68"/>
      <c r="NP93" s="68"/>
      <c r="NQ93" s="68"/>
      <c r="NR93" s="68"/>
      <c r="NS93" s="68"/>
      <c r="NT93" s="68"/>
      <c r="NU93" s="68"/>
      <c r="NV93" s="68"/>
      <c r="NW93" s="68"/>
      <c r="NX93" s="68"/>
      <c r="NY93" s="68"/>
      <c r="NZ93" s="68"/>
      <c r="OA93" s="68"/>
      <c r="OB93" s="68"/>
      <c r="OC93" s="68"/>
      <c r="OD93" s="68"/>
      <c r="OE93" s="68"/>
      <c r="OF93" s="68"/>
      <c r="OG93" s="68"/>
      <c r="OH93" s="68"/>
      <c r="OI93" s="68"/>
      <c r="OJ93" s="68"/>
      <c r="OK93" s="68"/>
      <c r="OL93" s="68"/>
      <c r="OM93" s="68"/>
      <c r="ON93" s="68"/>
      <c r="OO93" s="68"/>
      <c r="OP93" s="68"/>
      <c r="OQ93" s="68"/>
      <c r="OR93" s="68"/>
      <c r="OS93" s="68"/>
      <c r="OT93" s="68"/>
      <c r="OU93" s="68"/>
      <c r="OV93" s="68"/>
      <c r="OW93" s="68"/>
      <c r="OX93" s="68"/>
      <c r="OY93" s="68"/>
      <c r="OZ93" s="68"/>
      <c r="PA93" s="68"/>
      <c r="PB93" s="68"/>
      <c r="PC93" s="68"/>
      <c r="PD93" s="68"/>
      <c r="PE93" s="68"/>
      <c r="PF93" s="68"/>
      <c r="PG93" s="68"/>
      <c r="PH93" s="68"/>
      <c r="PI93" s="68"/>
      <c r="PJ93" s="68"/>
      <c r="PK93" s="68"/>
      <c r="PL93" s="68"/>
      <c r="PM93" s="68"/>
      <c r="PN93" s="68"/>
      <c r="PO93" s="68"/>
      <c r="PP93" s="68"/>
      <c r="PQ93" s="68"/>
      <c r="PR93" s="68"/>
      <c r="PS93" s="68"/>
      <c r="PT93" s="68"/>
      <c r="PU93" s="68"/>
      <c r="PV93" s="68"/>
      <c r="PW93" s="68"/>
      <c r="PX93" s="68"/>
      <c r="PY93" s="68"/>
      <c r="PZ93" s="68"/>
      <c r="QA93" s="68"/>
      <c r="QB93" s="68"/>
      <c r="QC93" s="68"/>
      <c r="QD93" s="68"/>
      <c r="QE93" s="68"/>
      <c r="QF93" s="68"/>
      <c r="QG93" s="68"/>
      <c r="QH93" s="68"/>
      <c r="QI93" s="68"/>
      <c r="QJ93" s="68"/>
      <c r="QK93" s="68"/>
      <c r="QL93" s="68"/>
      <c r="QM93" s="68"/>
      <c r="QN93" s="68"/>
      <c r="QO93" s="68"/>
      <c r="QP93" s="68"/>
      <c r="QQ93" s="68"/>
      <c r="QR93" s="68"/>
      <c r="QS93" s="68"/>
      <c r="QT93" s="68"/>
      <c r="QU93" s="68"/>
      <c r="QV93" s="68"/>
      <c r="QW93" s="68"/>
      <c r="QX93" s="68"/>
      <c r="QY93" s="68"/>
      <c r="QZ93" s="68"/>
      <c r="RA93" s="68"/>
      <c r="RB93" s="68"/>
      <c r="RC93" s="68"/>
      <c r="RD93" s="68"/>
      <c r="RE93" s="68"/>
      <c r="RF93" s="68"/>
      <c r="RG93" s="68"/>
      <c r="RH93" s="68"/>
      <c r="RI93" s="68"/>
      <c r="RJ93" s="68"/>
      <c r="RK93" s="68"/>
      <c r="RL93" s="68"/>
      <c r="RM93" s="68"/>
      <c r="RN93" s="68"/>
      <c r="RO93" s="68"/>
      <c r="RP93" s="68"/>
      <c r="RQ93" s="68"/>
      <c r="RR93" s="68"/>
      <c r="RS93" s="68"/>
      <c r="RT93" s="68"/>
      <c r="RU93" s="68"/>
      <c r="RV93" s="68"/>
      <c r="RW93" s="68"/>
      <c r="RX93" s="68"/>
      <c r="RY93" s="68"/>
      <c r="RZ93" s="68"/>
      <c r="SA93" s="68"/>
      <c r="SB93" s="68"/>
      <c r="SC93" s="68"/>
      <c r="SD93" s="68"/>
      <c r="SE93" s="68"/>
      <c r="SF93" s="68"/>
      <c r="SG93" s="68"/>
      <c r="SH93" s="68"/>
      <c r="SI93" s="68"/>
      <c r="SJ93" s="68"/>
      <c r="SK93" s="68"/>
      <c r="SL93" s="68"/>
      <c r="SM93" s="68"/>
      <c r="SN93" s="68"/>
      <c r="SO93" s="68"/>
      <c r="SP93" s="68"/>
      <c r="SQ93" s="68"/>
      <c r="SR93" s="68"/>
      <c r="SS93" s="68"/>
      <c r="ST93" s="68"/>
      <c r="SU93" s="68"/>
      <c r="SV93" s="68"/>
      <c r="SW93" s="68"/>
      <c r="SX93" s="68"/>
      <c r="SY93" s="68"/>
      <c r="SZ93" s="68"/>
      <c r="TA93" s="68"/>
      <c r="TB93" s="68"/>
      <c r="TC93" s="68"/>
      <c r="TD93" s="68"/>
      <c r="TE93" s="68"/>
      <c r="TF93" s="68"/>
      <c r="TG93" s="68"/>
      <c r="TH93" s="68"/>
      <c r="TI93" s="68"/>
      <c r="TJ93" s="68"/>
      <c r="TK93" s="68"/>
      <c r="TL93" s="68"/>
      <c r="TM93" s="68"/>
      <c r="TN93" s="68"/>
      <c r="TO93" s="68"/>
      <c r="TP93" s="68"/>
      <c r="TQ93" s="68"/>
      <c r="TR93" s="68"/>
      <c r="TS93" s="68"/>
      <c r="TT93" s="68"/>
      <c r="TU93" s="68"/>
      <c r="TV93" s="68"/>
      <c r="TW93" s="68"/>
      <c r="TX93" s="68"/>
      <c r="TY93" s="68"/>
      <c r="TZ93" s="68"/>
      <c r="UA93" s="68"/>
      <c r="UB93" s="68"/>
      <c r="UC93" s="68"/>
      <c r="UD93" s="68"/>
      <c r="UE93" s="68"/>
      <c r="UF93" s="68"/>
      <c r="UG93" s="68"/>
      <c r="UH93" s="68"/>
      <c r="UI93" s="68"/>
      <c r="UJ93" s="68"/>
      <c r="UK93" s="68"/>
      <c r="UL93" s="68"/>
      <c r="UM93" s="68"/>
      <c r="UN93" s="68"/>
      <c r="UO93" s="68"/>
      <c r="UP93" s="68"/>
      <c r="UQ93" s="68"/>
      <c r="UR93" s="68"/>
      <c r="US93" s="68"/>
      <c r="UT93" s="68"/>
      <c r="UU93" s="68"/>
      <c r="UV93" s="68"/>
      <c r="UW93" s="68"/>
      <c r="UX93" s="68"/>
      <c r="UY93" s="68"/>
      <c r="UZ93" s="68"/>
      <c r="VA93" s="68"/>
      <c r="VB93" s="68"/>
      <c r="VC93" s="68"/>
      <c r="VD93" s="68"/>
      <c r="VE93" s="68"/>
      <c r="VF93" s="68"/>
      <c r="VG93" s="68"/>
      <c r="VH93" s="68"/>
      <c r="VI93" s="68"/>
      <c r="VJ93" s="68"/>
      <c r="VK93" s="68"/>
      <c r="VL93" s="68"/>
      <c r="VM93" s="68"/>
      <c r="VN93" s="68"/>
      <c r="VO93" s="68"/>
      <c r="VP93" s="68"/>
      <c r="VQ93" s="68"/>
      <c r="VR93" s="68"/>
      <c r="VS93" s="68"/>
      <c r="VT93" s="68"/>
      <c r="VU93" s="68"/>
      <c r="VV93" s="68"/>
      <c r="VW93" s="68"/>
      <c r="VX93" s="68"/>
      <c r="VY93" s="68"/>
      <c r="VZ93" s="68"/>
      <c r="WA93" s="68"/>
      <c r="WB93" s="68"/>
      <c r="WC93" s="68"/>
      <c r="WD93" s="68"/>
      <c r="WE93" s="68"/>
      <c r="WF93" s="68"/>
      <c r="WG93" s="68"/>
      <c r="WH93" s="68"/>
      <c r="WI93" s="68"/>
      <c r="WJ93" s="68"/>
      <c r="WK93" s="68"/>
      <c r="WL93" s="68"/>
      <c r="WM93" s="68"/>
      <c r="WN93" s="68"/>
      <c r="WO93" s="68"/>
      <c r="WP93" s="68"/>
      <c r="WQ93" s="68"/>
      <c r="WR93" s="68"/>
      <c r="WS93" s="68"/>
      <c r="WT93" s="68"/>
      <c r="WU93" s="68"/>
      <c r="WV93" s="68"/>
      <c r="WW93" s="68"/>
      <c r="WX93" s="68"/>
      <c r="WY93" s="68"/>
      <c r="WZ93" s="68"/>
      <c r="XA93" s="68"/>
      <c r="XB93" s="68"/>
      <c r="XC93" s="68"/>
      <c r="XD93" s="68"/>
      <c r="XE93" s="68"/>
      <c r="XF93" s="68"/>
      <c r="XG93" s="68"/>
      <c r="XH93" s="68"/>
      <c r="XI93" s="68"/>
      <c r="XJ93" s="68"/>
      <c r="XK93" s="68"/>
      <c r="XL93" s="68"/>
      <c r="XM93" s="68"/>
      <c r="XN93" s="68"/>
      <c r="XO93" s="68"/>
      <c r="XP93" s="68"/>
      <c r="XQ93" s="68"/>
      <c r="XR93" s="68"/>
      <c r="XS93" s="68"/>
      <c r="XT93" s="68"/>
      <c r="XU93" s="68"/>
      <c r="XV93" s="68"/>
      <c r="XW93" s="68"/>
      <c r="XX93" s="68"/>
      <c r="XY93" s="68"/>
      <c r="XZ93" s="68"/>
      <c r="YA93" s="68"/>
      <c r="YB93" s="68"/>
      <c r="YC93" s="68"/>
      <c r="YD93" s="68"/>
      <c r="YE93" s="68"/>
      <c r="YF93" s="68"/>
      <c r="YG93" s="68"/>
      <c r="YH93" s="68"/>
      <c r="YI93" s="68"/>
      <c r="YJ93" s="68"/>
      <c r="YK93" s="68"/>
      <c r="YL93" s="68"/>
      <c r="YM93" s="68"/>
      <c r="YN93" s="68"/>
      <c r="YO93" s="68"/>
      <c r="YP93" s="68"/>
      <c r="YQ93" s="68"/>
      <c r="YR93" s="68"/>
      <c r="YS93" s="68"/>
      <c r="YT93" s="68"/>
      <c r="YU93" s="68"/>
      <c r="YV93" s="68"/>
      <c r="YW93" s="68"/>
      <c r="YX93" s="68"/>
      <c r="YY93" s="68"/>
      <c r="YZ93" s="68"/>
      <c r="ZA93" s="68"/>
      <c r="ZB93" s="68"/>
      <c r="ZC93" s="68"/>
      <c r="ZD93" s="68"/>
      <c r="ZE93" s="68"/>
      <c r="ZF93" s="68"/>
      <c r="ZG93" s="68"/>
      <c r="ZH93" s="68"/>
      <c r="ZI93" s="68"/>
      <c r="ZJ93" s="68"/>
      <c r="ZK93" s="68"/>
      <c r="ZL93" s="68"/>
      <c r="ZM93" s="68"/>
      <c r="ZN93" s="68"/>
      <c r="ZO93" s="68"/>
      <c r="ZP93" s="68"/>
      <c r="ZQ93" s="68"/>
      <c r="ZR93" s="68"/>
      <c r="ZS93" s="68"/>
      <c r="ZT93" s="68"/>
      <c r="ZU93" s="68"/>
      <c r="ZV93" s="68"/>
      <c r="ZW93" s="68"/>
      <c r="ZX93" s="68"/>
      <c r="ZY93" s="68"/>
      <c r="ZZ93" s="68"/>
      <c r="AAA93" s="68"/>
      <c r="AAB93" s="68"/>
      <c r="AAC93" s="68"/>
      <c r="AAD93" s="68"/>
      <c r="AAE93" s="68"/>
      <c r="AAF93" s="68"/>
      <c r="AAG93" s="68"/>
      <c r="AAH93" s="68"/>
      <c r="AAI93" s="68"/>
      <c r="AAJ93" s="68"/>
      <c r="AAK93" s="68"/>
      <c r="AAL93" s="68"/>
      <c r="AAM93" s="68"/>
      <c r="AAN93" s="68"/>
      <c r="AAO93" s="68"/>
      <c r="AAP93" s="68"/>
      <c r="AAQ93" s="68"/>
      <c r="AAR93" s="68"/>
      <c r="AAS93" s="68"/>
      <c r="AAT93" s="68"/>
      <c r="AAU93" s="68"/>
      <c r="AAV93" s="68"/>
      <c r="AAW93" s="68"/>
      <c r="AAX93" s="68"/>
      <c r="AAY93" s="68"/>
      <c r="AAZ93" s="68"/>
      <c r="ABA93" s="68"/>
      <c r="ABB93" s="68"/>
      <c r="ABC93" s="68"/>
      <c r="ABD93" s="68"/>
      <c r="ABE93" s="68"/>
      <c r="ABF93" s="68"/>
      <c r="ABG93" s="68"/>
      <c r="ABH93" s="68"/>
      <c r="ABI93" s="68"/>
      <c r="ABJ93" s="68"/>
      <c r="ABK93" s="68"/>
      <c r="ABL93" s="68"/>
      <c r="ABM93" s="68"/>
      <c r="ABN93" s="68"/>
      <c r="ABO93" s="68"/>
      <c r="ABP93" s="68"/>
      <c r="ABQ93" s="68"/>
      <c r="ABR93" s="68"/>
      <c r="ABS93" s="68"/>
      <c r="ABT93" s="68"/>
      <c r="ABU93" s="68"/>
      <c r="ABV93" s="68"/>
      <c r="ABW93" s="68"/>
      <c r="ABX93" s="68"/>
      <c r="ABY93" s="68"/>
      <c r="ABZ93" s="68"/>
      <c r="ACA93" s="68"/>
      <c r="ACB93" s="68"/>
      <c r="ACC93" s="68"/>
      <c r="ACD93" s="68"/>
      <c r="ACE93" s="68"/>
      <c r="ACF93" s="68"/>
      <c r="ACG93" s="68"/>
      <c r="ACH93" s="68"/>
      <c r="ACI93" s="68"/>
      <c r="ACJ93" s="68"/>
      <c r="ACK93" s="68"/>
      <c r="ACL93" s="68"/>
      <c r="ACM93" s="68"/>
      <c r="ACN93" s="68"/>
      <c r="ACO93" s="68"/>
      <c r="ACP93" s="68"/>
      <c r="ACQ93" s="68"/>
      <c r="ACR93" s="68"/>
      <c r="ACS93" s="68"/>
      <c r="ACT93" s="68"/>
      <c r="ACU93" s="68"/>
      <c r="ACV93" s="68"/>
      <c r="ACW93" s="68"/>
      <c r="ACX93" s="68"/>
      <c r="ACY93" s="68"/>
      <c r="ACZ93" s="68"/>
      <c r="ADA93" s="68"/>
      <c r="ADB93" s="68"/>
      <c r="ADC93" s="68"/>
      <c r="ADD93" s="68"/>
      <c r="ADE93" s="68"/>
      <c r="ADF93" s="68"/>
      <c r="ADG93" s="68"/>
      <c r="ADH93" s="68"/>
      <c r="ADI93" s="68"/>
      <c r="ADJ93" s="68"/>
      <c r="ADK93" s="68"/>
      <c r="ADL93" s="68"/>
      <c r="ADM93" s="68"/>
      <c r="ADN93" s="68"/>
      <c r="ADO93" s="68"/>
      <c r="ADP93" s="68"/>
      <c r="ADQ93" s="68"/>
      <c r="ADR93" s="68"/>
      <c r="ADS93" s="68"/>
      <c r="ADT93" s="68"/>
      <c r="ADU93" s="68"/>
      <c r="ADV93" s="68"/>
      <c r="ADW93" s="68"/>
      <c r="ADX93" s="68"/>
      <c r="ADY93" s="68"/>
      <c r="ADZ93" s="68"/>
      <c r="AEA93" s="68"/>
      <c r="AEB93" s="68"/>
      <c r="AEC93" s="68"/>
      <c r="AED93" s="68"/>
      <c r="AEE93" s="68"/>
      <c r="AEF93" s="68"/>
      <c r="AEG93" s="68"/>
      <c r="AEH93" s="68"/>
      <c r="AEI93" s="68"/>
      <c r="AEJ93" s="68"/>
      <c r="AEK93" s="68"/>
      <c r="AEL93" s="68"/>
      <c r="AEM93" s="68"/>
      <c r="AEN93" s="68"/>
      <c r="AEO93" s="68"/>
      <c r="AEP93" s="68"/>
      <c r="AEQ93" s="68"/>
      <c r="AER93" s="68"/>
      <c r="AES93" s="68"/>
      <c r="AET93" s="68"/>
      <c r="AEU93" s="68"/>
      <c r="AEV93" s="68"/>
      <c r="AEW93" s="68"/>
      <c r="AEX93" s="68"/>
      <c r="AEY93" s="68"/>
      <c r="AEZ93" s="68"/>
      <c r="AFA93" s="68"/>
      <c r="AFB93" s="68"/>
      <c r="AFC93" s="68"/>
      <c r="AFD93" s="68"/>
      <c r="AFE93" s="68"/>
      <c r="AFF93" s="68"/>
      <c r="AFG93" s="68"/>
      <c r="AFH93" s="68"/>
      <c r="AFI93" s="68"/>
      <c r="AFJ93" s="68"/>
      <c r="AFK93" s="68"/>
      <c r="AFL93" s="68"/>
      <c r="AFM93" s="68"/>
      <c r="AFN93" s="68"/>
      <c r="AFO93" s="68"/>
      <c r="AFP93" s="68"/>
      <c r="AFQ93" s="68"/>
      <c r="AFR93" s="68"/>
      <c r="AFS93" s="68"/>
      <c r="AFT93" s="68"/>
      <c r="AFU93" s="68"/>
      <c r="AFV93" s="68"/>
      <c r="AFW93" s="68"/>
      <c r="AFX93" s="68"/>
      <c r="AFY93" s="68"/>
      <c r="AFZ93" s="68"/>
      <c r="AGA93" s="68"/>
      <c r="AGB93" s="68"/>
      <c r="AGC93" s="68"/>
      <c r="AGD93" s="68"/>
      <c r="AGE93" s="68"/>
      <c r="AGF93" s="68"/>
      <c r="AGG93" s="68"/>
      <c r="AGH93" s="68"/>
      <c r="AGI93" s="68"/>
      <c r="AGJ93" s="68"/>
      <c r="AGK93" s="68"/>
      <c r="AGL93" s="68"/>
      <c r="AGM93" s="68"/>
      <c r="AGN93" s="68"/>
      <c r="AGO93" s="68"/>
      <c r="AGP93" s="68"/>
      <c r="AGQ93" s="68"/>
      <c r="AGR93" s="68"/>
      <c r="AGS93" s="68"/>
      <c r="AGT93" s="68"/>
      <c r="AGU93" s="68"/>
      <c r="AGV93" s="68"/>
      <c r="AGW93" s="68"/>
      <c r="AGX93" s="68"/>
      <c r="AGY93" s="68"/>
      <c r="AGZ93" s="68"/>
      <c r="AHA93" s="68"/>
      <c r="AHB93" s="68"/>
      <c r="AHC93" s="68"/>
      <c r="AHD93" s="68"/>
      <c r="AHE93" s="68"/>
      <c r="AHF93" s="68"/>
      <c r="AHG93" s="68"/>
      <c r="AHH93" s="68"/>
      <c r="AHI93" s="68"/>
      <c r="AHJ93" s="68"/>
      <c r="AHK93" s="68"/>
      <c r="AHL93" s="68"/>
      <c r="AHM93" s="68"/>
      <c r="AHN93" s="68"/>
      <c r="AHO93" s="68"/>
      <c r="AHP93" s="68"/>
      <c r="AHQ93" s="68"/>
      <c r="AHR93" s="68"/>
      <c r="AHS93" s="68"/>
      <c r="AHT93" s="68"/>
      <c r="AHU93" s="68"/>
      <c r="AHV93" s="68"/>
      <c r="AHW93" s="68"/>
      <c r="AHX93" s="68"/>
      <c r="AHY93" s="68"/>
      <c r="AHZ93" s="68"/>
      <c r="AIA93" s="68"/>
      <c r="AIB93" s="68"/>
      <c r="AIC93" s="68"/>
      <c r="AID93" s="68"/>
      <c r="AIE93" s="68"/>
      <c r="AIF93" s="68"/>
      <c r="AIG93" s="68"/>
      <c r="AIH93" s="68"/>
      <c r="AII93" s="68"/>
      <c r="AIJ93" s="68"/>
      <c r="AIK93" s="68"/>
      <c r="AIL93" s="68"/>
      <c r="AIM93" s="68"/>
      <c r="AIN93" s="68"/>
      <c r="AIO93" s="68"/>
      <c r="AIP93" s="68"/>
      <c r="AIQ93" s="68"/>
      <c r="AIR93" s="68"/>
      <c r="AIS93" s="68"/>
      <c r="AIT93" s="68"/>
      <c r="AIU93" s="68"/>
      <c r="AIV93" s="68"/>
      <c r="AIW93" s="68"/>
      <c r="AIX93" s="68"/>
      <c r="AIY93" s="68"/>
      <c r="AIZ93" s="68"/>
      <c r="AJA93" s="68"/>
      <c r="AJB93" s="68"/>
      <c r="AJC93" s="68"/>
      <c r="AJD93" s="68"/>
      <c r="AJE93" s="68"/>
      <c r="AJF93" s="68"/>
      <c r="AJG93" s="68"/>
      <c r="AJH93" s="68"/>
      <c r="AJI93" s="68"/>
      <c r="AJJ93" s="68"/>
      <c r="AJK93" s="68"/>
      <c r="AJL93" s="68"/>
      <c r="AJM93" s="68"/>
      <c r="AJN93" s="68"/>
      <c r="AJO93" s="68"/>
      <c r="AJP93" s="68"/>
      <c r="AJQ93" s="68"/>
      <c r="AJR93" s="68"/>
      <c r="AJS93" s="68"/>
      <c r="AJT93" s="68"/>
      <c r="AJU93" s="68"/>
      <c r="AJV93" s="68"/>
      <c r="AJW93" s="68"/>
      <c r="AJX93" s="68"/>
      <c r="AJY93" s="68"/>
      <c r="AJZ93" s="68"/>
      <c r="AKA93" s="68"/>
      <c r="AKB93" s="68"/>
      <c r="AKC93" s="68"/>
      <c r="AKD93" s="68"/>
      <c r="AKE93" s="68"/>
      <c r="AKF93" s="68"/>
      <c r="AKG93" s="68"/>
      <c r="AKH93" s="68"/>
      <c r="AKI93" s="68"/>
      <c r="AKJ93" s="68"/>
      <c r="AKK93" s="68"/>
      <c r="AKL93" s="68"/>
      <c r="AKM93" s="68"/>
      <c r="AKN93" s="68"/>
      <c r="AKO93" s="68"/>
      <c r="AKP93" s="68"/>
      <c r="AKQ93" s="68"/>
      <c r="AKR93" s="68"/>
      <c r="AKS93" s="68"/>
      <c r="AKT93" s="68"/>
      <c r="AKU93" s="68"/>
      <c r="AKV93" s="68"/>
      <c r="AKW93" s="68"/>
      <c r="AKX93" s="68"/>
      <c r="AKY93" s="68"/>
      <c r="AKZ93" s="68"/>
      <c r="ALA93" s="68"/>
      <c r="ALB93" s="68"/>
      <c r="ALC93" s="68"/>
      <c r="ALD93" s="68"/>
      <c r="ALE93" s="68"/>
      <c r="ALF93" s="68"/>
      <c r="ALG93" s="68"/>
      <c r="ALH93" s="68"/>
      <c r="ALI93" s="68"/>
      <c r="ALJ93" s="68"/>
      <c r="ALK93" s="68"/>
      <c r="ALL93" s="68"/>
      <c r="ALM93" s="68"/>
      <c r="ALN93" s="68"/>
      <c r="ALO93" s="68"/>
      <c r="ALP93" s="68"/>
      <c r="ALQ93" s="68"/>
      <c r="ALR93" s="68"/>
      <c r="ALS93" s="68"/>
      <c r="ALT93" s="68"/>
      <c r="ALU93" s="68"/>
      <c r="ALV93" s="68"/>
      <c r="ALW93" s="68"/>
      <c r="ALX93" s="68"/>
      <c r="ALY93" s="68"/>
      <c r="ALZ93" s="68"/>
      <c r="AMA93" s="68"/>
      <c r="AMB93" s="68"/>
      <c r="AMC93" s="68"/>
      <c r="AMD93" s="68"/>
      <c r="AME93" s="68"/>
      <c r="AMF93" s="68"/>
      <c r="AMG93" s="68"/>
      <c r="AMH93" s="68"/>
      <c r="AMI93" s="68"/>
      <c r="AMJ93" s="68"/>
      <c r="AMK93" s="68"/>
      <c r="AML93" s="68"/>
      <c r="AMM93" s="68"/>
      <c r="AMN93" s="68"/>
      <c r="AMO93" s="68"/>
      <c r="AMP93" s="68"/>
      <c r="AMQ93" s="68"/>
      <c r="AMR93" s="68"/>
      <c r="AMS93" s="68"/>
      <c r="AMT93" s="68"/>
      <c r="AMU93" s="68"/>
      <c r="AMV93" s="68"/>
      <c r="AMW93" s="68"/>
      <c r="AMX93" s="68"/>
      <c r="AMY93" s="68"/>
      <c r="AMZ93" s="68"/>
      <c r="ANA93" s="68"/>
      <c r="ANB93" s="68"/>
      <c r="ANC93" s="68"/>
      <c r="AND93" s="68"/>
      <c r="ANE93" s="68"/>
      <c r="ANF93" s="68"/>
      <c r="ANG93" s="68"/>
      <c r="ANH93" s="68"/>
      <c r="ANI93" s="68"/>
      <c r="ANJ93" s="68"/>
      <c r="ANK93" s="68"/>
      <c r="ANL93" s="68"/>
      <c r="ANM93" s="68"/>
      <c r="ANN93" s="68"/>
      <c r="ANO93" s="68"/>
      <c r="ANP93" s="68"/>
      <c r="ANQ93" s="68"/>
      <c r="ANR93" s="68"/>
      <c r="ANS93" s="68"/>
      <c r="ANT93" s="68"/>
      <c r="ANU93" s="68"/>
      <c r="ANV93" s="68"/>
      <c r="ANW93" s="68"/>
      <c r="ANX93" s="68"/>
      <c r="ANY93" s="68"/>
      <c r="ANZ93" s="68"/>
      <c r="AOA93" s="68"/>
      <c r="AOB93" s="68"/>
      <c r="AOC93" s="68"/>
      <c r="AOD93" s="68"/>
      <c r="AOE93" s="68"/>
      <c r="AOF93" s="68"/>
      <c r="AOG93" s="68"/>
      <c r="AOH93" s="68"/>
      <c r="AOI93" s="68"/>
      <c r="AOJ93" s="68"/>
      <c r="AOK93" s="68"/>
      <c r="AOL93" s="68"/>
      <c r="AOM93" s="68"/>
      <c r="AON93" s="68"/>
      <c r="AOO93" s="68"/>
      <c r="AOP93" s="68"/>
      <c r="AOQ93" s="68"/>
      <c r="AOR93" s="68"/>
      <c r="AOS93" s="68"/>
      <c r="AOT93" s="68"/>
      <c r="AOU93" s="68"/>
      <c r="AOV93" s="68"/>
      <c r="AOW93" s="68"/>
      <c r="AOX93" s="68"/>
      <c r="AOY93" s="68"/>
      <c r="AOZ93" s="68"/>
      <c r="APA93" s="68"/>
      <c r="APB93" s="68"/>
      <c r="APC93" s="68"/>
      <c r="APD93" s="68"/>
      <c r="APE93" s="68"/>
      <c r="APF93" s="68"/>
      <c r="APG93" s="68"/>
      <c r="APH93" s="68"/>
      <c r="API93" s="68"/>
      <c r="APJ93" s="68"/>
      <c r="APK93" s="68"/>
      <c r="APL93" s="68"/>
      <c r="APM93" s="68"/>
      <c r="APN93" s="68"/>
      <c r="APO93" s="68"/>
      <c r="APP93" s="68"/>
      <c r="APQ93" s="68"/>
      <c r="APR93" s="68"/>
      <c r="APS93" s="68"/>
      <c r="APT93" s="68"/>
      <c r="APU93" s="68"/>
      <c r="APV93" s="68"/>
      <c r="APW93" s="68"/>
      <c r="APX93" s="68"/>
      <c r="APY93" s="68"/>
      <c r="APZ93" s="68"/>
      <c r="AQA93" s="68"/>
      <c r="AQB93" s="68"/>
      <c r="AQC93" s="68"/>
      <c r="AQD93" s="68"/>
      <c r="AQE93" s="68"/>
      <c r="AQF93" s="68"/>
      <c r="AQG93" s="68"/>
      <c r="AQH93" s="68"/>
      <c r="AQI93" s="68"/>
      <c r="AQJ93" s="68"/>
      <c r="AQK93" s="68"/>
      <c r="AQL93" s="68"/>
      <c r="AQM93" s="68"/>
      <c r="AQN93" s="68"/>
      <c r="AQO93" s="68"/>
      <c r="AQP93" s="68"/>
      <c r="AQQ93" s="68"/>
      <c r="AQR93" s="68"/>
      <c r="AQS93" s="68"/>
      <c r="AQT93" s="68"/>
      <c r="AQU93" s="68"/>
      <c r="AQV93" s="68"/>
      <c r="AQW93" s="68"/>
      <c r="AQX93" s="68"/>
      <c r="AQY93" s="68"/>
      <c r="AQZ93" s="68"/>
      <c r="ARA93" s="68"/>
      <c r="ARB93" s="68"/>
      <c r="ARC93" s="68"/>
      <c r="ARD93" s="68"/>
      <c r="ARE93" s="68"/>
      <c r="ARF93" s="68"/>
      <c r="ARG93" s="68"/>
      <c r="ARH93" s="68"/>
      <c r="ARI93" s="68"/>
      <c r="ARJ93" s="68"/>
      <c r="ARK93" s="68"/>
      <c r="ARL93" s="68"/>
      <c r="ARM93" s="68"/>
      <c r="ARN93" s="68"/>
      <c r="ARO93" s="68"/>
      <c r="ARP93" s="68"/>
      <c r="ARQ93" s="68"/>
      <c r="ARR93" s="68"/>
      <c r="ARS93" s="68"/>
      <c r="ART93" s="68"/>
      <c r="ARU93" s="68"/>
      <c r="ARV93" s="68"/>
      <c r="ARW93" s="68"/>
      <c r="ARX93" s="68"/>
      <c r="ARY93" s="68"/>
      <c r="ARZ93" s="68"/>
      <c r="ASA93" s="68"/>
      <c r="ASB93" s="68"/>
      <c r="ASC93" s="68"/>
      <c r="ASD93" s="68"/>
      <c r="ASE93" s="68"/>
      <c r="ASF93" s="68"/>
      <c r="ASG93" s="68"/>
      <c r="ASH93" s="68"/>
      <c r="ASI93" s="68"/>
      <c r="ASJ93" s="68"/>
      <c r="ASK93" s="68"/>
      <c r="ASL93" s="68"/>
      <c r="ASM93" s="68"/>
      <c r="ASN93" s="68"/>
      <c r="ASO93" s="68"/>
      <c r="ASP93" s="68"/>
      <c r="ASQ93" s="68"/>
      <c r="ASR93" s="68"/>
      <c r="ASS93" s="68"/>
      <c r="AST93" s="68"/>
      <c r="ASU93" s="68"/>
      <c r="ASV93" s="68"/>
      <c r="ASW93" s="68"/>
      <c r="ASX93" s="68"/>
      <c r="ASY93" s="68"/>
      <c r="ASZ93" s="68"/>
      <c r="ATA93" s="68"/>
      <c r="ATB93" s="68"/>
      <c r="ATC93" s="68"/>
      <c r="ATD93" s="68"/>
      <c r="ATE93" s="68"/>
      <c r="ATF93" s="68"/>
      <c r="ATG93" s="68"/>
      <c r="ATH93" s="68"/>
      <c r="ATI93" s="68"/>
      <c r="ATJ93" s="68"/>
      <c r="ATK93" s="68"/>
      <c r="ATL93" s="68"/>
      <c r="ATM93" s="68"/>
      <c r="ATN93" s="68"/>
      <c r="ATO93" s="68"/>
      <c r="ATP93" s="68"/>
      <c r="ATQ93" s="68"/>
      <c r="ATR93" s="68"/>
      <c r="ATS93" s="68"/>
      <c r="ATT93" s="68"/>
      <c r="ATU93" s="68"/>
      <c r="ATV93" s="68"/>
      <c r="ATW93" s="68"/>
      <c r="ATX93" s="68"/>
      <c r="ATY93" s="68"/>
      <c r="ATZ93" s="68"/>
      <c r="AUA93" s="68"/>
      <c r="AUB93" s="68"/>
      <c r="AUC93" s="68"/>
      <c r="AUD93" s="68"/>
      <c r="AUE93" s="68"/>
      <c r="AUF93" s="68"/>
      <c r="AUG93" s="68"/>
      <c r="AUH93" s="68"/>
      <c r="AUI93" s="68"/>
      <c r="AUJ93" s="68"/>
      <c r="AUK93" s="68"/>
      <c r="AUL93" s="68"/>
      <c r="AUM93" s="68"/>
      <c r="AUN93" s="68"/>
      <c r="AUO93" s="68"/>
      <c r="AUP93" s="68"/>
      <c r="AUQ93" s="68"/>
      <c r="AUR93" s="68"/>
      <c r="AUS93" s="68"/>
      <c r="AUT93" s="68"/>
      <c r="AUU93" s="68"/>
      <c r="AUV93" s="68"/>
      <c r="AUW93" s="68"/>
      <c r="AUX93" s="68"/>
      <c r="AUY93" s="68"/>
      <c r="AUZ93" s="68"/>
      <c r="AVA93" s="68"/>
      <c r="AVB93" s="68"/>
      <c r="AVC93" s="68"/>
      <c r="AVD93" s="68"/>
      <c r="AVE93" s="68"/>
      <c r="AVF93" s="68"/>
      <c r="AVG93" s="68"/>
      <c r="AVH93" s="68"/>
      <c r="AVI93" s="68"/>
      <c r="AVJ93" s="68"/>
      <c r="AVK93" s="68"/>
      <c r="AVL93" s="68"/>
      <c r="AVM93" s="68"/>
      <c r="AVN93" s="68"/>
      <c r="AVO93" s="68"/>
      <c r="AVP93" s="68"/>
      <c r="AVQ93" s="68"/>
      <c r="AVR93" s="68"/>
      <c r="AVS93" s="68"/>
      <c r="AVT93" s="68"/>
      <c r="AVU93" s="68"/>
      <c r="AVV93" s="68"/>
      <c r="AVW93" s="68"/>
      <c r="AVX93" s="68"/>
      <c r="AVY93" s="68"/>
      <c r="AVZ93" s="68"/>
      <c r="AWA93" s="68"/>
      <c r="AWB93" s="68"/>
      <c r="AWC93" s="68"/>
      <c r="AWD93" s="68"/>
      <c r="AWE93" s="68"/>
      <c r="AWF93" s="68"/>
      <c r="AWG93" s="68"/>
      <c r="AWH93" s="68"/>
      <c r="AWI93" s="68"/>
      <c r="AWJ93" s="68"/>
      <c r="AWK93" s="68"/>
      <c r="AWL93" s="68"/>
      <c r="AWM93" s="68"/>
      <c r="AWN93" s="68"/>
      <c r="AWO93" s="68"/>
      <c r="AWP93" s="68"/>
      <c r="AWQ93" s="68"/>
      <c r="AWR93" s="68"/>
      <c r="AWS93" s="68"/>
      <c r="AWT93" s="68"/>
      <c r="AWU93" s="68"/>
      <c r="AWV93" s="68"/>
      <c r="AWW93" s="68"/>
      <c r="AWX93" s="68"/>
      <c r="AWY93" s="68"/>
      <c r="AWZ93" s="68"/>
      <c r="AXA93" s="68"/>
      <c r="AXB93" s="68"/>
      <c r="AXC93" s="68"/>
      <c r="AXD93" s="68"/>
      <c r="AXE93" s="68"/>
      <c r="AXF93" s="68"/>
      <c r="AXG93" s="68"/>
      <c r="AXH93" s="68"/>
      <c r="AXI93" s="68"/>
      <c r="AXJ93" s="68"/>
      <c r="AXK93" s="68"/>
      <c r="AXL93" s="68"/>
      <c r="AXM93" s="68"/>
      <c r="AXN93" s="68"/>
      <c r="AXO93" s="68"/>
      <c r="AXP93" s="68"/>
      <c r="AXQ93" s="68"/>
      <c r="AXR93" s="68"/>
      <c r="AXS93" s="68"/>
      <c r="AXT93" s="68"/>
      <c r="AXU93" s="68"/>
      <c r="AXV93" s="68"/>
      <c r="AXW93" s="68"/>
      <c r="AXX93" s="68"/>
      <c r="AXY93" s="68"/>
      <c r="AXZ93" s="68"/>
      <c r="AYA93" s="68"/>
      <c r="AYB93" s="68"/>
      <c r="AYC93" s="68"/>
      <c r="AYD93" s="68"/>
      <c r="AYE93" s="68"/>
      <c r="AYF93" s="68"/>
      <c r="AYG93" s="68"/>
      <c r="AYH93" s="68"/>
      <c r="AYI93" s="68"/>
      <c r="AYJ93" s="68"/>
      <c r="AYK93" s="68"/>
      <c r="AYL93" s="68"/>
      <c r="AYM93" s="68"/>
      <c r="AYN93" s="68"/>
      <c r="AYO93" s="68"/>
      <c r="AYP93" s="68"/>
      <c r="AYQ93" s="68"/>
      <c r="AYR93" s="68"/>
      <c r="AYS93" s="68"/>
      <c r="AYT93" s="68"/>
      <c r="AYU93" s="68"/>
      <c r="AYV93" s="68"/>
      <c r="AYW93" s="68"/>
      <c r="AYX93" s="68"/>
      <c r="AYY93" s="68"/>
      <c r="AYZ93" s="68"/>
      <c r="AZA93" s="68"/>
      <c r="AZB93" s="68"/>
      <c r="AZC93" s="68"/>
      <c r="AZD93" s="68"/>
      <c r="AZE93" s="68"/>
      <c r="AZF93" s="68"/>
      <c r="AZG93" s="68"/>
      <c r="AZH93" s="68"/>
      <c r="AZI93" s="68"/>
      <c r="AZJ93" s="68"/>
      <c r="AZK93" s="68"/>
      <c r="AZL93" s="68"/>
      <c r="AZM93" s="68"/>
      <c r="AZN93" s="68"/>
      <c r="AZO93" s="68"/>
      <c r="AZP93" s="68"/>
      <c r="AZQ93" s="68"/>
      <c r="AZR93" s="68"/>
      <c r="AZS93" s="68"/>
      <c r="AZT93" s="68"/>
      <c r="AZU93" s="68"/>
      <c r="AZV93" s="68"/>
      <c r="AZW93" s="68"/>
      <c r="AZX93" s="68"/>
      <c r="AZY93" s="68"/>
      <c r="AZZ93" s="68"/>
      <c r="BAA93" s="68"/>
      <c r="BAB93" s="68"/>
      <c r="BAC93" s="68"/>
      <c r="BAD93" s="68"/>
      <c r="BAE93" s="68"/>
      <c r="BAF93" s="68"/>
      <c r="BAG93" s="68"/>
      <c r="BAH93" s="68"/>
      <c r="BAI93" s="68"/>
      <c r="BAJ93" s="68"/>
      <c r="BAK93" s="68"/>
      <c r="BAL93" s="68"/>
      <c r="BAM93" s="68"/>
      <c r="BAN93" s="68"/>
      <c r="BAO93" s="68"/>
      <c r="BAP93" s="68"/>
      <c r="BAQ93" s="68"/>
      <c r="BAR93" s="68"/>
      <c r="BAS93" s="68"/>
      <c r="BAT93" s="68"/>
      <c r="BAU93" s="68"/>
      <c r="BAV93" s="68"/>
      <c r="BAW93" s="68"/>
      <c r="BAX93" s="68"/>
      <c r="BAY93" s="68"/>
      <c r="BAZ93" s="68"/>
      <c r="BBA93" s="68"/>
      <c r="BBB93" s="68"/>
      <c r="BBC93" s="68"/>
      <c r="BBD93" s="68"/>
      <c r="BBE93" s="68"/>
      <c r="BBF93" s="68"/>
      <c r="BBG93" s="68"/>
      <c r="BBH93" s="68"/>
      <c r="BBI93" s="68"/>
      <c r="BBJ93" s="68"/>
      <c r="BBK93" s="68"/>
      <c r="BBL93" s="68"/>
      <c r="BBM93" s="68"/>
      <c r="BBN93" s="68"/>
      <c r="BBO93" s="68"/>
      <c r="BBP93" s="68"/>
      <c r="BBQ93" s="68"/>
      <c r="BBR93" s="68"/>
      <c r="BBS93" s="68"/>
      <c r="BBT93" s="68"/>
      <c r="BBU93" s="68"/>
      <c r="BBV93" s="68"/>
      <c r="BBW93" s="68"/>
      <c r="BBX93" s="68"/>
      <c r="BBY93" s="68"/>
      <c r="BBZ93" s="68"/>
      <c r="BCA93" s="68"/>
      <c r="BCB93" s="68"/>
      <c r="BCC93" s="68"/>
      <c r="BCD93" s="68"/>
      <c r="BCE93" s="68"/>
      <c r="BCF93" s="68"/>
      <c r="BCG93" s="68"/>
      <c r="BCH93" s="68"/>
      <c r="BCI93" s="68"/>
      <c r="BCJ93" s="68"/>
      <c r="BCK93" s="68"/>
      <c r="BCL93" s="68"/>
      <c r="BCM93" s="68"/>
      <c r="BCN93" s="68"/>
      <c r="BCO93" s="68"/>
      <c r="BCP93" s="68"/>
      <c r="BCQ93" s="68"/>
      <c r="BCR93" s="68"/>
      <c r="BCS93" s="68"/>
      <c r="BCT93" s="68"/>
      <c r="BCU93" s="68"/>
      <c r="BCV93" s="68"/>
      <c r="BCW93" s="68"/>
      <c r="BCX93" s="68"/>
      <c r="BCY93" s="68"/>
      <c r="BCZ93" s="68"/>
      <c r="BDA93" s="68"/>
    </row>
    <row r="94" spans="1:1458" s="67" customFormat="1" ht="48" customHeight="1" x14ac:dyDescent="0.25">
      <c r="A94" s="49">
        <v>12</v>
      </c>
      <c r="B94" s="71" t="s">
        <v>733</v>
      </c>
      <c r="C94" s="71" t="s">
        <v>731</v>
      </c>
      <c r="D94" s="71" t="s">
        <v>708</v>
      </c>
      <c r="E94" s="71" t="s">
        <v>709</v>
      </c>
      <c r="F94" s="51">
        <v>8052400</v>
      </c>
      <c r="G94" s="70" t="s">
        <v>630</v>
      </c>
      <c r="H94" s="42" t="s">
        <v>564</v>
      </c>
      <c r="I94" s="71" t="s">
        <v>732</v>
      </c>
      <c r="J94" s="71" t="s">
        <v>71</v>
      </c>
      <c r="K94" s="71"/>
      <c r="L94" s="71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Q94" s="68"/>
      <c r="BR94" s="68"/>
      <c r="BS94" s="68"/>
      <c r="BT94" s="68"/>
      <c r="BU94" s="68"/>
      <c r="BV94" s="68"/>
      <c r="BW94" s="68"/>
      <c r="BX94" s="68"/>
      <c r="BY94" s="68"/>
      <c r="BZ94" s="68"/>
      <c r="CA94" s="68"/>
      <c r="CB94" s="68"/>
      <c r="CC94" s="68"/>
      <c r="CD94" s="68"/>
      <c r="CE94" s="68"/>
      <c r="CF94" s="68"/>
      <c r="CG94" s="68"/>
      <c r="CH94" s="68"/>
      <c r="CI94" s="68"/>
      <c r="CJ94" s="68"/>
      <c r="CK94" s="68"/>
      <c r="CL94" s="68"/>
      <c r="CM94" s="68"/>
      <c r="CN94" s="68"/>
      <c r="CO94" s="68"/>
      <c r="CP94" s="68"/>
      <c r="CQ94" s="68"/>
      <c r="CR94" s="68"/>
      <c r="CS94" s="68"/>
      <c r="CT94" s="68"/>
      <c r="CU94" s="68"/>
      <c r="CV94" s="68"/>
      <c r="CW94" s="68"/>
      <c r="CX94" s="68"/>
      <c r="CY94" s="68"/>
      <c r="CZ94" s="68"/>
      <c r="DA94" s="68"/>
      <c r="DB94" s="68"/>
      <c r="DC94" s="68"/>
      <c r="DD94" s="68"/>
      <c r="DE94" s="68"/>
      <c r="DF94" s="68"/>
      <c r="DG94" s="68"/>
      <c r="DH94" s="68"/>
      <c r="DI94" s="68"/>
      <c r="DJ94" s="68"/>
      <c r="DK94" s="68"/>
      <c r="DL94" s="68"/>
      <c r="DM94" s="68"/>
      <c r="DN94" s="68"/>
      <c r="DO94" s="68"/>
      <c r="DP94" s="68"/>
      <c r="DQ94" s="68"/>
      <c r="DR94" s="68"/>
      <c r="DS94" s="68"/>
      <c r="DT94" s="68"/>
      <c r="DU94" s="68"/>
      <c r="DV94" s="68"/>
      <c r="DW94" s="68"/>
      <c r="DX94" s="68"/>
      <c r="DY94" s="68"/>
      <c r="DZ94" s="68"/>
      <c r="EA94" s="68"/>
      <c r="EB94" s="68"/>
      <c r="EC94" s="68"/>
      <c r="ED94" s="68"/>
      <c r="EE94" s="68"/>
      <c r="EF94" s="68"/>
      <c r="EG94" s="68"/>
      <c r="EH94" s="68"/>
      <c r="EI94" s="68"/>
      <c r="EJ94" s="68"/>
      <c r="EK94" s="68"/>
      <c r="EL94" s="68"/>
      <c r="EM94" s="68"/>
      <c r="EN94" s="68"/>
      <c r="EO94" s="68"/>
      <c r="EP94" s="68"/>
      <c r="EQ94" s="68"/>
      <c r="ER94" s="68"/>
      <c r="ES94" s="68"/>
      <c r="ET94" s="68"/>
      <c r="EU94" s="68"/>
      <c r="EV94" s="68"/>
      <c r="EW94" s="68"/>
      <c r="EX94" s="68"/>
      <c r="EY94" s="68"/>
      <c r="EZ94" s="68"/>
      <c r="FA94" s="68"/>
      <c r="FB94" s="68"/>
      <c r="FC94" s="68"/>
      <c r="FD94" s="68"/>
      <c r="FE94" s="68"/>
      <c r="FF94" s="68"/>
      <c r="FG94" s="68"/>
      <c r="FH94" s="68"/>
      <c r="FI94" s="68"/>
      <c r="FJ94" s="68"/>
      <c r="FK94" s="68"/>
      <c r="FL94" s="68"/>
      <c r="FM94" s="68"/>
      <c r="FN94" s="68"/>
      <c r="FO94" s="68"/>
      <c r="FP94" s="68"/>
      <c r="FQ94" s="68"/>
      <c r="FR94" s="68"/>
      <c r="FS94" s="68"/>
      <c r="FT94" s="68"/>
      <c r="FU94" s="68"/>
      <c r="FV94" s="68"/>
      <c r="FW94" s="68"/>
      <c r="FX94" s="68"/>
      <c r="FY94" s="68"/>
      <c r="FZ94" s="68"/>
      <c r="GA94" s="68"/>
      <c r="GB94" s="68"/>
      <c r="GC94" s="68"/>
      <c r="GD94" s="68"/>
      <c r="GE94" s="68"/>
      <c r="GF94" s="68"/>
      <c r="GG94" s="68"/>
      <c r="GH94" s="68"/>
      <c r="GI94" s="68"/>
      <c r="GJ94" s="68"/>
      <c r="GK94" s="68"/>
      <c r="GL94" s="68"/>
      <c r="GM94" s="68"/>
      <c r="GN94" s="68"/>
      <c r="GO94" s="68"/>
      <c r="GP94" s="68"/>
      <c r="GQ94" s="68"/>
      <c r="GR94" s="68"/>
      <c r="GS94" s="68"/>
      <c r="GT94" s="68"/>
      <c r="GU94" s="68"/>
      <c r="GV94" s="68"/>
      <c r="GW94" s="68"/>
      <c r="GX94" s="68"/>
      <c r="GY94" s="68"/>
      <c r="GZ94" s="68"/>
      <c r="HA94" s="68"/>
      <c r="HB94" s="68"/>
      <c r="HC94" s="68"/>
      <c r="HD94" s="68"/>
      <c r="HE94" s="68"/>
      <c r="HF94" s="68"/>
      <c r="HG94" s="68"/>
      <c r="HH94" s="68"/>
      <c r="HI94" s="68"/>
      <c r="HJ94" s="68"/>
      <c r="HK94" s="68"/>
      <c r="HL94" s="68"/>
      <c r="HM94" s="68"/>
      <c r="HN94" s="68"/>
      <c r="HO94" s="68"/>
      <c r="HP94" s="68"/>
      <c r="HQ94" s="68"/>
      <c r="HR94" s="68"/>
      <c r="HS94" s="68"/>
      <c r="HT94" s="68"/>
      <c r="HU94" s="68"/>
      <c r="HV94" s="68"/>
      <c r="HW94" s="68"/>
      <c r="HX94" s="68"/>
      <c r="HY94" s="68"/>
      <c r="HZ94" s="68"/>
      <c r="IA94" s="68"/>
      <c r="IB94" s="68"/>
      <c r="IC94" s="68"/>
      <c r="ID94" s="68"/>
      <c r="IE94" s="68"/>
      <c r="IF94" s="68"/>
      <c r="IG94" s="68"/>
      <c r="IH94" s="68"/>
      <c r="II94" s="68"/>
      <c r="IJ94" s="68"/>
      <c r="IK94" s="68"/>
      <c r="IL94" s="68"/>
      <c r="IM94" s="68"/>
      <c r="IN94" s="68"/>
      <c r="IO94" s="68"/>
      <c r="IP94" s="68"/>
      <c r="IQ94" s="68"/>
      <c r="IR94" s="68"/>
      <c r="IS94" s="68"/>
      <c r="IT94" s="68"/>
      <c r="IU94" s="68"/>
      <c r="IV94" s="68"/>
      <c r="IW94" s="68"/>
      <c r="IX94" s="68"/>
      <c r="IY94" s="68"/>
      <c r="IZ94" s="68"/>
      <c r="JA94" s="68"/>
      <c r="JB94" s="68"/>
      <c r="JC94" s="68"/>
      <c r="JD94" s="68"/>
      <c r="JE94" s="68"/>
      <c r="JF94" s="68"/>
      <c r="JG94" s="68"/>
      <c r="JH94" s="68"/>
      <c r="JI94" s="68"/>
      <c r="JJ94" s="68"/>
      <c r="JK94" s="68"/>
      <c r="JL94" s="68"/>
      <c r="JM94" s="68"/>
      <c r="JN94" s="68"/>
      <c r="JO94" s="68"/>
      <c r="JP94" s="68"/>
      <c r="JQ94" s="68"/>
      <c r="JR94" s="68"/>
      <c r="JS94" s="68"/>
      <c r="JT94" s="68"/>
      <c r="JU94" s="68"/>
      <c r="JV94" s="68"/>
      <c r="JW94" s="68"/>
      <c r="JX94" s="68"/>
      <c r="JY94" s="68"/>
      <c r="JZ94" s="68"/>
      <c r="KA94" s="68"/>
      <c r="KB94" s="68"/>
      <c r="KC94" s="68"/>
      <c r="KD94" s="68"/>
      <c r="KE94" s="68"/>
      <c r="KF94" s="68"/>
      <c r="KG94" s="68"/>
      <c r="KH94" s="68"/>
      <c r="KI94" s="68"/>
      <c r="KJ94" s="68"/>
      <c r="KK94" s="68"/>
      <c r="KL94" s="68"/>
      <c r="KM94" s="68"/>
      <c r="KN94" s="68"/>
      <c r="KO94" s="68"/>
      <c r="KP94" s="68"/>
      <c r="KQ94" s="68"/>
      <c r="KR94" s="68"/>
      <c r="KS94" s="68"/>
      <c r="KT94" s="68"/>
      <c r="KU94" s="68"/>
      <c r="KV94" s="68"/>
      <c r="KW94" s="68"/>
      <c r="KX94" s="68"/>
      <c r="KY94" s="68"/>
      <c r="KZ94" s="68"/>
      <c r="LA94" s="68"/>
      <c r="LB94" s="68"/>
      <c r="LC94" s="68"/>
      <c r="LD94" s="68"/>
      <c r="LE94" s="68"/>
      <c r="LF94" s="68"/>
      <c r="LG94" s="68"/>
      <c r="LH94" s="68"/>
      <c r="LI94" s="68"/>
      <c r="LJ94" s="68"/>
      <c r="LK94" s="68"/>
      <c r="LL94" s="68"/>
      <c r="LM94" s="68"/>
      <c r="LN94" s="68"/>
      <c r="LO94" s="68"/>
      <c r="LP94" s="68"/>
      <c r="LQ94" s="68"/>
      <c r="LR94" s="68"/>
      <c r="LS94" s="68"/>
      <c r="LT94" s="68"/>
      <c r="LU94" s="68"/>
      <c r="LV94" s="68"/>
      <c r="LW94" s="68"/>
      <c r="LX94" s="68"/>
      <c r="LY94" s="68"/>
      <c r="LZ94" s="68"/>
      <c r="MA94" s="68"/>
      <c r="MB94" s="68"/>
      <c r="MC94" s="68"/>
      <c r="MD94" s="68"/>
      <c r="ME94" s="68"/>
      <c r="MF94" s="68"/>
      <c r="MG94" s="68"/>
      <c r="MH94" s="68"/>
      <c r="MI94" s="68"/>
      <c r="MJ94" s="68"/>
      <c r="MK94" s="68"/>
      <c r="ML94" s="68"/>
      <c r="MM94" s="68"/>
      <c r="MN94" s="68"/>
      <c r="MO94" s="68"/>
      <c r="MP94" s="68"/>
      <c r="MQ94" s="68"/>
      <c r="MR94" s="68"/>
      <c r="MS94" s="68"/>
      <c r="MT94" s="68"/>
      <c r="MU94" s="68"/>
      <c r="MV94" s="68"/>
      <c r="MW94" s="68"/>
      <c r="MX94" s="68"/>
      <c r="MY94" s="68"/>
      <c r="MZ94" s="68"/>
      <c r="NA94" s="68"/>
      <c r="NB94" s="68"/>
      <c r="NC94" s="68"/>
      <c r="ND94" s="68"/>
      <c r="NE94" s="68"/>
      <c r="NF94" s="68"/>
      <c r="NG94" s="68"/>
      <c r="NH94" s="68"/>
      <c r="NI94" s="68"/>
      <c r="NJ94" s="68"/>
      <c r="NK94" s="68"/>
      <c r="NL94" s="68"/>
      <c r="NM94" s="68"/>
      <c r="NN94" s="68"/>
      <c r="NO94" s="68"/>
      <c r="NP94" s="68"/>
      <c r="NQ94" s="68"/>
      <c r="NR94" s="68"/>
      <c r="NS94" s="68"/>
      <c r="NT94" s="68"/>
      <c r="NU94" s="68"/>
      <c r="NV94" s="68"/>
      <c r="NW94" s="68"/>
      <c r="NX94" s="68"/>
      <c r="NY94" s="68"/>
      <c r="NZ94" s="68"/>
      <c r="OA94" s="68"/>
      <c r="OB94" s="68"/>
      <c r="OC94" s="68"/>
      <c r="OD94" s="68"/>
      <c r="OE94" s="68"/>
      <c r="OF94" s="68"/>
      <c r="OG94" s="68"/>
      <c r="OH94" s="68"/>
      <c r="OI94" s="68"/>
      <c r="OJ94" s="68"/>
      <c r="OK94" s="68"/>
      <c r="OL94" s="68"/>
      <c r="OM94" s="68"/>
      <c r="ON94" s="68"/>
      <c r="OO94" s="68"/>
      <c r="OP94" s="68"/>
      <c r="OQ94" s="68"/>
      <c r="OR94" s="68"/>
      <c r="OS94" s="68"/>
      <c r="OT94" s="68"/>
      <c r="OU94" s="68"/>
      <c r="OV94" s="68"/>
      <c r="OW94" s="68"/>
      <c r="OX94" s="68"/>
      <c r="OY94" s="68"/>
      <c r="OZ94" s="68"/>
      <c r="PA94" s="68"/>
      <c r="PB94" s="68"/>
      <c r="PC94" s="68"/>
      <c r="PD94" s="68"/>
      <c r="PE94" s="68"/>
      <c r="PF94" s="68"/>
      <c r="PG94" s="68"/>
      <c r="PH94" s="68"/>
      <c r="PI94" s="68"/>
      <c r="PJ94" s="68"/>
      <c r="PK94" s="68"/>
      <c r="PL94" s="68"/>
      <c r="PM94" s="68"/>
      <c r="PN94" s="68"/>
      <c r="PO94" s="68"/>
      <c r="PP94" s="68"/>
      <c r="PQ94" s="68"/>
      <c r="PR94" s="68"/>
      <c r="PS94" s="68"/>
      <c r="PT94" s="68"/>
      <c r="PU94" s="68"/>
      <c r="PV94" s="68"/>
      <c r="PW94" s="68"/>
      <c r="PX94" s="68"/>
      <c r="PY94" s="68"/>
      <c r="PZ94" s="68"/>
      <c r="QA94" s="68"/>
      <c r="QB94" s="68"/>
      <c r="QC94" s="68"/>
      <c r="QD94" s="68"/>
      <c r="QE94" s="68"/>
      <c r="QF94" s="68"/>
      <c r="QG94" s="68"/>
      <c r="QH94" s="68"/>
      <c r="QI94" s="68"/>
      <c r="QJ94" s="68"/>
      <c r="QK94" s="68"/>
      <c r="QL94" s="68"/>
      <c r="QM94" s="68"/>
      <c r="QN94" s="68"/>
      <c r="QO94" s="68"/>
      <c r="QP94" s="68"/>
      <c r="QQ94" s="68"/>
      <c r="QR94" s="68"/>
      <c r="QS94" s="68"/>
      <c r="QT94" s="68"/>
      <c r="QU94" s="68"/>
      <c r="QV94" s="68"/>
      <c r="QW94" s="68"/>
      <c r="QX94" s="68"/>
      <c r="QY94" s="68"/>
      <c r="QZ94" s="68"/>
      <c r="RA94" s="68"/>
      <c r="RB94" s="68"/>
      <c r="RC94" s="68"/>
      <c r="RD94" s="68"/>
      <c r="RE94" s="68"/>
      <c r="RF94" s="68"/>
      <c r="RG94" s="68"/>
      <c r="RH94" s="68"/>
      <c r="RI94" s="68"/>
      <c r="RJ94" s="68"/>
      <c r="RK94" s="68"/>
      <c r="RL94" s="68"/>
      <c r="RM94" s="68"/>
      <c r="RN94" s="68"/>
      <c r="RO94" s="68"/>
      <c r="RP94" s="68"/>
      <c r="RQ94" s="68"/>
      <c r="RR94" s="68"/>
      <c r="RS94" s="68"/>
      <c r="RT94" s="68"/>
      <c r="RU94" s="68"/>
      <c r="RV94" s="68"/>
      <c r="RW94" s="68"/>
      <c r="RX94" s="68"/>
      <c r="RY94" s="68"/>
      <c r="RZ94" s="68"/>
      <c r="SA94" s="68"/>
      <c r="SB94" s="68"/>
      <c r="SC94" s="68"/>
      <c r="SD94" s="68"/>
      <c r="SE94" s="68"/>
      <c r="SF94" s="68"/>
      <c r="SG94" s="68"/>
      <c r="SH94" s="68"/>
      <c r="SI94" s="68"/>
      <c r="SJ94" s="68"/>
      <c r="SK94" s="68"/>
      <c r="SL94" s="68"/>
      <c r="SM94" s="68"/>
      <c r="SN94" s="68"/>
      <c r="SO94" s="68"/>
      <c r="SP94" s="68"/>
      <c r="SQ94" s="68"/>
      <c r="SR94" s="68"/>
      <c r="SS94" s="68"/>
      <c r="ST94" s="68"/>
      <c r="SU94" s="68"/>
      <c r="SV94" s="68"/>
      <c r="SW94" s="68"/>
      <c r="SX94" s="68"/>
      <c r="SY94" s="68"/>
      <c r="SZ94" s="68"/>
      <c r="TA94" s="68"/>
      <c r="TB94" s="68"/>
      <c r="TC94" s="68"/>
      <c r="TD94" s="68"/>
      <c r="TE94" s="68"/>
      <c r="TF94" s="68"/>
      <c r="TG94" s="68"/>
      <c r="TH94" s="68"/>
      <c r="TI94" s="68"/>
      <c r="TJ94" s="68"/>
      <c r="TK94" s="68"/>
      <c r="TL94" s="68"/>
      <c r="TM94" s="68"/>
      <c r="TN94" s="68"/>
      <c r="TO94" s="68"/>
      <c r="TP94" s="68"/>
      <c r="TQ94" s="68"/>
      <c r="TR94" s="68"/>
      <c r="TS94" s="68"/>
      <c r="TT94" s="68"/>
      <c r="TU94" s="68"/>
      <c r="TV94" s="68"/>
      <c r="TW94" s="68"/>
      <c r="TX94" s="68"/>
      <c r="TY94" s="68"/>
      <c r="TZ94" s="68"/>
      <c r="UA94" s="68"/>
      <c r="UB94" s="68"/>
      <c r="UC94" s="68"/>
      <c r="UD94" s="68"/>
      <c r="UE94" s="68"/>
      <c r="UF94" s="68"/>
      <c r="UG94" s="68"/>
      <c r="UH94" s="68"/>
      <c r="UI94" s="68"/>
      <c r="UJ94" s="68"/>
      <c r="UK94" s="68"/>
      <c r="UL94" s="68"/>
      <c r="UM94" s="68"/>
      <c r="UN94" s="68"/>
      <c r="UO94" s="68"/>
      <c r="UP94" s="68"/>
      <c r="UQ94" s="68"/>
      <c r="UR94" s="68"/>
      <c r="US94" s="68"/>
      <c r="UT94" s="68"/>
      <c r="UU94" s="68"/>
      <c r="UV94" s="68"/>
      <c r="UW94" s="68"/>
      <c r="UX94" s="68"/>
      <c r="UY94" s="68"/>
      <c r="UZ94" s="68"/>
      <c r="VA94" s="68"/>
      <c r="VB94" s="68"/>
      <c r="VC94" s="68"/>
      <c r="VD94" s="68"/>
      <c r="VE94" s="68"/>
      <c r="VF94" s="68"/>
      <c r="VG94" s="68"/>
      <c r="VH94" s="68"/>
      <c r="VI94" s="68"/>
      <c r="VJ94" s="68"/>
      <c r="VK94" s="68"/>
      <c r="VL94" s="68"/>
      <c r="VM94" s="68"/>
      <c r="VN94" s="68"/>
      <c r="VO94" s="68"/>
      <c r="VP94" s="68"/>
      <c r="VQ94" s="68"/>
      <c r="VR94" s="68"/>
      <c r="VS94" s="68"/>
      <c r="VT94" s="68"/>
      <c r="VU94" s="68"/>
      <c r="VV94" s="68"/>
      <c r="VW94" s="68"/>
      <c r="VX94" s="68"/>
      <c r="VY94" s="68"/>
      <c r="VZ94" s="68"/>
      <c r="WA94" s="68"/>
      <c r="WB94" s="68"/>
      <c r="WC94" s="68"/>
      <c r="WD94" s="68"/>
      <c r="WE94" s="68"/>
      <c r="WF94" s="68"/>
      <c r="WG94" s="68"/>
      <c r="WH94" s="68"/>
      <c r="WI94" s="68"/>
      <c r="WJ94" s="68"/>
      <c r="WK94" s="68"/>
      <c r="WL94" s="68"/>
      <c r="WM94" s="68"/>
      <c r="WN94" s="68"/>
      <c r="WO94" s="68"/>
      <c r="WP94" s="68"/>
      <c r="WQ94" s="68"/>
      <c r="WR94" s="68"/>
      <c r="WS94" s="68"/>
      <c r="WT94" s="68"/>
      <c r="WU94" s="68"/>
      <c r="WV94" s="68"/>
      <c r="WW94" s="68"/>
      <c r="WX94" s="68"/>
      <c r="WY94" s="68"/>
      <c r="WZ94" s="68"/>
      <c r="XA94" s="68"/>
      <c r="XB94" s="68"/>
      <c r="XC94" s="68"/>
      <c r="XD94" s="68"/>
      <c r="XE94" s="68"/>
      <c r="XF94" s="68"/>
      <c r="XG94" s="68"/>
      <c r="XH94" s="68"/>
      <c r="XI94" s="68"/>
      <c r="XJ94" s="68"/>
      <c r="XK94" s="68"/>
      <c r="XL94" s="68"/>
      <c r="XM94" s="68"/>
      <c r="XN94" s="68"/>
      <c r="XO94" s="68"/>
      <c r="XP94" s="68"/>
      <c r="XQ94" s="68"/>
      <c r="XR94" s="68"/>
      <c r="XS94" s="68"/>
      <c r="XT94" s="68"/>
      <c r="XU94" s="68"/>
      <c r="XV94" s="68"/>
      <c r="XW94" s="68"/>
      <c r="XX94" s="68"/>
      <c r="XY94" s="68"/>
      <c r="XZ94" s="68"/>
      <c r="YA94" s="68"/>
      <c r="YB94" s="68"/>
      <c r="YC94" s="68"/>
      <c r="YD94" s="68"/>
      <c r="YE94" s="68"/>
      <c r="YF94" s="68"/>
      <c r="YG94" s="68"/>
      <c r="YH94" s="68"/>
      <c r="YI94" s="68"/>
      <c r="YJ94" s="68"/>
      <c r="YK94" s="68"/>
      <c r="YL94" s="68"/>
      <c r="YM94" s="68"/>
      <c r="YN94" s="68"/>
      <c r="YO94" s="68"/>
      <c r="YP94" s="68"/>
      <c r="YQ94" s="68"/>
      <c r="YR94" s="68"/>
      <c r="YS94" s="68"/>
      <c r="YT94" s="68"/>
      <c r="YU94" s="68"/>
      <c r="YV94" s="68"/>
      <c r="YW94" s="68"/>
      <c r="YX94" s="68"/>
      <c r="YY94" s="68"/>
      <c r="YZ94" s="68"/>
      <c r="ZA94" s="68"/>
      <c r="ZB94" s="68"/>
      <c r="ZC94" s="68"/>
      <c r="ZD94" s="68"/>
      <c r="ZE94" s="68"/>
      <c r="ZF94" s="68"/>
      <c r="ZG94" s="68"/>
      <c r="ZH94" s="68"/>
      <c r="ZI94" s="68"/>
      <c r="ZJ94" s="68"/>
      <c r="ZK94" s="68"/>
      <c r="ZL94" s="68"/>
      <c r="ZM94" s="68"/>
      <c r="ZN94" s="68"/>
      <c r="ZO94" s="68"/>
      <c r="ZP94" s="68"/>
      <c r="ZQ94" s="68"/>
      <c r="ZR94" s="68"/>
      <c r="ZS94" s="68"/>
      <c r="ZT94" s="68"/>
      <c r="ZU94" s="68"/>
      <c r="ZV94" s="68"/>
      <c r="ZW94" s="68"/>
      <c r="ZX94" s="68"/>
      <c r="ZY94" s="68"/>
      <c r="ZZ94" s="68"/>
      <c r="AAA94" s="68"/>
      <c r="AAB94" s="68"/>
      <c r="AAC94" s="68"/>
      <c r="AAD94" s="68"/>
      <c r="AAE94" s="68"/>
      <c r="AAF94" s="68"/>
      <c r="AAG94" s="68"/>
      <c r="AAH94" s="68"/>
      <c r="AAI94" s="68"/>
      <c r="AAJ94" s="68"/>
      <c r="AAK94" s="68"/>
      <c r="AAL94" s="68"/>
      <c r="AAM94" s="68"/>
      <c r="AAN94" s="68"/>
      <c r="AAO94" s="68"/>
      <c r="AAP94" s="68"/>
      <c r="AAQ94" s="68"/>
      <c r="AAR94" s="68"/>
      <c r="AAS94" s="68"/>
      <c r="AAT94" s="68"/>
      <c r="AAU94" s="68"/>
      <c r="AAV94" s="68"/>
      <c r="AAW94" s="68"/>
      <c r="AAX94" s="68"/>
      <c r="AAY94" s="68"/>
      <c r="AAZ94" s="68"/>
      <c r="ABA94" s="68"/>
      <c r="ABB94" s="68"/>
      <c r="ABC94" s="68"/>
      <c r="ABD94" s="68"/>
      <c r="ABE94" s="68"/>
      <c r="ABF94" s="68"/>
      <c r="ABG94" s="68"/>
      <c r="ABH94" s="68"/>
      <c r="ABI94" s="68"/>
      <c r="ABJ94" s="68"/>
      <c r="ABK94" s="68"/>
      <c r="ABL94" s="68"/>
      <c r="ABM94" s="68"/>
      <c r="ABN94" s="68"/>
      <c r="ABO94" s="68"/>
      <c r="ABP94" s="68"/>
      <c r="ABQ94" s="68"/>
      <c r="ABR94" s="68"/>
      <c r="ABS94" s="68"/>
      <c r="ABT94" s="68"/>
      <c r="ABU94" s="68"/>
      <c r="ABV94" s="68"/>
      <c r="ABW94" s="68"/>
      <c r="ABX94" s="68"/>
      <c r="ABY94" s="68"/>
      <c r="ABZ94" s="68"/>
      <c r="ACA94" s="68"/>
      <c r="ACB94" s="68"/>
      <c r="ACC94" s="68"/>
      <c r="ACD94" s="68"/>
      <c r="ACE94" s="68"/>
      <c r="ACF94" s="68"/>
      <c r="ACG94" s="68"/>
      <c r="ACH94" s="68"/>
      <c r="ACI94" s="68"/>
      <c r="ACJ94" s="68"/>
      <c r="ACK94" s="68"/>
      <c r="ACL94" s="68"/>
      <c r="ACM94" s="68"/>
      <c r="ACN94" s="68"/>
      <c r="ACO94" s="68"/>
      <c r="ACP94" s="68"/>
      <c r="ACQ94" s="68"/>
      <c r="ACR94" s="68"/>
      <c r="ACS94" s="68"/>
      <c r="ACT94" s="68"/>
      <c r="ACU94" s="68"/>
      <c r="ACV94" s="68"/>
      <c r="ACW94" s="68"/>
      <c r="ACX94" s="68"/>
      <c r="ACY94" s="68"/>
      <c r="ACZ94" s="68"/>
      <c r="ADA94" s="68"/>
      <c r="ADB94" s="68"/>
      <c r="ADC94" s="68"/>
      <c r="ADD94" s="68"/>
      <c r="ADE94" s="68"/>
      <c r="ADF94" s="68"/>
      <c r="ADG94" s="68"/>
      <c r="ADH94" s="68"/>
      <c r="ADI94" s="68"/>
      <c r="ADJ94" s="68"/>
      <c r="ADK94" s="68"/>
      <c r="ADL94" s="68"/>
      <c r="ADM94" s="68"/>
      <c r="ADN94" s="68"/>
      <c r="ADO94" s="68"/>
      <c r="ADP94" s="68"/>
      <c r="ADQ94" s="68"/>
      <c r="ADR94" s="68"/>
      <c r="ADS94" s="68"/>
      <c r="ADT94" s="68"/>
      <c r="ADU94" s="68"/>
      <c r="ADV94" s="68"/>
      <c r="ADW94" s="68"/>
      <c r="ADX94" s="68"/>
      <c r="ADY94" s="68"/>
      <c r="ADZ94" s="68"/>
      <c r="AEA94" s="68"/>
      <c r="AEB94" s="68"/>
      <c r="AEC94" s="68"/>
      <c r="AED94" s="68"/>
      <c r="AEE94" s="68"/>
      <c r="AEF94" s="68"/>
      <c r="AEG94" s="68"/>
      <c r="AEH94" s="68"/>
      <c r="AEI94" s="68"/>
      <c r="AEJ94" s="68"/>
      <c r="AEK94" s="68"/>
      <c r="AEL94" s="68"/>
      <c r="AEM94" s="68"/>
      <c r="AEN94" s="68"/>
      <c r="AEO94" s="68"/>
      <c r="AEP94" s="68"/>
      <c r="AEQ94" s="68"/>
      <c r="AER94" s="68"/>
      <c r="AES94" s="68"/>
      <c r="AET94" s="68"/>
      <c r="AEU94" s="68"/>
      <c r="AEV94" s="68"/>
      <c r="AEW94" s="68"/>
      <c r="AEX94" s="68"/>
      <c r="AEY94" s="68"/>
      <c r="AEZ94" s="68"/>
      <c r="AFA94" s="68"/>
      <c r="AFB94" s="68"/>
      <c r="AFC94" s="68"/>
      <c r="AFD94" s="68"/>
      <c r="AFE94" s="68"/>
      <c r="AFF94" s="68"/>
      <c r="AFG94" s="68"/>
      <c r="AFH94" s="68"/>
      <c r="AFI94" s="68"/>
      <c r="AFJ94" s="68"/>
      <c r="AFK94" s="68"/>
      <c r="AFL94" s="68"/>
      <c r="AFM94" s="68"/>
      <c r="AFN94" s="68"/>
      <c r="AFO94" s="68"/>
      <c r="AFP94" s="68"/>
      <c r="AFQ94" s="68"/>
      <c r="AFR94" s="68"/>
      <c r="AFS94" s="68"/>
      <c r="AFT94" s="68"/>
      <c r="AFU94" s="68"/>
      <c r="AFV94" s="68"/>
      <c r="AFW94" s="68"/>
      <c r="AFX94" s="68"/>
      <c r="AFY94" s="68"/>
      <c r="AFZ94" s="68"/>
      <c r="AGA94" s="68"/>
      <c r="AGB94" s="68"/>
      <c r="AGC94" s="68"/>
      <c r="AGD94" s="68"/>
      <c r="AGE94" s="68"/>
      <c r="AGF94" s="68"/>
      <c r="AGG94" s="68"/>
      <c r="AGH94" s="68"/>
      <c r="AGI94" s="68"/>
      <c r="AGJ94" s="68"/>
      <c r="AGK94" s="68"/>
      <c r="AGL94" s="68"/>
      <c r="AGM94" s="68"/>
      <c r="AGN94" s="68"/>
      <c r="AGO94" s="68"/>
      <c r="AGP94" s="68"/>
      <c r="AGQ94" s="68"/>
      <c r="AGR94" s="68"/>
      <c r="AGS94" s="68"/>
      <c r="AGT94" s="68"/>
      <c r="AGU94" s="68"/>
      <c r="AGV94" s="68"/>
      <c r="AGW94" s="68"/>
      <c r="AGX94" s="68"/>
      <c r="AGY94" s="68"/>
      <c r="AGZ94" s="68"/>
      <c r="AHA94" s="68"/>
      <c r="AHB94" s="68"/>
      <c r="AHC94" s="68"/>
      <c r="AHD94" s="68"/>
      <c r="AHE94" s="68"/>
      <c r="AHF94" s="68"/>
      <c r="AHG94" s="68"/>
      <c r="AHH94" s="68"/>
      <c r="AHI94" s="68"/>
      <c r="AHJ94" s="68"/>
      <c r="AHK94" s="68"/>
      <c r="AHL94" s="68"/>
      <c r="AHM94" s="68"/>
      <c r="AHN94" s="68"/>
      <c r="AHO94" s="68"/>
      <c r="AHP94" s="68"/>
      <c r="AHQ94" s="68"/>
      <c r="AHR94" s="68"/>
      <c r="AHS94" s="68"/>
      <c r="AHT94" s="68"/>
      <c r="AHU94" s="68"/>
      <c r="AHV94" s="68"/>
      <c r="AHW94" s="68"/>
      <c r="AHX94" s="68"/>
      <c r="AHY94" s="68"/>
      <c r="AHZ94" s="68"/>
      <c r="AIA94" s="68"/>
      <c r="AIB94" s="68"/>
      <c r="AIC94" s="68"/>
      <c r="AID94" s="68"/>
      <c r="AIE94" s="68"/>
      <c r="AIF94" s="68"/>
      <c r="AIG94" s="68"/>
      <c r="AIH94" s="68"/>
      <c r="AII94" s="68"/>
      <c r="AIJ94" s="68"/>
      <c r="AIK94" s="68"/>
      <c r="AIL94" s="68"/>
      <c r="AIM94" s="68"/>
      <c r="AIN94" s="68"/>
      <c r="AIO94" s="68"/>
      <c r="AIP94" s="68"/>
      <c r="AIQ94" s="68"/>
      <c r="AIR94" s="68"/>
      <c r="AIS94" s="68"/>
      <c r="AIT94" s="68"/>
      <c r="AIU94" s="68"/>
      <c r="AIV94" s="68"/>
      <c r="AIW94" s="68"/>
      <c r="AIX94" s="68"/>
      <c r="AIY94" s="68"/>
      <c r="AIZ94" s="68"/>
      <c r="AJA94" s="68"/>
      <c r="AJB94" s="68"/>
      <c r="AJC94" s="68"/>
      <c r="AJD94" s="68"/>
      <c r="AJE94" s="68"/>
      <c r="AJF94" s="68"/>
      <c r="AJG94" s="68"/>
      <c r="AJH94" s="68"/>
      <c r="AJI94" s="68"/>
      <c r="AJJ94" s="68"/>
      <c r="AJK94" s="68"/>
      <c r="AJL94" s="68"/>
      <c r="AJM94" s="68"/>
      <c r="AJN94" s="68"/>
      <c r="AJO94" s="68"/>
      <c r="AJP94" s="68"/>
      <c r="AJQ94" s="68"/>
      <c r="AJR94" s="68"/>
      <c r="AJS94" s="68"/>
      <c r="AJT94" s="68"/>
      <c r="AJU94" s="68"/>
      <c r="AJV94" s="68"/>
      <c r="AJW94" s="68"/>
      <c r="AJX94" s="68"/>
      <c r="AJY94" s="68"/>
      <c r="AJZ94" s="68"/>
      <c r="AKA94" s="68"/>
      <c r="AKB94" s="68"/>
      <c r="AKC94" s="68"/>
      <c r="AKD94" s="68"/>
      <c r="AKE94" s="68"/>
      <c r="AKF94" s="68"/>
      <c r="AKG94" s="68"/>
      <c r="AKH94" s="68"/>
      <c r="AKI94" s="68"/>
      <c r="AKJ94" s="68"/>
      <c r="AKK94" s="68"/>
      <c r="AKL94" s="68"/>
      <c r="AKM94" s="68"/>
      <c r="AKN94" s="68"/>
      <c r="AKO94" s="68"/>
      <c r="AKP94" s="68"/>
      <c r="AKQ94" s="68"/>
      <c r="AKR94" s="68"/>
      <c r="AKS94" s="68"/>
      <c r="AKT94" s="68"/>
      <c r="AKU94" s="68"/>
      <c r="AKV94" s="68"/>
      <c r="AKW94" s="68"/>
      <c r="AKX94" s="68"/>
      <c r="AKY94" s="68"/>
      <c r="AKZ94" s="68"/>
      <c r="ALA94" s="68"/>
      <c r="ALB94" s="68"/>
      <c r="ALC94" s="68"/>
      <c r="ALD94" s="68"/>
      <c r="ALE94" s="68"/>
      <c r="ALF94" s="68"/>
      <c r="ALG94" s="68"/>
      <c r="ALH94" s="68"/>
      <c r="ALI94" s="68"/>
      <c r="ALJ94" s="68"/>
      <c r="ALK94" s="68"/>
      <c r="ALL94" s="68"/>
      <c r="ALM94" s="68"/>
      <c r="ALN94" s="68"/>
      <c r="ALO94" s="68"/>
      <c r="ALP94" s="68"/>
      <c r="ALQ94" s="68"/>
      <c r="ALR94" s="68"/>
      <c r="ALS94" s="68"/>
      <c r="ALT94" s="68"/>
      <c r="ALU94" s="68"/>
      <c r="ALV94" s="68"/>
      <c r="ALW94" s="68"/>
      <c r="ALX94" s="68"/>
      <c r="ALY94" s="68"/>
      <c r="ALZ94" s="68"/>
      <c r="AMA94" s="68"/>
      <c r="AMB94" s="68"/>
      <c r="AMC94" s="68"/>
      <c r="AMD94" s="68"/>
      <c r="AME94" s="68"/>
      <c r="AMF94" s="68"/>
      <c r="AMG94" s="68"/>
      <c r="AMH94" s="68"/>
      <c r="AMI94" s="68"/>
      <c r="AMJ94" s="68"/>
      <c r="AMK94" s="68"/>
      <c r="AML94" s="68"/>
      <c r="AMM94" s="68"/>
      <c r="AMN94" s="68"/>
      <c r="AMO94" s="68"/>
      <c r="AMP94" s="68"/>
      <c r="AMQ94" s="68"/>
      <c r="AMR94" s="68"/>
      <c r="AMS94" s="68"/>
      <c r="AMT94" s="68"/>
      <c r="AMU94" s="68"/>
      <c r="AMV94" s="68"/>
      <c r="AMW94" s="68"/>
      <c r="AMX94" s="68"/>
      <c r="AMY94" s="68"/>
      <c r="AMZ94" s="68"/>
      <c r="ANA94" s="68"/>
      <c r="ANB94" s="68"/>
      <c r="ANC94" s="68"/>
      <c r="AND94" s="68"/>
      <c r="ANE94" s="68"/>
      <c r="ANF94" s="68"/>
      <c r="ANG94" s="68"/>
      <c r="ANH94" s="68"/>
      <c r="ANI94" s="68"/>
      <c r="ANJ94" s="68"/>
      <c r="ANK94" s="68"/>
      <c r="ANL94" s="68"/>
      <c r="ANM94" s="68"/>
      <c r="ANN94" s="68"/>
      <c r="ANO94" s="68"/>
      <c r="ANP94" s="68"/>
      <c r="ANQ94" s="68"/>
      <c r="ANR94" s="68"/>
      <c r="ANS94" s="68"/>
      <c r="ANT94" s="68"/>
      <c r="ANU94" s="68"/>
      <c r="ANV94" s="68"/>
      <c r="ANW94" s="68"/>
      <c r="ANX94" s="68"/>
      <c r="ANY94" s="68"/>
      <c r="ANZ94" s="68"/>
      <c r="AOA94" s="68"/>
      <c r="AOB94" s="68"/>
      <c r="AOC94" s="68"/>
      <c r="AOD94" s="68"/>
      <c r="AOE94" s="68"/>
      <c r="AOF94" s="68"/>
      <c r="AOG94" s="68"/>
      <c r="AOH94" s="68"/>
      <c r="AOI94" s="68"/>
      <c r="AOJ94" s="68"/>
      <c r="AOK94" s="68"/>
      <c r="AOL94" s="68"/>
      <c r="AOM94" s="68"/>
      <c r="AON94" s="68"/>
      <c r="AOO94" s="68"/>
      <c r="AOP94" s="68"/>
      <c r="AOQ94" s="68"/>
      <c r="AOR94" s="68"/>
      <c r="AOS94" s="68"/>
      <c r="AOT94" s="68"/>
      <c r="AOU94" s="68"/>
      <c r="AOV94" s="68"/>
      <c r="AOW94" s="68"/>
      <c r="AOX94" s="68"/>
      <c r="AOY94" s="68"/>
      <c r="AOZ94" s="68"/>
      <c r="APA94" s="68"/>
      <c r="APB94" s="68"/>
      <c r="APC94" s="68"/>
      <c r="APD94" s="68"/>
      <c r="APE94" s="68"/>
      <c r="APF94" s="68"/>
      <c r="APG94" s="68"/>
      <c r="APH94" s="68"/>
      <c r="API94" s="68"/>
      <c r="APJ94" s="68"/>
      <c r="APK94" s="68"/>
      <c r="APL94" s="68"/>
      <c r="APM94" s="68"/>
      <c r="APN94" s="68"/>
      <c r="APO94" s="68"/>
      <c r="APP94" s="68"/>
      <c r="APQ94" s="68"/>
      <c r="APR94" s="68"/>
      <c r="APS94" s="68"/>
      <c r="APT94" s="68"/>
      <c r="APU94" s="68"/>
      <c r="APV94" s="68"/>
      <c r="APW94" s="68"/>
      <c r="APX94" s="68"/>
      <c r="APY94" s="68"/>
      <c r="APZ94" s="68"/>
      <c r="AQA94" s="68"/>
      <c r="AQB94" s="68"/>
      <c r="AQC94" s="68"/>
      <c r="AQD94" s="68"/>
      <c r="AQE94" s="68"/>
      <c r="AQF94" s="68"/>
      <c r="AQG94" s="68"/>
      <c r="AQH94" s="68"/>
      <c r="AQI94" s="68"/>
      <c r="AQJ94" s="68"/>
      <c r="AQK94" s="68"/>
      <c r="AQL94" s="68"/>
      <c r="AQM94" s="68"/>
      <c r="AQN94" s="68"/>
      <c r="AQO94" s="68"/>
      <c r="AQP94" s="68"/>
      <c r="AQQ94" s="68"/>
      <c r="AQR94" s="68"/>
      <c r="AQS94" s="68"/>
      <c r="AQT94" s="68"/>
      <c r="AQU94" s="68"/>
      <c r="AQV94" s="68"/>
      <c r="AQW94" s="68"/>
      <c r="AQX94" s="68"/>
      <c r="AQY94" s="68"/>
      <c r="AQZ94" s="68"/>
      <c r="ARA94" s="68"/>
      <c r="ARB94" s="68"/>
      <c r="ARC94" s="68"/>
      <c r="ARD94" s="68"/>
      <c r="ARE94" s="68"/>
      <c r="ARF94" s="68"/>
      <c r="ARG94" s="68"/>
      <c r="ARH94" s="68"/>
      <c r="ARI94" s="68"/>
      <c r="ARJ94" s="68"/>
      <c r="ARK94" s="68"/>
      <c r="ARL94" s="68"/>
      <c r="ARM94" s="68"/>
      <c r="ARN94" s="68"/>
      <c r="ARO94" s="68"/>
      <c r="ARP94" s="68"/>
      <c r="ARQ94" s="68"/>
      <c r="ARR94" s="68"/>
      <c r="ARS94" s="68"/>
      <c r="ART94" s="68"/>
      <c r="ARU94" s="68"/>
      <c r="ARV94" s="68"/>
      <c r="ARW94" s="68"/>
      <c r="ARX94" s="68"/>
      <c r="ARY94" s="68"/>
      <c r="ARZ94" s="68"/>
      <c r="ASA94" s="68"/>
      <c r="ASB94" s="68"/>
      <c r="ASC94" s="68"/>
      <c r="ASD94" s="68"/>
      <c r="ASE94" s="68"/>
      <c r="ASF94" s="68"/>
      <c r="ASG94" s="68"/>
      <c r="ASH94" s="68"/>
      <c r="ASI94" s="68"/>
      <c r="ASJ94" s="68"/>
      <c r="ASK94" s="68"/>
      <c r="ASL94" s="68"/>
      <c r="ASM94" s="68"/>
      <c r="ASN94" s="68"/>
      <c r="ASO94" s="68"/>
      <c r="ASP94" s="68"/>
      <c r="ASQ94" s="68"/>
      <c r="ASR94" s="68"/>
      <c r="ASS94" s="68"/>
      <c r="AST94" s="68"/>
      <c r="ASU94" s="68"/>
      <c r="ASV94" s="68"/>
      <c r="ASW94" s="68"/>
      <c r="ASX94" s="68"/>
      <c r="ASY94" s="68"/>
      <c r="ASZ94" s="68"/>
      <c r="ATA94" s="68"/>
      <c r="ATB94" s="68"/>
      <c r="ATC94" s="68"/>
      <c r="ATD94" s="68"/>
      <c r="ATE94" s="68"/>
      <c r="ATF94" s="68"/>
      <c r="ATG94" s="68"/>
      <c r="ATH94" s="68"/>
      <c r="ATI94" s="68"/>
      <c r="ATJ94" s="68"/>
      <c r="ATK94" s="68"/>
      <c r="ATL94" s="68"/>
      <c r="ATM94" s="68"/>
      <c r="ATN94" s="68"/>
      <c r="ATO94" s="68"/>
      <c r="ATP94" s="68"/>
      <c r="ATQ94" s="68"/>
      <c r="ATR94" s="68"/>
      <c r="ATS94" s="68"/>
      <c r="ATT94" s="68"/>
      <c r="ATU94" s="68"/>
      <c r="ATV94" s="68"/>
      <c r="ATW94" s="68"/>
      <c r="ATX94" s="68"/>
      <c r="ATY94" s="68"/>
      <c r="ATZ94" s="68"/>
      <c r="AUA94" s="68"/>
      <c r="AUB94" s="68"/>
      <c r="AUC94" s="68"/>
      <c r="AUD94" s="68"/>
      <c r="AUE94" s="68"/>
      <c r="AUF94" s="68"/>
      <c r="AUG94" s="68"/>
      <c r="AUH94" s="68"/>
      <c r="AUI94" s="68"/>
      <c r="AUJ94" s="68"/>
      <c r="AUK94" s="68"/>
      <c r="AUL94" s="68"/>
      <c r="AUM94" s="68"/>
      <c r="AUN94" s="68"/>
      <c r="AUO94" s="68"/>
      <c r="AUP94" s="68"/>
      <c r="AUQ94" s="68"/>
      <c r="AUR94" s="68"/>
      <c r="AUS94" s="68"/>
      <c r="AUT94" s="68"/>
      <c r="AUU94" s="68"/>
      <c r="AUV94" s="68"/>
      <c r="AUW94" s="68"/>
      <c r="AUX94" s="68"/>
      <c r="AUY94" s="68"/>
      <c r="AUZ94" s="68"/>
      <c r="AVA94" s="68"/>
      <c r="AVB94" s="68"/>
      <c r="AVC94" s="68"/>
      <c r="AVD94" s="68"/>
      <c r="AVE94" s="68"/>
      <c r="AVF94" s="68"/>
      <c r="AVG94" s="68"/>
      <c r="AVH94" s="68"/>
      <c r="AVI94" s="68"/>
      <c r="AVJ94" s="68"/>
      <c r="AVK94" s="68"/>
      <c r="AVL94" s="68"/>
      <c r="AVM94" s="68"/>
      <c r="AVN94" s="68"/>
      <c r="AVO94" s="68"/>
      <c r="AVP94" s="68"/>
      <c r="AVQ94" s="68"/>
      <c r="AVR94" s="68"/>
      <c r="AVS94" s="68"/>
      <c r="AVT94" s="68"/>
      <c r="AVU94" s="68"/>
      <c r="AVV94" s="68"/>
      <c r="AVW94" s="68"/>
      <c r="AVX94" s="68"/>
      <c r="AVY94" s="68"/>
      <c r="AVZ94" s="68"/>
      <c r="AWA94" s="68"/>
      <c r="AWB94" s="68"/>
      <c r="AWC94" s="68"/>
      <c r="AWD94" s="68"/>
      <c r="AWE94" s="68"/>
      <c r="AWF94" s="68"/>
      <c r="AWG94" s="68"/>
      <c r="AWH94" s="68"/>
      <c r="AWI94" s="68"/>
      <c r="AWJ94" s="68"/>
      <c r="AWK94" s="68"/>
      <c r="AWL94" s="68"/>
      <c r="AWM94" s="68"/>
      <c r="AWN94" s="68"/>
      <c r="AWO94" s="68"/>
      <c r="AWP94" s="68"/>
      <c r="AWQ94" s="68"/>
      <c r="AWR94" s="68"/>
      <c r="AWS94" s="68"/>
      <c r="AWT94" s="68"/>
      <c r="AWU94" s="68"/>
      <c r="AWV94" s="68"/>
      <c r="AWW94" s="68"/>
      <c r="AWX94" s="68"/>
      <c r="AWY94" s="68"/>
      <c r="AWZ94" s="68"/>
      <c r="AXA94" s="68"/>
      <c r="AXB94" s="68"/>
      <c r="AXC94" s="68"/>
      <c r="AXD94" s="68"/>
      <c r="AXE94" s="68"/>
      <c r="AXF94" s="68"/>
      <c r="AXG94" s="68"/>
      <c r="AXH94" s="68"/>
      <c r="AXI94" s="68"/>
      <c r="AXJ94" s="68"/>
      <c r="AXK94" s="68"/>
      <c r="AXL94" s="68"/>
      <c r="AXM94" s="68"/>
      <c r="AXN94" s="68"/>
      <c r="AXO94" s="68"/>
      <c r="AXP94" s="68"/>
      <c r="AXQ94" s="68"/>
      <c r="AXR94" s="68"/>
      <c r="AXS94" s="68"/>
      <c r="AXT94" s="68"/>
      <c r="AXU94" s="68"/>
      <c r="AXV94" s="68"/>
      <c r="AXW94" s="68"/>
      <c r="AXX94" s="68"/>
      <c r="AXY94" s="68"/>
      <c r="AXZ94" s="68"/>
      <c r="AYA94" s="68"/>
      <c r="AYB94" s="68"/>
      <c r="AYC94" s="68"/>
      <c r="AYD94" s="68"/>
      <c r="AYE94" s="68"/>
      <c r="AYF94" s="68"/>
      <c r="AYG94" s="68"/>
      <c r="AYH94" s="68"/>
      <c r="AYI94" s="68"/>
      <c r="AYJ94" s="68"/>
      <c r="AYK94" s="68"/>
      <c r="AYL94" s="68"/>
      <c r="AYM94" s="68"/>
      <c r="AYN94" s="68"/>
      <c r="AYO94" s="68"/>
      <c r="AYP94" s="68"/>
      <c r="AYQ94" s="68"/>
      <c r="AYR94" s="68"/>
      <c r="AYS94" s="68"/>
      <c r="AYT94" s="68"/>
      <c r="AYU94" s="68"/>
      <c r="AYV94" s="68"/>
      <c r="AYW94" s="68"/>
      <c r="AYX94" s="68"/>
      <c r="AYY94" s="68"/>
      <c r="AYZ94" s="68"/>
      <c r="AZA94" s="68"/>
      <c r="AZB94" s="68"/>
      <c r="AZC94" s="68"/>
      <c r="AZD94" s="68"/>
      <c r="AZE94" s="68"/>
      <c r="AZF94" s="68"/>
      <c r="AZG94" s="68"/>
      <c r="AZH94" s="68"/>
      <c r="AZI94" s="68"/>
      <c r="AZJ94" s="68"/>
      <c r="AZK94" s="68"/>
      <c r="AZL94" s="68"/>
      <c r="AZM94" s="68"/>
      <c r="AZN94" s="68"/>
      <c r="AZO94" s="68"/>
      <c r="AZP94" s="68"/>
      <c r="AZQ94" s="68"/>
      <c r="AZR94" s="68"/>
      <c r="AZS94" s="68"/>
      <c r="AZT94" s="68"/>
      <c r="AZU94" s="68"/>
      <c r="AZV94" s="68"/>
      <c r="AZW94" s="68"/>
      <c r="AZX94" s="68"/>
      <c r="AZY94" s="68"/>
      <c r="AZZ94" s="68"/>
      <c r="BAA94" s="68"/>
      <c r="BAB94" s="68"/>
      <c r="BAC94" s="68"/>
      <c r="BAD94" s="68"/>
      <c r="BAE94" s="68"/>
      <c r="BAF94" s="68"/>
      <c r="BAG94" s="68"/>
      <c r="BAH94" s="68"/>
      <c r="BAI94" s="68"/>
      <c r="BAJ94" s="68"/>
      <c r="BAK94" s="68"/>
      <c r="BAL94" s="68"/>
      <c r="BAM94" s="68"/>
      <c r="BAN94" s="68"/>
      <c r="BAO94" s="68"/>
      <c r="BAP94" s="68"/>
      <c r="BAQ94" s="68"/>
      <c r="BAR94" s="68"/>
      <c r="BAS94" s="68"/>
      <c r="BAT94" s="68"/>
      <c r="BAU94" s="68"/>
      <c r="BAV94" s="68"/>
      <c r="BAW94" s="68"/>
      <c r="BAX94" s="68"/>
      <c r="BAY94" s="68"/>
      <c r="BAZ94" s="68"/>
      <c r="BBA94" s="68"/>
      <c r="BBB94" s="68"/>
      <c r="BBC94" s="68"/>
      <c r="BBD94" s="68"/>
      <c r="BBE94" s="68"/>
      <c r="BBF94" s="68"/>
      <c r="BBG94" s="68"/>
      <c r="BBH94" s="68"/>
      <c r="BBI94" s="68"/>
      <c r="BBJ94" s="68"/>
      <c r="BBK94" s="68"/>
      <c r="BBL94" s="68"/>
      <c r="BBM94" s="68"/>
      <c r="BBN94" s="68"/>
      <c r="BBO94" s="68"/>
      <c r="BBP94" s="68"/>
      <c r="BBQ94" s="68"/>
      <c r="BBR94" s="68"/>
      <c r="BBS94" s="68"/>
      <c r="BBT94" s="68"/>
      <c r="BBU94" s="68"/>
      <c r="BBV94" s="68"/>
      <c r="BBW94" s="68"/>
      <c r="BBX94" s="68"/>
      <c r="BBY94" s="68"/>
      <c r="BBZ94" s="68"/>
      <c r="BCA94" s="68"/>
      <c r="BCB94" s="68"/>
      <c r="BCC94" s="68"/>
      <c r="BCD94" s="68"/>
      <c r="BCE94" s="68"/>
      <c r="BCF94" s="68"/>
      <c r="BCG94" s="68"/>
      <c r="BCH94" s="68"/>
      <c r="BCI94" s="68"/>
      <c r="BCJ94" s="68"/>
      <c r="BCK94" s="68"/>
      <c r="BCL94" s="68"/>
      <c r="BCM94" s="68"/>
      <c r="BCN94" s="68"/>
      <c r="BCO94" s="68"/>
      <c r="BCP94" s="68"/>
      <c r="BCQ94" s="68"/>
      <c r="BCR94" s="68"/>
      <c r="BCS94" s="68"/>
      <c r="BCT94" s="68"/>
      <c r="BCU94" s="68"/>
      <c r="BCV94" s="68"/>
      <c r="BCW94" s="68"/>
      <c r="BCX94" s="68"/>
      <c r="BCY94" s="68"/>
      <c r="BCZ94" s="68"/>
      <c r="BDA94" s="68"/>
    </row>
    <row r="95" spans="1:1458" s="67" customFormat="1" ht="24.75" customHeight="1" x14ac:dyDescent="0.25">
      <c r="A95" s="49">
        <v>13</v>
      </c>
      <c r="B95" s="69" t="s">
        <v>735</v>
      </c>
      <c r="C95" s="69" t="s">
        <v>736</v>
      </c>
      <c r="D95" s="69" t="s">
        <v>708</v>
      </c>
      <c r="E95" s="69" t="s">
        <v>709</v>
      </c>
      <c r="F95" s="51">
        <v>936900</v>
      </c>
      <c r="G95" s="72" t="s">
        <v>674</v>
      </c>
      <c r="H95" s="42" t="s">
        <v>665</v>
      </c>
      <c r="I95" s="69" t="s">
        <v>174</v>
      </c>
      <c r="J95" s="69" t="s">
        <v>72</v>
      </c>
      <c r="K95" s="74" t="s">
        <v>342</v>
      </c>
      <c r="L95" s="74">
        <v>936900</v>
      </c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8"/>
      <c r="BU95" s="68"/>
      <c r="BV95" s="68"/>
      <c r="BW95" s="68"/>
      <c r="BX95" s="68"/>
      <c r="BY95" s="68"/>
      <c r="BZ95" s="68"/>
      <c r="CA95" s="68"/>
      <c r="CB95" s="68"/>
      <c r="CC95" s="68"/>
      <c r="CD95" s="68"/>
      <c r="CE95" s="68"/>
      <c r="CF95" s="68"/>
      <c r="CG95" s="68"/>
      <c r="CH95" s="68"/>
      <c r="CI95" s="68"/>
      <c r="CJ95" s="68"/>
      <c r="CK95" s="68"/>
      <c r="CL95" s="68"/>
      <c r="CM95" s="68"/>
      <c r="CN95" s="68"/>
      <c r="CO95" s="68"/>
      <c r="CP95" s="68"/>
      <c r="CQ95" s="68"/>
      <c r="CR95" s="68"/>
      <c r="CS95" s="68"/>
      <c r="CT95" s="68"/>
      <c r="CU95" s="68"/>
      <c r="CV95" s="68"/>
      <c r="CW95" s="68"/>
      <c r="CX95" s="68"/>
      <c r="CY95" s="68"/>
      <c r="CZ95" s="68"/>
      <c r="DA95" s="68"/>
      <c r="DB95" s="68"/>
      <c r="DC95" s="68"/>
      <c r="DD95" s="68"/>
      <c r="DE95" s="68"/>
      <c r="DF95" s="68"/>
      <c r="DG95" s="68"/>
      <c r="DH95" s="68"/>
      <c r="DI95" s="68"/>
      <c r="DJ95" s="68"/>
      <c r="DK95" s="68"/>
      <c r="DL95" s="68"/>
      <c r="DM95" s="68"/>
      <c r="DN95" s="68"/>
      <c r="DO95" s="68"/>
      <c r="DP95" s="68"/>
      <c r="DQ95" s="68"/>
      <c r="DR95" s="68"/>
      <c r="DS95" s="68"/>
      <c r="DT95" s="68"/>
      <c r="DU95" s="68"/>
      <c r="DV95" s="68"/>
      <c r="DW95" s="68"/>
      <c r="DX95" s="68"/>
      <c r="DY95" s="68"/>
      <c r="DZ95" s="68"/>
      <c r="EA95" s="68"/>
      <c r="EB95" s="68"/>
      <c r="EC95" s="68"/>
      <c r="ED95" s="68"/>
      <c r="EE95" s="68"/>
      <c r="EF95" s="68"/>
      <c r="EG95" s="68"/>
      <c r="EH95" s="68"/>
      <c r="EI95" s="68"/>
      <c r="EJ95" s="68"/>
      <c r="EK95" s="68"/>
      <c r="EL95" s="68"/>
      <c r="EM95" s="68"/>
      <c r="EN95" s="68"/>
      <c r="EO95" s="68"/>
      <c r="EP95" s="68"/>
      <c r="EQ95" s="68"/>
      <c r="ER95" s="68"/>
      <c r="ES95" s="68"/>
      <c r="ET95" s="68"/>
      <c r="EU95" s="68"/>
      <c r="EV95" s="68"/>
      <c r="EW95" s="68"/>
      <c r="EX95" s="68"/>
      <c r="EY95" s="68"/>
      <c r="EZ95" s="68"/>
      <c r="FA95" s="68"/>
      <c r="FB95" s="68"/>
      <c r="FC95" s="68"/>
      <c r="FD95" s="68"/>
      <c r="FE95" s="68"/>
      <c r="FF95" s="68"/>
      <c r="FG95" s="68"/>
      <c r="FH95" s="68"/>
      <c r="FI95" s="68"/>
      <c r="FJ95" s="68"/>
      <c r="FK95" s="68"/>
      <c r="FL95" s="68"/>
      <c r="FM95" s="68"/>
      <c r="FN95" s="68"/>
      <c r="FO95" s="68"/>
      <c r="FP95" s="68"/>
      <c r="FQ95" s="68"/>
      <c r="FR95" s="68"/>
      <c r="FS95" s="68"/>
      <c r="FT95" s="68"/>
      <c r="FU95" s="68"/>
      <c r="FV95" s="68"/>
      <c r="FW95" s="68"/>
      <c r="FX95" s="68"/>
      <c r="FY95" s="68"/>
      <c r="FZ95" s="68"/>
      <c r="GA95" s="68"/>
      <c r="GB95" s="68"/>
      <c r="GC95" s="68"/>
      <c r="GD95" s="68"/>
      <c r="GE95" s="68"/>
      <c r="GF95" s="68"/>
      <c r="GG95" s="68"/>
      <c r="GH95" s="68"/>
      <c r="GI95" s="68"/>
      <c r="GJ95" s="68"/>
      <c r="GK95" s="68"/>
      <c r="GL95" s="68"/>
      <c r="GM95" s="68"/>
      <c r="GN95" s="68"/>
      <c r="GO95" s="68"/>
      <c r="GP95" s="68"/>
      <c r="GQ95" s="68"/>
      <c r="GR95" s="68"/>
      <c r="GS95" s="68"/>
      <c r="GT95" s="68"/>
      <c r="GU95" s="68"/>
      <c r="GV95" s="68"/>
      <c r="GW95" s="68"/>
      <c r="GX95" s="68"/>
      <c r="GY95" s="68"/>
      <c r="GZ95" s="68"/>
      <c r="HA95" s="68"/>
      <c r="HB95" s="68"/>
      <c r="HC95" s="68"/>
      <c r="HD95" s="68"/>
      <c r="HE95" s="68"/>
      <c r="HF95" s="68"/>
      <c r="HG95" s="68"/>
      <c r="HH95" s="68"/>
      <c r="HI95" s="68"/>
      <c r="HJ95" s="68"/>
      <c r="HK95" s="68"/>
      <c r="HL95" s="68"/>
      <c r="HM95" s="68"/>
      <c r="HN95" s="68"/>
      <c r="HO95" s="68"/>
      <c r="HP95" s="68"/>
      <c r="HQ95" s="68"/>
      <c r="HR95" s="68"/>
      <c r="HS95" s="68"/>
      <c r="HT95" s="68"/>
      <c r="HU95" s="68"/>
      <c r="HV95" s="68"/>
      <c r="HW95" s="68"/>
      <c r="HX95" s="68"/>
      <c r="HY95" s="68"/>
      <c r="HZ95" s="68"/>
      <c r="IA95" s="68"/>
      <c r="IB95" s="68"/>
      <c r="IC95" s="68"/>
      <c r="ID95" s="68"/>
      <c r="IE95" s="68"/>
      <c r="IF95" s="68"/>
      <c r="IG95" s="68"/>
      <c r="IH95" s="68"/>
      <c r="II95" s="68"/>
      <c r="IJ95" s="68"/>
      <c r="IK95" s="68"/>
      <c r="IL95" s="68"/>
      <c r="IM95" s="68"/>
      <c r="IN95" s="68"/>
      <c r="IO95" s="68"/>
      <c r="IP95" s="68"/>
      <c r="IQ95" s="68"/>
      <c r="IR95" s="68"/>
      <c r="IS95" s="68"/>
      <c r="IT95" s="68"/>
      <c r="IU95" s="68"/>
      <c r="IV95" s="68"/>
      <c r="IW95" s="68"/>
      <c r="IX95" s="68"/>
      <c r="IY95" s="68"/>
      <c r="IZ95" s="68"/>
      <c r="JA95" s="68"/>
      <c r="JB95" s="68"/>
      <c r="JC95" s="68"/>
      <c r="JD95" s="68"/>
      <c r="JE95" s="68"/>
      <c r="JF95" s="68"/>
      <c r="JG95" s="68"/>
      <c r="JH95" s="68"/>
      <c r="JI95" s="68"/>
      <c r="JJ95" s="68"/>
      <c r="JK95" s="68"/>
      <c r="JL95" s="68"/>
      <c r="JM95" s="68"/>
      <c r="JN95" s="68"/>
      <c r="JO95" s="68"/>
      <c r="JP95" s="68"/>
      <c r="JQ95" s="68"/>
      <c r="JR95" s="68"/>
      <c r="JS95" s="68"/>
      <c r="JT95" s="68"/>
      <c r="JU95" s="68"/>
      <c r="JV95" s="68"/>
      <c r="JW95" s="68"/>
      <c r="JX95" s="68"/>
      <c r="JY95" s="68"/>
      <c r="JZ95" s="68"/>
      <c r="KA95" s="68"/>
      <c r="KB95" s="68"/>
      <c r="KC95" s="68"/>
      <c r="KD95" s="68"/>
      <c r="KE95" s="68"/>
      <c r="KF95" s="68"/>
      <c r="KG95" s="68"/>
      <c r="KH95" s="68"/>
      <c r="KI95" s="68"/>
      <c r="KJ95" s="68"/>
      <c r="KK95" s="68"/>
      <c r="KL95" s="68"/>
      <c r="KM95" s="68"/>
      <c r="KN95" s="68"/>
      <c r="KO95" s="68"/>
      <c r="KP95" s="68"/>
      <c r="KQ95" s="68"/>
      <c r="KR95" s="68"/>
      <c r="KS95" s="68"/>
      <c r="KT95" s="68"/>
      <c r="KU95" s="68"/>
      <c r="KV95" s="68"/>
      <c r="KW95" s="68"/>
      <c r="KX95" s="68"/>
      <c r="KY95" s="68"/>
      <c r="KZ95" s="68"/>
      <c r="LA95" s="68"/>
      <c r="LB95" s="68"/>
      <c r="LC95" s="68"/>
      <c r="LD95" s="68"/>
      <c r="LE95" s="68"/>
      <c r="LF95" s="68"/>
      <c r="LG95" s="68"/>
      <c r="LH95" s="68"/>
      <c r="LI95" s="68"/>
      <c r="LJ95" s="68"/>
      <c r="LK95" s="68"/>
      <c r="LL95" s="68"/>
      <c r="LM95" s="68"/>
      <c r="LN95" s="68"/>
      <c r="LO95" s="68"/>
      <c r="LP95" s="68"/>
      <c r="LQ95" s="68"/>
      <c r="LR95" s="68"/>
      <c r="LS95" s="68"/>
      <c r="LT95" s="68"/>
      <c r="LU95" s="68"/>
      <c r="LV95" s="68"/>
      <c r="LW95" s="68"/>
      <c r="LX95" s="68"/>
      <c r="LY95" s="68"/>
      <c r="LZ95" s="68"/>
      <c r="MA95" s="68"/>
      <c r="MB95" s="68"/>
      <c r="MC95" s="68"/>
      <c r="MD95" s="68"/>
      <c r="ME95" s="68"/>
      <c r="MF95" s="68"/>
      <c r="MG95" s="68"/>
      <c r="MH95" s="68"/>
      <c r="MI95" s="68"/>
      <c r="MJ95" s="68"/>
      <c r="MK95" s="68"/>
      <c r="ML95" s="68"/>
      <c r="MM95" s="68"/>
      <c r="MN95" s="68"/>
      <c r="MO95" s="68"/>
      <c r="MP95" s="68"/>
      <c r="MQ95" s="68"/>
      <c r="MR95" s="68"/>
      <c r="MS95" s="68"/>
      <c r="MT95" s="68"/>
      <c r="MU95" s="68"/>
      <c r="MV95" s="68"/>
      <c r="MW95" s="68"/>
      <c r="MX95" s="68"/>
      <c r="MY95" s="68"/>
      <c r="MZ95" s="68"/>
      <c r="NA95" s="68"/>
      <c r="NB95" s="68"/>
      <c r="NC95" s="68"/>
      <c r="ND95" s="68"/>
      <c r="NE95" s="68"/>
      <c r="NF95" s="68"/>
      <c r="NG95" s="68"/>
      <c r="NH95" s="68"/>
      <c r="NI95" s="68"/>
      <c r="NJ95" s="68"/>
      <c r="NK95" s="68"/>
      <c r="NL95" s="68"/>
      <c r="NM95" s="68"/>
      <c r="NN95" s="68"/>
      <c r="NO95" s="68"/>
      <c r="NP95" s="68"/>
      <c r="NQ95" s="68"/>
      <c r="NR95" s="68"/>
      <c r="NS95" s="68"/>
      <c r="NT95" s="68"/>
      <c r="NU95" s="68"/>
      <c r="NV95" s="68"/>
      <c r="NW95" s="68"/>
      <c r="NX95" s="68"/>
      <c r="NY95" s="68"/>
      <c r="NZ95" s="68"/>
      <c r="OA95" s="68"/>
      <c r="OB95" s="68"/>
      <c r="OC95" s="68"/>
      <c r="OD95" s="68"/>
      <c r="OE95" s="68"/>
      <c r="OF95" s="68"/>
      <c r="OG95" s="68"/>
      <c r="OH95" s="68"/>
      <c r="OI95" s="68"/>
      <c r="OJ95" s="68"/>
      <c r="OK95" s="68"/>
      <c r="OL95" s="68"/>
      <c r="OM95" s="68"/>
      <c r="ON95" s="68"/>
      <c r="OO95" s="68"/>
      <c r="OP95" s="68"/>
      <c r="OQ95" s="68"/>
      <c r="OR95" s="68"/>
      <c r="OS95" s="68"/>
      <c r="OT95" s="68"/>
      <c r="OU95" s="68"/>
      <c r="OV95" s="68"/>
      <c r="OW95" s="68"/>
      <c r="OX95" s="68"/>
      <c r="OY95" s="68"/>
      <c r="OZ95" s="68"/>
      <c r="PA95" s="68"/>
      <c r="PB95" s="68"/>
      <c r="PC95" s="68"/>
      <c r="PD95" s="68"/>
      <c r="PE95" s="68"/>
      <c r="PF95" s="68"/>
      <c r="PG95" s="68"/>
      <c r="PH95" s="68"/>
      <c r="PI95" s="68"/>
      <c r="PJ95" s="68"/>
      <c r="PK95" s="68"/>
      <c r="PL95" s="68"/>
      <c r="PM95" s="68"/>
      <c r="PN95" s="68"/>
      <c r="PO95" s="68"/>
      <c r="PP95" s="68"/>
      <c r="PQ95" s="68"/>
      <c r="PR95" s="68"/>
      <c r="PS95" s="68"/>
      <c r="PT95" s="68"/>
      <c r="PU95" s="68"/>
      <c r="PV95" s="68"/>
      <c r="PW95" s="68"/>
      <c r="PX95" s="68"/>
      <c r="PY95" s="68"/>
      <c r="PZ95" s="68"/>
      <c r="QA95" s="68"/>
      <c r="QB95" s="68"/>
      <c r="QC95" s="68"/>
      <c r="QD95" s="68"/>
      <c r="QE95" s="68"/>
      <c r="QF95" s="68"/>
      <c r="QG95" s="68"/>
      <c r="QH95" s="68"/>
      <c r="QI95" s="68"/>
      <c r="QJ95" s="68"/>
      <c r="QK95" s="68"/>
      <c r="QL95" s="68"/>
      <c r="QM95" s="68"/>
      <c r="QN95" s="68"/>
      <c r="QO95" s="68"/>
      <c r="QP95" s="68"/>
      <c r="QQ95" s="68"/>
      <c r="QR95" s="68"/>
      <c r="QS95" s="68"/>
      <c r="QT95" s="68"/>
      <c r="QU95" s="68"/>
      <c r="QV95" s="68"/>
      <c r="QW95" s="68"/>
      <c r="QX95" s="68"/>
      <c r="QY95" s="68"/>
      <c r="QZ95" s="68"/>
      <c r="RA95" s="68"/>
      <c r="RB95" s="68"/>
      <c r="RC95" s="68"/>
      <c r="RD95" s="68"/>
      <c r="RE95" s="68"/>
      <c r="RF95" s="68"/>
      <c r="RG95" s="68"/>
      <c r="RH95" s="68"/>
      <c r="RI95" s="68"/>
      <c r="RJ95" s="68"/>
      <c r="RK95" s="68"/>
      <c r="RL95" s="68"/>
      <c r="RM95" s="68"/>
      <c r="RN95" s="68"/>
      <c r="RO95" s="68"/>
      <c r="RP95" s="68"/>
      <c r="RQ95" s="68"/>
      <c r="RR95" s="68"/>
      <c r="RS95" s="68"/>
      <c r="RT95" s="68"/>
      <c r="RU95" s="68"/>
      <c r="RV95" s="68"/>
      <c r="RW95" s="68"/>
      <c r="RX95" s="68"/>
      <c r="RY95" s="68"/>
      <c r="RZ95" s="68"/>
      <c r="SA95" s="68"/>
      <c r="SB95" s="68"/>
      <c r="SC95" s="68"/>
      <c r="SD95" s="68"/>
      <c r="SE95" s="68"/>
      <c r="SF95" s="68"/>
      <c r="SG95" s="68"/>
      <c r="SH95" s="68"/>
      <c r="SI95" s="68"/>
      <c r="SJ95" s="68"/>
      <c r="SK95" s="68"/>
      <c r="SL95" s="68"/>
      <c r="SM95" s="68"/>
      <c r="SN95" s="68"/>
      <c r="SO95" s="68"/>
      <c r="SP95" s="68"/>
      <c r="SQ95" s="68"/>
      <c r="SR95" s="68"/>
      <c r="SS95" s="68"/>
      <c r="ST95" s="68"/>
      <c r="SU95" s="68"/>
      <c r="SV95" s="68"/>
      <c r="SW95" s="68"/>
      <c r="SX95" s="68"/>
      <c r="SY95" s="68"/>
      <c r="SZ95" s="68"/>
      <c r="TA95" s="68"/>
      <c r="TB95" s="68"/>
      <c r="TC95" s="68"/>
      <c r="TD95" s="68"/>
      <c r="TE95" s="68"/>
      <c r="TF95" s="68"/>
      <c r="TG95" s="68"/>
      <c r="TH95" s="68"/>
      <c r="TI95" s="68"/>
      <c r="TJ95" s="68"/>
      <c r="TK95" s="68"/>
      <c r="TL95" s="68"/>
      <c r="TM95" s="68"/>
      <c r="TN95" s="68"/>
      <c r="TO95" s="68"/>
      <c r="TP95" s="68"/>
      <c r="TQ95" s="68"/>
      <c r="TR95" s="68"/>
      <c r="TS95" s="68"/>
      <c r="TT95" s="68"/>
      <c r="TU95" s="68"/>
      <c r="TV95" s="68"/>
      <c r="TW95" s="68"/>
      <c r="TX95" s="68"/>
      <c r="TY95" s="68"/>
      <c r="TZ95" s="68"/>
      <c r="UA95" s="68"/>
      <c r="UB95" s="68"/>
      <c r="UC95" s="68"/>
      <c r="UD95" s="68"/>
      <c r="UE95" s="68"/>
      <c r="UF95" s="68"/>
      <c r="UG95" s="68"/>
      <c r="UH95" s="68"/>
      <c r="UI95" s="68"/>
      <c r="UJ95" s="68"/>
      <c r="UK95" s="68"/>
      <c r="UL95" s="68"/>
      <c r="UM95" s="68"/>
      <c r="UN95" s="68"/>
      <c r="UO95" s="68"/>
      <c r="UP95" s="68"/>
      <c r="UQ95" s="68"/>
      <c r="UR95" s="68"/>
      <c r="US95" s="68"/>
      <c r="UT95" s="68"/>
      <c r="UU95" s="68"/>
      <c r="UV95" s="68"/>
      <c r="UW95" s="68"/>
      <c r="UX95" s="68"/>
      <c r="UY95" s="68"/>
      <c r="UZ95" s="68"/>
      <c r="VA95" s="68"/>
      <c r="VB95" s="68"/>
      <c r="VC95" s="68"/>
      <c r="VD95" s="68"/>
      <c r="VE95" s="68"/>
      <c r="VF95" s="68"/>
      <c r="VG95" s="68"/>
      <c r="VH95" s="68"/>
      <c r="VI95" s="68"/>
      <c r="VJ95" s="68"/>
      <c r="VK95" s="68"/>
      <c r="VL95" s="68"/>
      <c r="VM95" s="68"/>
      <c r="VN95" s="68"/>
      <c r="VO95" s="68"/>
      <c r="VP95" s="68"/>
      <c r="VQ95" s="68"/>
      <c r="VR95" s="68"/>
      <c r="VS95" s="68"/>
      <c r="VT95" s="68"/>
      <c r="VU95" s="68"/>
      <c r="VV95" s="68"/>
      <c r="VW95" s="68"/>
      <c r="VX95" s="68"/>
      <c r="VY95" s="68"/>
      <c r="VZ95" s="68"/>
      <c r="WA95" s="68"/>
      <c r="WB95" s="68"/>
      <c r="WC95" s="68"/>
      <c r="WD95" s="68"/>
      <c r="WE95" s="68"/>
      <c r="WF95" s="68"/>
      <c r="WG95" s="68"/>
      <c r="WH95" s="68"/>
      <c r="WI95" s="68"/>
      <c r="WJ95" s="68"/>
      <c r="WK95" s="68"/>
      <c r="WL95" s="68"/>
      <c r="WM95" s="68"/>
      <c r="WN95" s="68"/>
      <c r="WO95" s="68"/>
      <c r="WP95" s="68"/>
      <c r="WQ95" s="68"/>
      <c r="WR95" s="68"/>
      <c r="WS95" s="68"/>
      <c r="WT95" s="68"/>
      <c r="WU95" s="68"/>
      <c r="WV95" s="68"/>
      <c r="WW95" s="68"/>
      <c r="WX95" s="68"/>
      <c r="WY95" s="68"/>
      <c r="WZ95" s="68"/>
      <c r="XA95" s="68"/>
      <c r="XB95" s="68"/>
      <c r="XC95" s="68"/>
      <c r="XD95" s="68"/>
      <c r="XE95" s="68"/>
      <c r="XF95" s="68"/>
      <c r="XG95" s="68"/>
      <c r="XH95" s="68"/>
      <c r="XI95" s="68"/>
      <c r="XJ95" s="68"/>
      <c r="XK95" s="68"/>
      <c r="XL95" s="68"/>
      <c r="XM95" s="68"/>
      <c r="XN95" s="68"/>
      <c r="XO95" s="68"/>
      <c r="XP95" s="68"/>
      <c r="XQ95" s="68"/>
      <c r="XR95" s="68"/>
      <c r="XS95" s="68"/>
      <c r="XT95" s="68"/>
      <c r="XU95" s="68"/>
      <c r="XV95" s="68"/>
      <c r="XW95" s="68"/>
      <c r="XX95" s="68"/>
      <c r="XY95" s="68"/>
      <c r="XZ95" s="68"/>
      <c r="YA95" s="68"/>
      <c r="YB95" s="68"/>
      <c r="YC95" s="68"/>
      <c r="YD95" s="68"/>
      <c r="YE95" s="68"/>
      <c r="YF95" s="68"/>
      <c r="YG95" s="68"/>
      <c r="YH95" s="68"/>
      <c r="YI95" s="68"/>
      <c r="YJ95" s="68"/>
      <c r="YK95" s="68"/>
      <c r="YL95" s="68"/>
      <c r="YM95" s="68"/>
      <c r="YN95" s="68"/>
      <c r="YO95" s="68"/>
      <c r="YP95" s="68"/>
      <c r="YQ95" s="68"/>
      <c r="YR95" s="68"/>
      <c r="YS95" s="68"/>
      <c r="YT95" s="68"/>
      <c r="YU95" s="68"/>
      <c r="YV95" s="68"/>
      <c r="YW95" s="68"/>
      <c r="YX95" s="68"/>
      <c r="YY95" s="68"/>
      <c r="YZ95" s="68"/>
      <c r="ZA95" s="68"/>
      <c r="ZB95" s="68"/>
      <c r="ZC95" s="68"/>
      <c r="ZD95" s="68"/>
      <c r="ZE95" s="68"/>
      <c r="ZF95" s="68"/>
      <c r="ZG95" s="68"/>
      <c r="ZH95" s="68"/>
      <c r="ZI95" s="68"/>
      <c r="ZJ95" s="68"/>
      <c r="ZK95" s="68"/>
      <c r="ZL95" s="68"/>
      <c r="ZM95" s="68"/>
      <c r="ZN95" s="68"/>
      <c r="ZO95" s="68"/>
      <c r="ZP95" s="68"/>
      <c r="ZQ95" s="68"/>
      <c r="ZR95" s="68"/>
      <c r="ZS95" s="68"/>
      <c r="ZT95" s="68"/>
      <c r="ZU95" s="68"/>
      <c r="ZV95" s="68"/>
      <c r="ZW95" s="68"/>
      <c r="ZX95" s="68"/>
      <c r="ZY95" s="68"/>
      <c r="ZZ95" s="68"/>
      <c r="AAA95" s="68"/>
      <c r="AAB95" s="68"/>
      <c r="AAC95" s="68"/>
      <c r="AAD95" s="68"/>
      <c r="AAE95" s="68"/>
      <c r="AAF95" s="68"/>
      <c r="AAG95" s="68"/>
      <c r="AAH95" s="68"/>
      <c r="AAI95" s="68"/>
      <c r="AAJ95" s="68"/>
      <c r="AAK95" s="68"/>
      <c r="AAL95" s="68"/>
      <c r="AAM95" s="68"/>
      <c r="AAN95" s="68"/>
      <c r="AAO95" s="68"/>
      <c r="AAP95" s="68"/>
      <c r="AAQ95" s="68"/>
      <c r="AAR95" s="68"/>
      <c r="AAS95" s="68"/>
      <c r="AAT95" s="68"/>
      <c r="AAU95" s="68"/>
      <c r="AAV95" s="68"/>
      <c r="AAW95" s="68"/>
      <c r="AAX95" s="68"/>
      <c r="AAY95" s="68"/>
      <c r="AAZ95" s="68"/>
      <c r="ABA95" s="68"/>
      <c r="ABB95" s="68"/>
      <c r="ABC95" s="68"/>
      <c r="ABD95" s="68"/>
      <c r="ABE95" s="68"/>
      <c r="ABF95" s="68"/>
      <c r="ABG95" s="68"/>
      <c r="ABH95" s="68"/>
      <c r="ABI95" s="68"/>
      <c r="ABJ95" s="68"/>
      <c r="ABK95" s="68"/>
      <c r="ABL95" s="68"/>
      <c r="ABM95" s="68"/>
      <c r="ABN95" s="68"/>
      <c r="ABO95" s="68"/>
      <c r="ABP95" s="68"/>
      <c r="ABQ95" s="68"/>
      <c r="ABR95" s="68"/>
      <c r="ABS95" s="68"/>
      <c r="ABT95" s="68"/>
      <c r="ABU95" s="68"/>
      <c r="ABV95" s="68"/>
      <c r="ABW95" s="68"/>
      <c r="ABX95" s="68"/>
      <c r="ABY95" s="68"/>
      <c r="ABZ95" s="68"/>
      <c r="ACA95" s="68"/>
      <c r="ACB95" s="68"/>
      <c r="ACC95" s="68"/>
      <c r="ACD95" s="68"/>
      <c r="ACE95" s="68"/>
      <c r="ACF95" s="68"/>
      <c r="ACG95" s="68"/>
      <c r="ACH95" s="68"/>
      <c r="ACI95" s="68"/>
      <c r="ACJ95" s="68"/>
      <c r="ACK95" s="68"/>
      <c r="ACL95" s="68"/>
      <c r="ACM95" s="68"/>
      <c r="ACN95" s="68"/>
      <c r="ACO95" s="68"/>
      <c r="ACP95" s="68"/>
      <c r="ACQ95" s="68"/>
      <c r="ACR95" s="68"/>
      <c r="ACS95" s="68"/>
      <c r="ACT95" s="68"/>
      <c r="ACU95" s="68"/>
      <c r="ACV95" s="68"/>
      <c r="ACW95" s="68"/>
      <c r="ACX95" s="68"/>
      <c r="ACY95" s="68"/>
      <c r="ACZ95" s="68"/>
      <c r="ADA95" s="68"/>
      <c r="ADB95" s="68"/>
      <c r="ADC95" s="68"/>
      <c r="ADD95" s="68"/>
      <c r="ADE95" s="68"/>
      <c r="ADF95" s="68"/>
      <c r="ADG95" s="68"/>
      <c r="ADH95" s="68"/>
      <c r="ADI95" s="68"/>
      <c r="ADJ95" s="68"/>
      <c r="ADK95" s="68"/>
      <c r="ADL95" s="68"/>
      <c r="ADM95" s="68"/>
      <c r="ADN95" s="68"/>
      <c r="ADO95" s="68"/>
      <c r="ADP95" s="68"/>
      <c r="ADQ95" s="68"/>
      <c r="ADR95" s="68"/>
      <c r="ADS95" s="68"/>
      <c r="ADT95" s="68"/>
      <c r="ADU95" s="68"/>
      <c r="ADV95" s="68"/>
      <c r="ADW95" s="68"/>
      <c r="ADX95" s="68"/>
      <c r="ADY95" s="68"/>
      <c r="ADZ95" s="68"/>
      <c r="AEA95" s="68"/>
      <c r="AEB95" s="68"/>
      <c r="AEC95" s="68"/>
      <c r="AED95" s="68"/>
      <c r="AEE95" s="68"/>
      <c r="AEF95" s="68"/>
      <c r="AEG95" s="68"/>
      <c r="AEH95" s="68"/>
      <c r="AEI95" s="68"/>
      <c r="AEJ95" s="68"/>
      <c r="AEK95" s="68"/>
      <c r="AEL95" s="68"/>
      <c r="AEM95" s="68"/>
      <c r="AEN95" s="68"/>
      <c r="AEO95" s="68"/>
      <c r="AEP95" s="68"/>
      <c r="AEQ95" s="68"/>
      <c r="AER95" s="68"/>
      <c r="AES95" s="68"/>
      <c r="AET95" s="68"/>
      <c r="AEU95" s="68"/>
      <c r="AEV95" s="68"/>
      <c r="AEW95" s="68"/>
      <c r="AEX95" s="68"/>
      <c r="AEY95" s="68"/>
      <c r="AEZ95" s="68"/>
      <c r="AFA95" s="68"/>
      <c r="AFB95" s="68"/>
      <c r="AFC95" s="68"/>
      <c r="AFD95" s="68"/>
      <c r="AFE95" s="68"/>
      <c r="AFF95" s="68"/>
      <c r="AFG95" s="68"/>
      <c r="AFH95" s="68"/>
      <c r="AFI95" s="68"/>
      <c r="AFJ95" s="68"/>
      <c r="AFK95" s="68"/>
      <c r="AFL95" s="68"/>
      <c r="AFM95" s="68"/>
      <c r="AFN95" s="68"/>
      <c r="AFO95" s="68"/>
      <c r="AFP95" s="68"/>
      <c r="AFQ95" s="68"/>
      <c r="AFR95" s="68"/>
      <c r="AFS95" s="68"/>
      <c r="AFT95" s="68"/>
      <c r="AFU95" s="68"/>
      <c r="AFV95" s="68"/>
      <c r="AFW95" s="68"/>
      <c r="AFX95" s="68"/>
      <c r="AFY95" s="68"/>
      <c r="AFZ95" s="68"/>
      <c r="AGA95" s="68"/>
      <c r="AGB95" s="68"/>
      <c r="AGC95" s="68"/>
      <c r="AGD95" s="68"/>
      <c r="AGE95" s="68"/>
      <c r="AGF95" s="68"/>
      <c r="AGG95" s="68"/>
      <c r="AGH95" s="68"/>
      <c r="AGI95" s="68"/>
      <c r="AGJ95" s="68"/>
      <c r="AGK95" s="68"/>
      <c r="AGL95" s="68"/>
      <c r="AGM95" s="68"/>
      <c r="AGN95" s="68"/>
      <c r="AGO95" s="68"/>
      <c r="AGP95" s="68"/>
      <c r="AGQ95" s="68"/>
      <c r="AGR95" s="68"/>
      <c r="AGS95" s="68"/>
      <c r="AGT95" s="68"/>
      <c r="AGU95" s="68"/>
      <c r="AGV95" s="68"/>
      <c r="AGW95" s="68"/>
      <c r="AGX95" s="68"/>
      <c r="AGY95" s="68"/>
      <c r="AGZ95" s="68"/>
      <c r="AHA95" s="68"/>
      <c r="AHB95" s="68"/>
      <c r="AHC95" s="68"/>
      <c r="AHD95" s="68"/>
      <c r="AHE95" s="68"/>
      <c r="AHF95" s="68"/>
      <c r="AHG95" s="68"/>
      <c r="AHH95" s="68"/>
      <c r="AHI95" s="68"/>
      <c r="AHJ95" s="68"/>
      <c r="AHK95" s="68"/>
      <c r="AHL95" s="68"/>
      <c r="AHM95" s="68"/>
      <c r="AHN95" s="68"/>
      <c r="AHO95" s="68"/>
      <c r="AHP95" s="68"/>
      <c r="AHQ95" s="68"/>
      <c r="AHR95" s="68"/>
      <c r="AHS95" s="68"/>
      <c r="AHT95" s="68"/>
      <c r="AHU95" s="68"/>
      <c r="AHV95" s="68"/>
      <c r="AHW95" s="68"/>
      <c r="AHX95" s="68"/>
      <c r="AHY95" s="68"/>
      <c r="AHZ95" s="68"/>
      <c r="AIA95" s="68"/>
      <c r="AIB95" s="68"/>
      <c r="AIC95" s="68"/>
      <c r="AID95" s="68"/>
      <c r="AIE95" s="68"/>
      <c r="AIF95" s="68"/>
      <c r="AIG95" s="68"/>
      <c r="AIH95" s="68"/>
      <c r="AII95" s="68"/>
      <c r="AIJ95" s="68"/>
      <c r="AIK95" s="68"/>
      <c r="AIL95" s="68"/>
      <c r="AIM95" s="68"/>
      <c r="AIN95" s="68"/>
      <c r="AIO95" s="68"/>
      <c r="AIP95" s="68"/>
      <c r="AIQ95" s="68"/>
      <c r="AIR95" s="68"/>
      <c r="AIS95" s="68"/>
      <c r="AIT95" s="68"/>
      <c r="AIU95" s="68"/>
      <c r="AIV95" s="68"/>
      <c r="AIW95" s="68"/>
      <c r="AIX95" s="68"/>
      <c r="AIY95" s="68"/>
      <c r="AIZ95" s="68"/>
      <c r="AJA95" s="68"/>
      <c r="AJB95" s="68"/>
      <c r="AJC95" s="68"/>
      <c r="AJD95" s="68"/>
      <c r="AJE95" s="68"/>
      <c r="AJF95" s="68"/>
      <c r="AJG95" s="68"/>
      <c r="AJH95" s="68"/>
      <c r="AJI95" s="68"/>
      <c r="AJJ95" s="68"/>
      <c r="AJK95" s="68"/>
      <c r="AJL95" s="68"/>
      <c r="AJM95" s="68"/>
      <c r="AJN95" s="68"/>
      <c r="AJO95" s="68"/>
      <c r="AJP95" s="68"/>
      <c r="AJQ95" s="68"/>
      <c r="AJR95" s="68"/>
      <c r="AJS95" s="68"/>
      <c r="AJT95" s="68"/>
      <c r="AJU95" s="68"/>
      <c r="AJV95" s="68"/>
      <c r="AJW95" s="68"/>
      <c r="AJX95" s="68"/>
      <c r="AJY95" s="68"/>
      <c r="AJZ95" s="68"/>
      <c r="AKA95" s="68"/>
      <c r="AKB95" s="68"/>
      <c r="AKC95" s="68"/>
      <c r="AKD95" s="68"/>
      <c r="AKE95" s="68"/>
      <c r="AKF95" s="68"/>
      <c r="AKG95" s="68"/>
      <c r="AKH95" s="68"/>
      <c r="AKI95" s="68"/>
      <c r="AKJ95" s="68"/>
      <c r="AKK95" s="68"/>
      <c r="AKL95" s="68"/>
      <c r="AKM95" s="68"/>
      <c r="AKN95" s="68"/>
      <c r="AKO95" s="68"/>
      <c r="AKP95" s="68"/>
      <c r="AKQ95" s="68"/>
      <c r="AKR95" s="68"/>
      <c r="AKS95" s="68"/>
      <c r="AKT95" s="68"/>
      <c r="AKU95" s="68"/>
      <c r="AKV95" s="68"/>
      <c r="AKW95" s="68"/>
      <c r="AKX95" s="68"/>
      <c r="AKY95" s="68"/>
      <c r="AKZ95" s="68"/>
      <c r="ALA95" s="68"/>
      <c r="ALB95" s="68"/>
      <c r="ALC95" s="68"/>
      <c r="ALD95" s="68"/>
      <c r="ALE95" s="68"/>
      <c r="ALF95" s="68"/>
      <c r="ALG95" s="68"/>
      <c r="ALH95" s="68"/>
      <c r="ALI95" s="68"/>
      <c r="ALJ95" s="68"/>
      <c r="ALK95" s="68"/>
      <c r="ALL95" s="68"/>
      <c r="ALM95" s="68"/>
      <c r="ALN95" s="68"/>
      <c r="ALO95" s="68"/>
      <c r="ALP95" s="68"/>
      <c r="ALQ95" s="68"/>
      <c r="ALR95" s="68"/>
      <c r="ALS95" s="68"/>
      <c r="ALT95" s="68"/>
      <c r="ALU95" s="68"/>
      <c r="ALV95" s="68"/>
      <c r="ALW95" s="68"/>
      <c r="ALX95" s="68"/>
      <c r="ALY95" s="68"/>
      <c r="ALZ95" s="68"/>
      <c r="AMA95" s="68"/>
      <c r="AMB95" s="68"/>
      <c r="AMC95" s="68"/>
      <c r="AMD95" s="68"/>
      <c r="AME95" s="68"/>
      <c r="AMF95" s="68"/>
      <c r="AMG95" s="68"/>
      <c r="AMH95" s="68"/>
      <c r="AMI95" s="68"/>
      <c r="AMJ95" s="68"/>
      <c r="AMK95" s="68"/>
      <c r="AML95" s="68"/>
      <c r="AMM95" s="68"/>
      <c r="AMN95" s="68"/>
      <c r="AMO95" s="68"/>
      <c r="AMP95" s="68"/>
      <c r="AMQ95" s="68"/>
      <c r="AMR95" s="68"/>
      <c r="AMS95" s="68"/>
      <c r="AMT95" s="68"/>
      <c r="AMU95" s="68"/>
      <c r="AMV95" s="68"/>
      <c r="AMW95" s="68"/>
      <c r="AMX95" s="68"/>
      <c r="AMY95" s="68"/>
      <c r="AMZ95" s="68"/>
      <c r="ANA95" s="68"/>
      <c r="ANB95" s="68"/>
      <c r="ANC95" s="68"/>
      <c r="AND95" s="68"/>
      <c r="ANE95" s="68"/>
      <c r="ANF95" s="68"/>
      <c r="ANG95" s="68"/>
      <c r="ANH95" s="68"/>
      <c r="ANI95" s="68"/>
      <c r="ANJ95" s="68"/>
      <c r="ANK95" s="68"/>
      <c r="ANL95" s="68"/>
      <c r="ANM95" s="68"/>
      <c r="ANN95" s="68"/>
      <c r="ANO95" s="68"/>
      <c r="ANP95" s="68"/>
      <c r="ANQ95" s="68"/>
      <c r="ANR95" s="68"/>
      <c r="ANS95" s="68"/>
      <c r="ANT95" s="68"/>
      <c r="ANU95" s="68"/>
      <c r="ANV95" s="68"/>
      <c r="ANW95" s="68"/>
      <c r="ANX95" s="68"/>
      <c r="ANY95" s="68"/>
      <c r="ANZ95" s="68"/>
      <c r="AOA95" s="68"/>
      <c r="AOB95" s="68"/>
      <c r="AOC95" s="68"/>
      <c r="AOD95" s="68"/>
      <c r="AOE95" s="68"/>
      <c r="AOF95" s="68"/>
      <c r="AOG95" s="68"/>
      <c r="AOH95" s="68"/>
      <c r="AOI95" s="68"/>
      <c r="AOJ95" s="68"/>
      <c r="AOK95" s="68"/>
      <c r="AOL95" s="68"/>
      <c r="AOM95" s="68"/>
      <c r="AON95" s="68"/>
      <c r="AOO95" s="68"/>
      <c r="AOP95" s="68"/>
      <c r="AOQ95" s="68"/>
      <c r="AOR95" s="68"/>
      <c r="AOS95" s="68"/>
      <c r="AOT95" s="68"/>
      <c r="AOU95" s="68"/>
      <c r="AOV95" s="68"/>
      <c r="AOW95" s="68"/>
      <c r="AOX95" s="68"/>
      <c r="AOY95" s="68"/>
      <c r="AOZ95" s="68"/>
      <c r="APA95" s="68"/>
      <c r="APB95" s="68"/>
      <c r="APC95" s="68"/>
      <c r="APD95" s="68"/>
      <c r="APE95" s="68"/>
      <c r="APF95" s="68"/>
      <c r="APG95" s="68"/>
      <c r="APH95" s="68"/>
      <c r="API95" s="68"/>
      <c r="APJ95" s="68"/>
      <c r="APK95" s="68"/>
      <c r="APL95" s="68"/>
      <c r="APM95" s="68"/>
      <c r="APN95" s="68"/>
      <c r="APO95" s="68"/>
      <c r="APP95" s="68"/>
      <c r="APQ95" s="68"/>
      <c r="APR95" s="68"/>
      <c r="APS95" s="68"/>
      <c r="APT95" s="68"/>
      <c r="APU95" s="68"/>
      <c r="APV95" s="68"/>
      <c r="APW95" s="68"/>
      <c r="APX95" s="68"/>
      <c r="APY95" s="68"/>
      <c r="APZ95" s="68"/>
      <c r="AQA95" s="68"/>
      <c r="AQB95" s="68"/>
      <c r="AQC95" s="68"/>
      <c r="AQD95" s="68"/>
      <c r="AQE95" s="68"/>
      <c r="AQF95" s="68"/>
      <c r="AQG95" s="68"/>
      <c r="AQH95" s="68"/>
      <c r="AQI95" s="68"/>
      <c r="AQJ95" s="68"/>
      <c r="AQK95" s="68"/>
      <c r="AQL95" s="68"/>
      <c r="AQM95" s="68"/>
      <c r="AQN95" s="68"/>
      <c r="AQO95" s="68"/>
      <c r="AQP95" s="68"/>
      <c r="AQQ95" s="68"/>
      <c r="AQR95" s="68"/>
      <c r="AQS95" s="68"/>
      <c r="AQT95" s="68"/>
      <c r="AQU95" s="68"/>
      <c r="AQV95" s="68"/>
      <c r="AQW95" s="68"/>
      <c r="AQX95" s="68"/>
      <c r="AQY95" s="68"/>
      <c r="AQZ95" s="68"/>
      <c r="ARA95" s="68"/>
      <c r="ARB95" s="68"/>
      <c r="ARC95" s="68"/>
      <c r="ARD95" s="68"/>
      <c r="ARE95" s="68"/>
      <c r="ARF95" s="68"/>
      <c r="ARG95" s="68"/>
      <c r="ARH95" s="68"/>
      <c r="ARI95" s="68"/>
      <c r="ARJ95" s="68"/>
      <c r="ARK95" s="68"/>
      <c r="ARL95" s="68"/>
      <c r="ARM95" s="68"/>
      <c r="ARN95" s="68"/>
      <c r="ARO95" s="68"/>
      <c r="ARP95" s="68"/>
      <c r="ARQ95" s="68"/>
      <c r="ARR95" s="68"/>
      <c r="ARS95" s="68"/>
      <c r="ART95" s="68"/>
      <c r="ARU95" s="68"/>
      <c r="ARV95" s="68"/>
      <c r="ARW95" s="68"/>
      <c r="ARX95" s="68"/>
      <c r="ARY95" s="68"/>
      <c r="ARZ95" s="68"/>
      <c r="ASA95" s="68"/>
      <c r="ASB95" s="68"/>
      <c r="ASC95" s="68"/>
      <c r="ASD95" s="68"/>
      <c r="ASE95" s="68"/>
      <c r="ASF95" s="68"/>
      <c r="ASG95" s="68"/>
      <c r="ASH95" s="68"/>
      <c r="ASI95" s="68"/>
      <c r="ASJ95" s="68"/>
      <c r="ASK95" s="68"/>
      <c r="ASL95" s="68"/>
      <c r="ASM95" s="68"/>
      <c r="ASN95" s="68"/>
      <c r="ASO95" s="68"/>
      <c r="ASP95" s="68"/>
      <c r="ASQ95" s="68"/>
      <c r="ASR95" s="68"/>
      <c r="ASS95" s="68"/>
      <c r="AST95" s="68"/>
      <c r="ASU95" s="68"/>
      <c r="ASV95" s="68"/>
      <c r="ASW95" s="68"/>
      <c r="ASX95" s="68"/>
      <c r="ASY95" s="68"/>
      <c r="ASZ95" s="68"/>
      <c r="ATA95" s="68"/>
      <c r="ATB95" s="68"/>
      <c r="ATC95" s="68"/>
      <c r="ATD95" s="68"/>
      <c r="ATE95" s="68"/>
      <c r="ATF95" s="68"/>
      <c r="ATG95" s="68"/>
      <c r="ATH95" s="68"/>
      <c r="ATI95" s="68"/>
      <c r="ATJ95" s="68"/>
      <c r="ATK95" s="68"/>
      <c r="ATL95" s="68"/>
      <c r="ATM95" s="68"/>
      <c r="ATN95" s="68"/>
      <c r="ATO95" s="68"/>
      <c r="ATP95" s="68"/>
      <c r="ATQ95" s="68"/>
      <c r="ATR95" s="68"/>
      <c r="ATS95" s="68"/>
      <c r="ATT95" s="68"/>
      <c r="ATU95" s="68"/>
      <c r="ATV95" s="68"/>
      <c r="ATW95" s="68"/>
      <c r="ATX95" s="68"/>
      <c r="ATY95" s="68"/>
      <c r="ATZ95" s="68"/>
      <c r="AUA95" s="68"/>
      <c r="AUB95" s="68"/>
      <c r="AUC95" s="68"/>
      <c r="AUD95" s="68"/>
      <c r="AUE95" s="68"/>
      <c r="AUF95" s="68"/>
      <c r="AUG95" s="68"/>
      <c r="AUH95" s="68"/>
      <c r="AUI95" s="68"/>
      <c r="AUJ95" s="68"/>
      <c r="AUK95" s="68"/>
      <c r="AUL95" s="68"/>
      <c r="AUM95" s="68"/>
      <c r="AUN95" s="68"/>
      <c r="AUO95" s="68"/>
      <c r="AUP95" s="68"/>
      <c r="AUQ95" s="68"/>
      <c r="AUR95" s="68"/>
      <c r="AUS95" s="68"/>
      <c r="AUT95" s="68"/>
      <c r="AUU95" s="68"/>
      <c r="AUV95" s="68"/>
      <c r="AUW95" s="68"/>
      <c r="AUX95" s="68"/>
      <c r="AUY95" s="68"/>
      <c r="AUZ95" s="68"/>
      <c r="AVA95" s="68"/>
      <c r="AVB95" s="68"/>
      <c r="AVC95" s="68"/>
      <c r="AVD95" s="68"/>
      <c r="AVE95" s="68"/>
      <c r="AVF95" s="68"/>
      <c r="AVG95" s="68"/>
      <c r="AVH95" s="68"/>
      <c r="AVI95" s="68"/>
      <c r="AVJ95" s="68"/>
      <c r="AVK95" s="68"/>
      <c r="AVL95" s="68"/>
      <c r="AVM95" s="68"/>
      <c r="AVN95" s="68"/>
      <c r="AVO95" s="68"/>
      <c r="AVP95" s="68"/>
      <c r="AVQ95" s="68"/>
      <c r="AVR95" s="68"/>
      <c r="AVS95" s="68"/>
      <c r="AVT95" s="68"/>
      <c r="AVU95" s="68"/>
      <c r="AVV95" s="68"/>
      <c r="AVW95" s="68"/>
      <c r="AVX95" s="68"/>
      <c r="AVY95" s="68"/>
      <c r="AVZ95" s="68"/>
      <c r="AWA95" s="68"/>
      <c r="AWB95" s="68"/>
      <c r="AWC95" s="68"/>
      <c r="AWD95" s="68"/>
      <c r="AWE95" s="68"/>
      <c r="AWF95" s="68"/>
      <c r="AWG95" s="68"/>
      <c r="AWH95" s="68"/>
      <c r="AWI95" s="68"/>
      <c r="AWJ95" s="68"/>
      <c r="AWK95" s="68"/>
      <c r="AWL95" s="68"/>
      <c r="AWM95" s="68"/>
      <c r="AWN95" s="68"/>
      <c r="AWO95" s="68"/>
      <c r="AWP95" s="68"/>
      <c r="AWQ95" s="68"/>
      <c r="AWR95" s="68"/>
      <c r="AWS95" s="68"/>
      <c r="AWT95" s="68"/>
      <c r="AWU95" s="68"/>
      <c r="AWV95" s="68"/>
      <c r="AWW95" s="68"/>
      <c r="AWX95" s="68"/>
      <c r="AWY95" s="68"/>
      <c r="AWZ95" s="68"/>
      <c r="AXA95" s="68"/>
      <c r="AXB95" s="68"/>
      <c r="AXC95" s="68"/>
      <c r="AXD95" s="68"/>
      <c r="AXE95" s="68"/>
      <c r="AXF95" s="68"/>
      <c r="AXG95" s="68"/>
      <c r="AXH95" s="68"/>
      <c r="AXI95" s="68"/>
      <c r="AXJ95" s="68"/>
      <c r="AXK95" s="68"/>
      <c r="AXL95" s="68"/>
      <c r="AXM95" s="68"/>
      <c r="AXN95" s="68"/>
      <c r="AXO95" s="68"/>
      <c r="AXP95" s="68"/>
      <c r="AXQ95" s="68"/>
      <c r="AXR95" s="68"/>
      <c r="AXS95" s="68"/>
      <c r="AXT95" s="68"/>
      <c r="AXU95" s="68"/>
      <c r="AXV95" s="68"/>
      <c r="AXW95" s="68"/>
      <c r="AXX95" s="68"/>
      <c r="AXY95" s="68"/>
      <c r="AXZ95" s="68"/>
      <c r="AYA95" s="68"/>
      <c r="AYB95" s="68"/>
      <c r="AYC95" s="68"/>
      <c r="AYD95" s="68"/>
      <c r="AYE95" s="68"/>
      <c r="AYF95" s="68"/>
      <c r="AYG95" s="68"/>
      <c r="AYH95" s="68"/>
      <c r="AYI95" s="68"/>
      <c r="AYJ95" s="68"/>
      <c r="AYK95" s="68"/>
      <c r="AYL95" s="68"/>
      <c r="AYM95" s="68"/>
      <c r="AYN95" s="68"/>
      <c r="AYO95" s="68"/>
      <c r="AYP95" s="68"/>
      <c r="AYQ95" s="68"/>
      <c r="AYR95" s="68"/>
      <c r="AYS95" s="68"/>
      <c r="AYT95" s="68"/>
      <c r="AYU95" s="68"/>
      <c r="AYV95" s="68"/>
      <c r="AYW95" s="68"/>
      <c r="AYX95" s="68"/>
      <c r="AYY95" s="68"/>
      <c r="AYZ95" s="68"/>
      <c r="AZA95" s="68"/>
      <c r="AZB95" s="68"/>
      <c r="AZC95" s="68"/>
      <c r="AZD95" s="68"/>
      <c r="AZE95" s="68"/>
      <c r="AZF95" s="68"/>
      <c r="AZG95" s="68"/>
      <c r="AZH95" s="68"/>
      <c r="AZI95" s="68"/>
      <c r="AZJ95" s="68"/>
      <c r="AZK95" s="68"/>
      <c r="AZL95" s="68"/>
      <c r="AZM95" s="68"/>
      <c r="AZN95" s="68"/>
      <c r="AZO95" s="68"/>
      <c r="AZP95" s="68"/>
      <c r="AZQ95" s="68"/>
      <c r="AZR95" s="68"/>
      <c r="AZS95" s="68"/>
      <c r="AZT95" s="68"/>
      <c r="AZU95" s="68"/>
      <c r="AZV95" s="68"/>
      <c r="AZW95" s="68"/>
      <c r="AZX95" s="68"/>
      <c r="AZY95" s="68"/>
      <c r="AZZ95" s="68"/>
      <c r="BAA95" s="68"/>
      <c r="BAB95" s="68"/>
      <c r="BAC95" s="68"/>
      <c r="BAD95" s="68"/>
      <c r="BAE95" s="68"/>
      <c r="BAF95" s="68"/>
      <c r="BAG95" s="68"/>
      <c r="BAH95" s="68"/>
      <c r="BAI95" s="68"/>
      <c r="BAJ95" s="68"/>
      <c r="BAK95" s="68"/>
      <c r="BAL95" s="68"/>
      <c r="BAM95" s="68"/>
      <c r="BAN95" s="68"/>
      <c r="BAO95" s="68"/>
      <c r="BAP95" s="68"/>
      <c r="BAQ95" s="68"/>
      <c r="BAR95" s="68"/>
      <c r="BAS95" s="68"/>
      <c r="BAT95" s="68"/>
      <c r="BAU95" s="68"/>
      <c r="BAV95" s="68"/>
      <c r="BAW95" s="68"/>
      <c r="BAX95" s="68"/>
      <c r="BAY95" s="68"/>
      <c r="BAZ95" s="68"/>
      <c r="BBA95" s="68"/>
      <c r="BBB95" s="68"/>
      <c r="BBC95" s="68"/>
      <c r="BBD95" s="68"/>
      <c r="BBE95" s="68"/>
      <c r="BBF95" s="68"/>
      <c r="BBG95" s="68"/>
      <c r="BBH95" s="68"/>
      <c r="BBI95" s="68"/>
      <c r="BBJ95" s="68"/>
      <c r="BBK95" s="68"/>
      <c r="BBL95" s="68"/>
      <c r="BBM95" s="68"/>
      <c r="BBN95" s="68"/>
      <c r="BBO95" s="68"/>
      <c r="BBP95" s="68"/>
      <c r="BBQ95" s="68"/>
      <c r="BBR95" s="68"/>
      <c r="BBS95" s="68"/>
      <c r="BBT95" s="68"/>
      <c r="BBU95" s="68"/>
      <c r="BBV95" s="68"/>
      <c r="BBW95" s="68"/>
      <c r="BBX95" s="68"/>
      <c r="BBY95" s="68"/>
      <c r="BBZ95" s="68"/>
      <c r="BCA95" s="68"/>
      <c r="BCB95" s="68"/>
      <c r="BCC95" s="68"/>
      <c r="BCD95" s="68"/>
      <c r="BCE95" s="68"/>
      <c r="BCF95" s="68"/>
      <c r="BCG95" s="68"/>
      <c r="BCH95" s="68"/>
      <c r="BCI95" s="68"/>
      <c r="BCJ95" s="68"/>
      <c r="BCK95" s="68"/>
      <c r="BCL95" s="68"/>
      <c r="BCM95" s="68"/>
      <c r="BCN95" s="68"/>
      <c r="BCO95" s="68"/>
      <c r="BCP95" s="68"/>
      <c r="BCQ95" s="68"/>
      <c r="BCR95" s="68"/>
      <c r="BCS95" s="68"/>
      <c r="BCT95" s="68"/>
      <c r="BCU95" s="68"/>
      <c r="BCV95" s="68"/>
      <c r="BCW95" s="68"/>
      <c r="BCX95" s="68"/>
      <c r="BCY95" s="68"/>
      <c r="BCZ95" s="68"/>
      <c r="BDA95" s="68"/>
    </row>
    <row r="96" spans="1:1458" s="67" customFormat="1" ht="24.75" customHeight="1" x14ac:dyDescent="0.25">
      <c r="A96" s="49">
        <v>14</v>
      </c>
      <c r="B96" s="69" t="s">
        <v>734</v>
      </c>
      <c r="C96" s="69" t="s">
        <v>715</v>
      </c>
      <c r="D96" s="69" t="s">
        <v>708</v>
      </c>
      <c r="E96" s="69" t="s">
        <v>709</v>
      </c>
      <c r="F96" s="51">
        <v>936900</v>
      </c>
      <c r="G96" s="72" t="s">
        <v>674</v>
      </c>
      <c r="H96" s="42" t="s">
        <v>665</v>
      </c>
      <c r="I96" s="69" t="s">
        <v>174</v>
      </c>
      <c r="J96" s="69" t="s">
        <v>72</v>
      </c>
      <c r="K96" s="74" t="s">
        <v>342</v>
      </c>
      <c r="L96" s="74">
        <v>936900</v>
      </c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  <c r="BW96" s="68"/>
      <c r="BX96" s="68"/>
      <c r="BY96" s="68"/>
      <c r="BZ96" s="68"/>
      <c r="CA96" s="68"/>
      <c r="CB96" s="68"/>
      <c r="CC96" s="68"/>
      <c r="CD96" s="68"/>
      <c r="CE96" s="68"/>
      <c r="CF96" s="68"/>
      <c r="CG96" s="68"/>
      <c r="CH96" s="68"/>
      <c r="CI96" s="68"/>
      <c r="CJ96" s="68"/>
      <c r="CK96" s="68"/>
      <c r="CL96" s="68"/>
      <c r="CM96" s="68"/>
      <c r="CN96" s="68"/>
      <c r="CO96" s="68"/>
      <c r="CP96" s="68"/>
      <c r="CQ96" s="68"/>
      <c r="CR96" s="68"/>
      <c r="CS96" s="68"/>
      <c r="CT96" s="68"/>
      <c r="CU96" s="68"/>
      <c r="CV96" s="68"/>
      <c r="CW96" s="68"/>
      <c r="CX96" s="68"/>
      <c r="CY96" s="68"/>
      <c r="CZ96" s="68"/>
      <c r="DA96" s="68"/>
      <c r="DB96" s="68"/>
      <c r="DC96" s="68"/>
      <c r="DD96" s="68"/>
      <c r="DE96" s="68"/>
      <c r="DF96" s="68"/>
      <c r="DG96" s="68"/>
      <c r="DH96" s="68"/>
      <c r="DI96" s="68"/>
      <c r="DJ96" s="68"/>
      <c r="DK96" s="68"/>
      <c r="DL96" s="68"/>
      <c r="DM96" s="68"/>
      <c r="DN96" s="68"/>
      <c r="DO96" s="68"/>
      <c r="DP96" s="68"/>
      <c r="DQ96" s="68"/>
      <c r="DR96" s="68"/>
      <c r="DS96" s="68"/>
      <c r="DT96" s="68"/>
      <c r="DU96" s="68"/>
      <c r="DV96" s="68"/>
      <c r="DW96" s="68"/>
      <c r="DX96" s="68"/>
      <c r="DY96" s="68"/>
      <c r="DZ96" s="68"/>
      <c r="EA96" s="68"/>
      <c r="EB96" s="68"/>
      <c r="EC96" s="68"/>
      <c r="ED96" s="68"/>
      <c r="EE96" s="68"/>
      <c r="EF96" s="68"/>
      <c r="EG96" s="68"/>
      <c r="EH96" s="68"/>
      <c r="EI96" s="68"/>
      <c r="EJ96" s="68"/>
      <c r="EK96" s="68"/>
      <c r="EL96" s="68"/>
      <c r="EM96" s="68"/>
      <c r="EN96" s="68"/>
      <c r="EO96" s="68"/>
      <c r="EP96" s="68"/>
      <c r="EQ96" s="68"/>
      <c r="ER96" s="68"/>
      <c r="ES96" s="68"/>
      <c r="ET96" s="68"/>
      <c r="EU96" s="68"/>
      <c r="EV96" s="68"/>
      <c r="EW96" s="68"/>
      <c r="EX96" s="68"/>
      <c r="EY96" s="68"/>
      <c r="EZ96" s="68"/>
      <c r="FA96" s="68"/>
      <c r="FB96" s="68"/>
      <c r="FC96" s="68"/>
      <c r="FD96" s="68"/>
      <c r="FE96" s="68"/>
      <c r="FF96" s="68"/>
      <c r="FG96" s="68"/>
      <c r="FH96" s="68"/>
      <c r="FI96" s="68"/>
      <c r="FJ96" s="68"/>
      <c r="FK96" s="68"/>
      <c r="FL96" s="68"/>
      <c r="FM96" s="68"/>
      <c r="FN96" s="68"/>
      <c r="FO96" s="68"/>
      <c r="FP96" s="68"/>
      <c r="FQ96" s="68"/>
      <c r="FR96" s="68"/>
      <c r="FS96" s="68"/>
      <c r="FT96" s="68"/>
      <c r="FU96" s="68"/>
      <c r="FV96" s="68"/>
      <c r="FW96" s="68"/>
      <c r="FX96" s="68"/>
      <c r="FY96" s="68"/>
      <c r="FZ96" s="68"/>
      <c r="GA96" s="68"/>
      <c r="GB96" s="68"/>
      <c r="GC96" s="68"/>
      <c r="GD96" s="68"/>
      <c r="GE96" s="68"/>
      <c r="GF96" s="68"/>
      <c r="GG96" s="68"/>
      <c r="GH96" s="68"/>
      <c r="GI96" s="68"/>
      <c r="GJ96" s="68"/>
      <c r="GK96" s="68"/>
      <c r="GL96" s="68"/>
      <c r="GM96" s="68"/>
      <c r="GN96" s="68"/>
      <c r="GO96" s="68"/>
      <c r="GP96" s="68"/>
      <c r="GQ96" s="68"/>
      <c r="GR96" s="68"/>
      <c r="GS96" s="68"/>
      <c r="GT96" s="68"/>
      <c r="GU96" s="68"/>
      <c r="GV96" s="68"/>
      <c r="GW96" s="68"/>
      <c r="GX96" s="68"/>
      <c r="GY96" s="68"/>
      <c r="GZ96" s="68"/>
      <c r="HA96" s="68"/>
      <c r="HB96" s="68"/>
      <c r="HC96" s="68"/>
      <c r="HD96" s="68"/>
      <c r="HE96" s="68"/>
      <c r="HF96" s="68"/>
      <c r="HG96" s="68"/>
      <c r="HH96" s="68"/>
      <c r="HI96" s="68"/>
      <c r="HJ96" s="68"/>
      <c r="HK96" s="68"/>
      <c r="HL96" s="68"/>
      <c r="HM96" s="68"/>
      <c r="HN96" s="68"/>
      <c r="HO96" s="68"/>
      <c r="HP96" s="68"/>
      <c r="HQ96" s="68"/>
      <c r="HR96" s="68"/>
      <c r="HS96" s="68"/>
      <c r="HT96" s="68"/>
      <c r="HU96" s="68"/>
      <c r="HV96" s="68"/>
      <c r="HW96" s="68"/>
      <c r="HX96" s="68"/>
      <c r="HY96" s="68"/>
      <c r="HZ96" s="68"/>
      <c r="IA96" s="68"/>
      <c r="IB96" s="68"/>
      <c r="IC96" s="68"/>
      <c r="ID96" s="68"/>
      <c r="IE96" s="68"/>
      <c r="IF96" s="68"/>
      <c r="IG96" s="68"/>
      <c r="IH96" s="68"/>
      <c r="II96" s="68"/>
      <c r="IJ96" s="68"/>
      <c r="IK96" s="68"/>
      <c r="IL96" s="68"/>
      <c r="IM96" s="68"/>
      <c r="IN96" s="68"/>
      <c r="IO96" s="68"/>
      <c r="IP96" s="68"/>
      <c r="IQ96" s="68"/>
      <c r="IR96" s="68"/>
      <c r="IS96" s="68"/>
      <c r="IT96" s="68"/>
      <c r="IU96" s="68"/>
      <c r="IV96" s="68"/>
      <c r="IW96" s="68"/>
      <c r="IX96" s="68"/>
      <c r="IY96" s="68"/>
      <c r="IZ96" s="68"/>
      <c r="JA96" s="68"/>
      <c r="JB96" s="68"/>
      <c r="JC96" s="68"/>
      <c r="JD96" s="68"/>
      <c r="JE96" s="68"/>
      <c r="JF96" s="68"/>
      <c r="JG96" s="68"/>
      <c r="JH96" s="68"/>
      <c r="JI96" s="68"/>
      <c r="JJ96" s="68"/>
      <c r="JK96" s="68"/>
      <c r="JL96" s="68"/>
      <c r="JM96" s="68"/>
      <c r="JN96" s="68"/>
      <c r="JO96" s="68"/>
      <c r="JP96" s="68"/>
      <c r="JQ96" s="68"/>
      <c r="JR96" s="68"/>
      <c r="JS96" s="68"/>
      <c r="JT96" s="68"/>
      <c r="JU96" s="68"/>
      <c r="JV96" s="68"/>
      <c r="JW96" s="68"/>
      <c r="JX96" s="68"/>
      <c r="JY96" s="68"/>
      <c r="JZ96" s="68"/>
      <c r="KA96" s="68"/>
      <c r="KB96" s="68"/>
      <c r="KC96" s="68"/>
      <c r="KD96" s="68"/>
      <c r="KE96" s="68"/>
      <c r="KF96" s="68"/>
      <c r="KG96" s="68"/>
      <c r="KH96" s="68"/>
      <c r="KI96" s="68"/>
      <c r="KJ96" s="68"/>
      <c r="KK96" s="68"/>
      <c r="KL96" s="68"/>
      <c r="KM96" s="68"/>
      <c r="KN96" s="68"/>
      <c r="KO96" s="68"/>
      <c r="KP96" s="68"/>
      <c r="KQ96" s="68"/>
      <c r="KR96" s="68"/>
      <c r="KS96" s="68"/>
      <c r="KT96" s="68"/>
      <c r="KU96" s="68"/>
      <c r="KV96" s="68"/>
      <c r="KW96" s="68"/>
      <c r="KX96" s="68"/>
      <c r="KY96" s="68"/>
      <c r="KZ96" s="68"/>
      <c r="LA96" s="68"/>
      <c r="LB96" s="68"/>
      <c r="LC96" s="68"/>
      <c r="LD96" s="68"/>
      <c r="LE96" s="68"/>
      <c r="LF96" s="68"/>
      <c r="LG96" s="68"/>
      <c r="LH96" s="68"/>
      <c r="LI96" s="68"/>
      <c r="LJ96" s="68"/>
      <c r="LK96" s="68"/>
      <c r="LL96" s="68"/>
      <c r="LM96" s="68"/>
      <c r="LN96" s="68"/>
      <c r="LO96" s="68"/>
      <c r="LP96" s="68"/>
      <c r="LQ96" s="68"/>
      <c r="LR96" s="68"/>
      <c r="LS96" s="68"/>
      <c r="LT96" s="68"/>
      <c r="LU96" s="68"/>
      <c r="LV96" s="68"/>
      <c r="LW96" s="68"/>
      <c r="LX96" s="68"/>
      <c r="LY96" s="68"/>
      <c r="LZ96" s="68"/>
      <c r="MA96" s="68"/>
      <c r="MB96" s="68"/>
      <c r="MC96" s="68"/>
      <c r="MD96" s="68"/>
      <c r="ME96" s="68"/>
      <c r="MF96" s="68"/>
      <c r="MG96" s="68"/>
      <c r="MH96" s="68"/>
      <c r="MI96" s="68"/>
      <c r="MJ96" s="68"/>
      <c r="MK96" s="68"/>
      <c r="ML96" s="68"/>
      <c r="MM96" s="68"/>
      <c r="MN96" s="68"/>
      <c r="MO96" s="68"/>
      <c r="MP96" s="68"/>
      <c r="MQ96" s="68"/>
      <c r="MR96" s="68"/>
      <c r="MS96" s="68"/>
      <c r="MT96" s="68"/>
      <c r="MU96" s="68"/>
      <c r="MV96" s="68"/>
      <c r="MW96" s="68"/>
      <c r="MX96" s="68"/>
      <c r="MY96" s="68"/>
      <c r="MZ96" s="68"/>
      <c r="NA96" s="68"/>
      <c r="NB96" s="68"/>
      <c r="NC96" s="68"/>
      <c r="ND96" s="68"/>
      <c r="NE96" s="68"/>
      <c r="NF96" s="68"/>
      <c r="NG96" s="68"/>
      <c r="NH96" s="68"/>
      <c r="NI96" s="68"/>
      <c r="NJ96" s="68"/>
      <c r="NK96" s="68"/>
      <c r="NL96" s="68"/>
      <c r="NM96" s="68"/>
      <c r="NN96" s="68"/>
      <c r="NO96" s="68"/>
      <c r="NP96" s="68"/>
      <c r="NQ96" s="68"/>
      <c r="NR96" s="68"/>
      <c r="NS96" s="68"/>
      <c r="NT96" s="68"/>
      <c r="NU96" s="68"/>
      <c r="NV96" s="68"/>
      <c r="NW96" s="68"/>
      <c r="NX96" s="68"/>
      <c r="NY96" s="68"/>
      <c r="NZ96" s="68"/>
      <c r="OA96" s="68"/>
      <c r="OB96" s="68"/>
      <c r="OC96" s="68"/>
      <c r="OD96" s="68"/>
      <c r="OE96" s="68"/>
      <c r="OF96" s="68"/>
      <c r="OG96" s="68"/>
      <c r="OH96" s="68"/>
      <c r="OI96" s="68"/>
      <c r="OJ96" s="68"/>
      <c r="OK96" s="68"/>
      <c r="OL96" s="68"/>
      <c r="OM96" s="68"/>
      <c r="ON96" s="68"/>
      <c r="OO96" s="68"/>
      <c r="OP96" s="68"/>
      <c r="OQ96" s="68"/>
      <c r="OR96" s="68"/>
      <c r="OS96" s="68"/>
      <c r="OT96" s="68"/>
      <c r="OU96" s="68"/>
      <c r="OV96" s="68"/>
      <c r="OW96" s="68"/>
      <c r="OX96" s="68"/>
      <c r="OY96" s="68"/>
      <c r="OZ96" s="68"/>
      <c r="PA96" s="68"/>
      <c r="PB96" s="68"/>
      <c r="PC96" s="68"/>
      <c r="PD96" s="68"/>
      <c r="PE96" s="68"/>
      <c r="PF96" s="68"/>
      <c r="PG96" s="68"/>
      <c r="PH96" s="68"/>
      <c r="PI96" s="68"/>
      <c r="PJ96" s="68"/>
      <c r="PK96" s="68"/>
      <c r="PL96" s="68"/>
      <c r="PM96" s="68"/>
      <c r="PN96" s="68"/>
      <c r="PO96" s="68"/>
      <c r="PP96" s="68"/>
      <c r="PQ96" s="68"/>
      <c r="PR96" s="68"/>
      <c r="PS96" s="68"/>
      <c r="PT96" s="68"/>
      <c r="PU96" s="68"/>
      <c r="PV96" s="68"/>
      <c r="PW96" s="68"/>
      <c r="PX96" s="68"/>
      <c r="PY96" s="68"/>
      <c r="PZ96" s="68"/>
      <c r="QA96" s="68"/>
      <c r="QB96" s="68"/>
      <c r="QC96" s="68"/>
      <c r="QD96" s="68"/>
      <c r="QE96" s="68"/>
      <c r="QF96" s="68"/>
      <c r="QG96" s="68"/>
      <c r="QH96" s="68"/>
      <c r="QI96" s="68"/>
      <c r="QJ96" s="68"/>
      <c r="QK96" s="68"/>
      <c r="QL96" s="68"/>
      <c r="QM96" s="68"/>
      <c r="QN96" s="68"/>
      <c r="QO96" s="68"/>
      <c r="QP96" s="68"/>
      <c r="QQ96" s="68"/>
      <c r="QR96" s="68"/>
      <c r="QS96" s="68"/>
      <c r="QT96" s="68"/>
      <c r="QU96" s="68"/>
      <c r="QV96" s="68"/>
      <c r="QW96" s="68"/>
      <c r="QX96" s="68"/>
      <c r="QY96" s="68"/>
      <c r="QZ96" s="68"/>
      <c r="RA96" s="68"/>
      <c r="RB96" s="68"/>
      <c r="RC96" s="68"/>
      <c r="RD96" s="68"/>
      <c r="RE96" s="68"/>
      <c r="RF96" s="68"/>
      <c r="RG96" s="68"/>
      <c r="RH96" s="68"/>
      <c r="RI96" s="68"/>
      <c r="RJ96" s="68"/>
      <c r="RK96" s="68"/>
      <c r="RL96" s="68"/>
      <c r="RM96" s="68"/>
      <c r="RN96" s="68"/>
      <c r="RO96" s="68"/>
      <c r="RP96" s="68"/>
      <c r="RQ96" s="68"/>
      <c r="RR96" s="68"/>
      <c r="RS96" s="68"/>
      <c r="RT96" s="68"/>
      <c r="RU96" s="68"/>
      <c r="RV96" s="68"/>
      <c r="RW96" s="68"/>
      <c r="RX96" s="68"/>
      <c r="RY96" s="68"/>
      <c r="RZ96" s="68"/>
      <c r="SA96" s="68"/>
      <c r="SB96" s="68"/>
      <c r="SC96" s="68"/>
      <c r="SD96" s="68"/>
      <c r="SE96" s="68"/>
      <c r="SF96" s="68"/>
      <c r="SG96" s="68"/>
      <c r="SH96" s="68"/>
      <c r="SI96" s="68"/>
      <c r="SJ96" s="68"/>
      <c r="SK96" s="68"/>
      <c r="SL96" s="68"/>
      <c r="SM96" s="68"/>
      <c r="SN96" s="68"/>
      <c r="SO96" s="68"/>
      <c r="SP96" s="68"/>
      <c r="SQ96" s="68"/>
      <c r="SR96" s="68"/>
      <c r="SS96" s="68"/>
      <c r="ST96" s="68"/>
      <c r="SU96" s="68"/>
      <c r="SV96" s="68"/>
      <c r="SW96" s="68"/>
      <c r="SX96" s="68"/>
      <c r="SY96" s="68"/>
      <c r="SZ96" s="68"/>
      <c r="TA96" s="68"/>
      <c r="TB96" s="68"/>
      <c r="TC96" s="68"/>
      <c r="TD96" s="68"/>
      <c r="TE96" s="68"/>
      <c r="TF96" s="68"/>
      <c r="TG96" s="68"/>
      <c r="TH96" s="68"/>
      <c r="TI96" s="68"/>
      <c r="TJ96" s="68"/>
      <c r="TK96" s="68"/>
      <c r="TL96" s="68"/>
      <c r="TM96" s="68"/>
      <c r="TN96" s="68"/>
      <c r="TO96" s="68"/>
      <c r="TP96" s="68"/>
      <c r="TQ96" s="68"/>
      <c r="TR96" s="68"/>
      <c r="TS96" s="68"/>
      <c r="TT96" s="68"/>
      <c r="TU96" s="68"/>
      <c r="TV96" s="68"/>
      <c r="TW96" s="68"/>
      <c r="TX96" s="68"/>
      <c r="TY96" s="68"/>
      <c r="TZ96" s="68"/>
      <c r="UA96" s="68"/>
      <c r="UB96" s="68"/>
      <c r="UC96" s="68"/>
      <c r="UD96" s="68"/>
      <c r="UE96" s="68"/>
      <c r="UF96" s="68"/>
      <c r="UG96" s="68"/>
      <c r="UH96" s="68"/>
      <c r="UI96" s="68"/>
      <c r="UJ96" s="68"/>
      <c r="UK96" s="68"/>
      <c r="UL96" s="68"/>
      <c r="UM96" s="68"/>
      <c r="UN96" s="68"/>
      <c r="UO96" s="68"/>
      <c r="UP96" s="68"/>
      <c r="UQ96" s="68"/>
      <c r="UR96" s="68"/>
      <c r="US96" s="68"/>
      <c r="UT96" s="68"/>
      <c r="UU96" s="68"/>
      <c r="UV96" s="68"/>
      <c r="UW96" s="68"/>
      <c r="UX96" s="68"/>
      <c r="UY96" s="68"/>
      <c r="UZ96" s="68"/>
      <c r="VA96" s="68"/>
      <c r="VB96" s="68"/>
      <c r="VC96" s="68"/>
      <c r="VD96" s="68"/>
      <c r="VE96" s="68"/>
      <c r="VF96" s="68"/>
      <c r="VG96" s="68"/>
      <c r="VH96" s="68"/>
      <c r="VI96" s="68"/>
      <c r="VJ96" s="68"/>
      <c r="VK96" s="68"/>
      <c r="VL96" s="68"/>
      <c r="VM96" s="68"/>
      <c r="VN96" s="68"/>
      <c r="VO96" s="68"/>
      <c r="VP96" s="68"/>
      <c r="VQ96" s="68"/>
      <c r="VR96" s="68"/>
      <c r="VS96" s="68"/>
      <c r="VT96" s="68"/>
      <c r="VU96" s="68"/>
      <c r="VV96" s="68"/>
      <c r="VW96" s="68"/>
      <c r="VX96" s="68"/>
      <c r="VY96" s="68"/>
      <c r="VZ96" s="68"/>
      <c r="WA96" s="68"/>
      <c r="WB96" s="68"/>
      <c r="WC96" s="68"/>
      <c r="WD96" s="68"/>
      <c r="WE96" s="68"/>
      <c r="WF96" s="68"/>
      <c r="WG96" s="68"/>
      <c r="WH96" s="68"/>
      <c r="WI96" s="68"/>
      <c r="WJ96" s="68"/>
      <c r="WK96" s="68"/>
      <c r="WL96" s="68"/>
      <c r="WM96" s="68"/>
      <c r="WN96" s="68"/>
      <c r="WO96" s="68"/>
      <c r="WP96" s="68"/>
      <c r="WQ96" s="68"/>
      <c r="WR96" s="68"/>
      <c r="WS96" s="68"/>
      <c r="WT96" s="68"/>
      <c r="WU96" s="68"/>
      <c r="WV96" s="68"/>
      <c r="WW96" s="68"/>
      <c r="WX96" s="68"/>
      <c r="WY96" s="68"/>
      <c r="WZ96" s="68"/>
      <c r="XA96" s="68"/>
      <c r="XB96" s="68"/>
      <c r="XC96" s="68"/>
      <c r="XD96" s="68"/>
      <c r="XE96" s="68"/>
      <c r="XF96" s="68"/>
      <c r="XG96" s="68"/>
      <c r="XH96" s="68"/>
      <c r="XI96" s="68"/>
      <c r="XJ96" s="68"/>
      <c r="XK96" s="68"/>
      <c r="XL96" s="68"/>
      <c r="XM96" s="68"/>
      <c r="XN96" s="68"/>
      <c r="XO96" s="68"/>
      <c r="XP96" s="68"/>
      <c r="XQ96" s="68"/>
      <c r="XR96" s="68"/>
      <c r="XS96" s="68"/>
      <c r="XT96" s="68"/>
      <c r="XU96" s="68"/>
      <c r="XV96" s="68"/>
      <c r="XW96" s="68"/>
      <c r="XX96" s="68"/>
      <c r="XY96" s="68"/>
      <c r="XZ96" s="68"/>
      <c r="YA96" s="68"/>
      <c r="YB96" s="68"/>
      <c r="YC96" s="68"/>
      <c r="YD96" s="68"/>
      <c r="YE96" s="68"/>
      <c r="YF96" s="68"/>
      <c r="YG96" s="68"/>
      <c r="YH96" s="68"/>
      <c r="YI96" s="68"/>
      <c r="YJ96" s="68"/>
      <c r="YK96" s="68"/>
      <c r="YL96" s="68"/>
      <c r="YM96" s="68"/>
      <c r="YN96" s="68"/>
      <c r="YO96" s="68"/>
      <c r="YP96" s="68"/>
      <c r="YQ96" s="68"/>
      <c r="YR96" s="68"/>
      <c r="YS96" s="68"/>
      <c r="YT96" s="68"/>
      <c r="YU96" s="68"/>
      <c r="YV96" s="68"/>
      <c r="YW96" s="68"/>
      <c r="YX96" s="68"/>
      <c r="YY96" s="68"/>
      <c r="YZ96" s="68"/>
      <c r="ZA96" s="68"/>
      <c r="ZB96" s="68"/>
      <c r="ZC96" s="68"/>
      <c r="ZD96" s="68"/>
      <c r="ZE96" s="68"/>
      <c r="ZF96" s="68"/>
      <c r="ZG96" s="68"/>
      <c r="ZH96" s="68"/>
      <c r="ZI96" s="68"/>
      <c r="ZJ96" s="68"/>
      <c r="ZK96" s="68"/>
      <c r="ZL96" s="68"/>
      <c r="ZM96" s="68"/>
      <c r="ZN96" s="68"/>
      <c r="ZO96" s="68"/>
      <c r="ZP96" s="68"/>
      <c r="ZQ96" s="68"/>
      <c r="ZR96" s="68"/>
      <c r="ZS96" s="68"/>
      <c r="ZT96" s="68"/>
      <c r="ZU96" s="68"/>
      <c r="ZV96" s="68"/>
      <c r="ZW96" s="68"/>
      <c r="ZX96" s="68"/>
      <c r="ZY96" s="68"/>
      <c r="ZZ96" s="68"/>
      <c r="AAA96" s="68"/>
      <c r="AAB96" s="68"/>
      <c r="AAC96" s="68"/>
      <c r="AAD96" s="68"/>
      <c r="AAE96" s="68"/>
      <c r="AAF96" s="68"/>
      <c r="AAG96" s="68"/>
      <c r="AAH96" s="68"/>
      <c r="AAI96" s="68"/>
      <c r="AAJ96" s="68"/>
      <c r="AAK96" s="68"/>
      <c r="AAL96" s="68"/>
      <c r="AAM96" s="68"/>
      <c r="AAN96" s="68"/>
      <c r="AAO96" s="68"/>
      <c r="AAP96" s="68"/>
      <c r="AAQ96" s="68"/>
      <c r="AAR96" s="68"/>
      <c r="AAS96" s="68"/>
      <c r="AAT96" s="68"/>
      <c r="AAU96" s="68"/>
      <c r="AAV96" s="68"/>
      <c r="AAW96" s="68"/>
      <c r="AAX96" s="68"/>
      <c r="AAY96" s="68"/>
      <c r="AAZ96" s="68"/>
      <c r="ABA96" s="68"/>
      <c r="ABB96" s="68"/>
      <c r="ABC96" s="68"/>
      <c r="ABD96" s="68"/>
      <c r="ABE96" s="68"/>
      <c r="ABF96" s="68"/>
      <c r="ABG96" s="68"/>
      <c r="ABH96" s="68"/>
      <c r="ABI96" s="68"/>
      <c r="ABJ96" s="68"/>
      <c r="ABK96" s="68"/>
      <c r="ABL96" s="68"/>
      <c r="ABM96" s="68"/>
      <c r="ABN96" s="68"/>
      <c r="ABO96" s="68"/>
      <c r="ABP96" s="68"/>
      <c r="ABQ96" s="68"/>
      <c r="ABR96" s="68"/>
      <c r="ABS96" s="68"/>
      <c r="ABT96" s="68"/>
      <c r="ABU96" s="68"/>
      <c r="ABV96" s="68"/>
      <c r="ABW96" s="68"/>
      <c r="ABX96" s="68"/>
      <c r="ABY96" s="68"/>
      <c r="ABZ96" s="68"/>
      <c r="ACA96" s="68"/>
      <c r="ACB96" s="68"/>
      <c r="ACC96" s="68"/>
      <c r="ACD96" s="68"/>
      <c r="ACE96" s="68"/>
      <c r="ACF96" s="68"/>
      <c r="ACG96" s="68"/>
      <c r="ACH96" s="68"/>
      <c r="ACI96" s="68"/>
      <c r="ACJ96" s="68"/>
      <c r="ACK96" s="68"/>
      <c r="ACL96" s="68"/>
      <c r="ACM96" s="68"/>
      <c r="ACN96" s="68"/>
      <c r="ACO96" s="68"/>
      <c r="ACP96" s="68"/>
      <c r="ACQ96" s="68"/>
      <c r="ACR96" s="68"/>
      <c r="ACS96" s="68"/>
      <c r="ACT96" s="68"/>
      <c r="ACU96" s="68"/>
      <c r="ACV96" s="68"/>
      <c r="ACW96" s="68"/>
      <c r="ACX96" s="68"/>
      <c r="ACY96" s="68"/>
      <c r="ACZ96" s="68"/>
      <c r="ADA96" s="68"/>
      <c r="ADB96" s="68"/>
      <c r="ADC96" s="68"/>
      <c r="ADD96" s="68"/>
      <c r="ADE96" s="68"/>
      <c r="ADF96" s="68"/>
      <c r="ADG96" s="68"/>
      <c r="ADH96" s="68"/>
      <c r="ADI96" s="68"/>
      <c r="ADJ96" s="68"/>
      <c r="ADK96" s="68"/>
      <c r="ADL96" s="68"/>
      <c r="ADM96" s="68"/>
      <c r="ADN96" s="68"/>
      <c r="ADO96" s="68"/>
      <c r="ADP96" s="68"/>
      <c r="ADQ96" s="68"/>
      <c r="ADR96" s="68"/>
      <c r="ADS96" s="68"/>
      <c r="ADT96" s="68"/>
      <c r="ADU96" s="68"/>
      <c r="ADV96" s="68"/>
      <c r="ADW96" s="68"/>
      <c r="ADX96" s="68"/>
      <c r="ADY96" s="68"/>
      <c r="ADZ96" s="68"/>
      <c r="AEA96" s="68"/>
      <c r="AEB96" s="68"/>
      <c r="AEC96" s="68"/>
      <c r="AED96" s="68"/>
      <c r="AEE96" s="68"/>
      <c r="AEF96" s="68"/>
      <c r="AEG96" s="68"/>
      <c r="AEH96" s="68"/>
      <c r="AEI96" s="68"/>
      <c r="AEJ96" s="68"/>
      <c r="AEK96" s="68"/>
      <c r="AEL96" s="68"/>
      <c r="AEM96" s="68"/>
      <c r="AEN96" s="68"/>
      <c r="AEO96" s="68"/>
      <c r="AEP96" s="68"/>
      <c r="AEQ96" s="68"/>
      <c r="AER96" s="68"/>
      <c r="AES96" s="68"/>
      <c r="AET96" s="68"/>
      <c r="AEU96" s="68"/>
      <c r="AEV96" s="68"/>
      <c r="AEW96" s="68"/>
      <c r="AEX96" s="68"/>
      <c r="AEY96" s="68"/>
      <c r="AEZ96" s="68"/>
      <c r="AFA96" s="68"/>
      <c r="AFB96" s="68"/>
      <c r="AFC96" s="68"/>
      <c r="AFD96" s="68"/>
      <c r="AFE96" s="68"/>
      <c r="AFF96" s="68"/>
      <c r="AFG96" s="68"/>
      <c r="AFH96" s="68"/>
      <c r="AFI96" s="68"/>
      <c r="AFJ96" s="68"/>
      <c r="AFK96" s="68"/>
      <c r="AFL96" s="68"/>
      <c r="AFM96" s="68"/>
      <c r="AFN96" s="68"/>
      <c r="AFO96" s="68"/>
      <c r="AFP96" s="68"/>
      <c r="AFQ96" s="68"/>
      <c r="AFR96" s="68"/>
      <c r="AFS96" s="68"/>
      <c r="AFT96" s="68"/>
      <c r="AFU96" s="68"/>
      <c r="AFV96" s="68"/>
      <c r="AFW96" s="68"/>
      <c r="AFX96" s="68"/>
      <c r="AFY96" s="68"/>
      <c r="AFZ96" s="68"/>
      <c r="AGA96" s="68"/>
      <c r="AGB96" s="68"/>
      <c r="AGC96" s="68"/>
      <c r="AGD96" s="68"/>
      <c r="AGE96" s="68"/>
      <c r="AGF96" s="68"/>
      <c r="AGG96" s="68"/>
      <c r="AGH96" s="68"/>
      <c r="AGI96" s="68"/>
      <c r="AGJ96" s="68"/>
      <c r="AGK96" s="68"/>
      <c r="AGL96" s="68"/>
      <c r="AGM96" s="68"/>
      <c r="AGN96" s="68"/>
      <c r="AGO96" s="68"/>
      <c r="AGP96" s="68"/>
      <c r="AGQ96" s="68"/>
      <c r="AGR96" s="68"/>
      <c r="AGS96" s="68"/>
      <c r="AGT96" s="68"/>
      <c r="AGU96" s="68"/>
      <c r="AGV96" s="68"/>
      <c r="AGW96" s="68"/>
      <c r="AGX96" s="68"/>
      <c r="AGY96" s="68"/>
      <c r="AGZ96" s="68"/>
      <c r="AHA96" s="68"/>
      <c r="AHB96" s="68"/>
      <c r="AHC96" s="68"/>
      <c r="AHD96" s="68"/>
      <c r="AHE96" s="68"/>
      <c r="AHF96" s="68"/>
      <c r="AHG96" s="68"/>
      <c r="AHH96" s="68"/>
      <c r="AHI96" s="68"/>
      <c r="AHJ96" s="68"/>
      <c r="AHK96" s="68"/>
      <c r="AHL96" s="68"/>
      <c r="AHM96" s="68"/>
      <c r="AHN96" s="68"/>
      <c r="AHO96" s="68"/>
      <c r="AHP96" s="68"/>
      <c r="AHQ96" s="68"/>
      <c r="AHR96" s="68"/>
      <c r="AHS96" s="68"/>
      <c r="AHT96" s="68"/>
      <c r="AHU96" s="68"/>
      <c r="AHV96" s="68"/>
      <c r="AHW96" s="68"/>
      <c r="AHX96" s="68"/>
      <c r="AHY96" s="68"/>
      <c r="AHZ96" s="68"/>
      <c r="AIA96" s="68"/>
      <c r="AIB96" s="68"/>
      <c r="AIC96" s="68"/>
      <c r="AID96" s="68"/>
      <c r="AIE96" s="68"/>
      <c r="AIF96" s="68"/>
      <c r="AIG96" s="68"/>
      <c r="AIH96" s="68"/>
      <c r="AII96" s="68"/>
      <c r="AIJ96" s="68"/>
      <c r="AIK96" s="68"/>
      <c r="AIL96" s="68"/>
      <c r="AIM96" s="68"/>
      <c r="AIN96" s="68"/>
      <c r="AIO96" s="68"/>
      <c r="AIP96" s="68"/>
      <c r="AIQ96" s="68"/>
      <c r="AIR96" s="68"/>
      <c r="AIS96" s="68"/>
      <c r="AIT96" s="68"/>
      <c r="AIU96" s="68"/>
      <c r="AIV96" s="68"/>
      <c r="AIW96" s="68"/>
      <c r="AIX96" s="68"/>
      <c r="AIY96" s="68"/>
      <c r="AIZ96" s="68"/>
      <c r="AJA96" s="68"/>
      <c r="AJB96" s="68"/>
      <c r="AJC96" s="68"/>
      <c r="AJD96" s="68"/>
      <c r="AJE96" s="68"/>
      <c r="AJF96" s="68"/>
      <c r="AJG96" s="68"/>
      <c r="AJH96" s="68"/>
      <c r="AJI96" s="68"/>
      <c r="AJJ96" s="68"/>
      <c r="AJK96" s="68"/>
      <c r="AJL96" s="68"/>
      <c r="AJM96" s="68"/>
      <c r="AJN96" s="68"/>
      <c r="AJO96" s="68"/>
      <c r="AJP96" s="68"/>
      <c r="AJQ96" s="68"/>
      <c r="AJR96" s="68"/>
      <c r="AJS96" s="68"/>
      <c r="AJT96" s="68"/>
      <c r="AJU96" s="68"/>
      <c r="AJV96" s="68"/>
      <c r="AJW96" s="68"/>
      <c r="AJX96" s="68"/>
      <c r="AJY96" s="68"/>
      <c r="AJZ96" s="68"/>
      <c r="AKA96" s="68"/>
      <c r="AKB96" s="68"/>
      <c r="AKC96" s="68"/>
      <c r="AKD96" s="68"/>
      <c r="AKE96" s="68"/>
      <c r="AKF96" s="68"/>
      <c r="AKG96" s="68"/>
      <c r="AKH96" s="68"/>
      <c r="AKI96" s="68"/>
      <c r="AKJ96" s="68"/>
      <c r="AKK96" s="68"/>
      <c r="AKL96" s="68"/>
      <c r="AKM96" s="68"/>
      <c r="AKN96" s="68"/>
      <c r="AKO96" s="68"/>
      <c r="AKP96" s="68"/>
      <c r="AKQ96" s="68"/>
      <c r="AKR96" s="68"/>
      <c r="AKS96" s="68"/>
      <c r="AKT96" s="68"/>
      <c r="AKU96" s="68"/>
      <c r="AKV96" s="68"/>
      <c r="AKW96" s="68"/>
      <c r="AKX96" s="68"/>
      <c r="AKY96" s="68"/>
      <c r="AKZ96" s="68"/>
      <c r="ALA96" s="68"/>
      <c r="ALB96" s="68"/>
      <c r="ALC96" s="68"/>
      <c r="ALD96" s="68"/>
      <c r="ALE96" s="68"/>
      <c r="ALF96" s="68"/>
      <c r="ALG96" s="68"/>
      <c r="ALH96" s="68"/>
      <c r="ALI96" s="68"/>
      <c r="ALJ96" s="68"/>
      <c r="ALK96" s="68"/>
      <c r="ALL96" s="68"/>
      <c r="ALM96" s="68"/>
      <c r="ALN96" s="68"/>
      <c r="ALO96" s="68"/>
      <c r="ALP96" s="68"/>
      <c r="ALQ96" s="68"/>
      <c r="ALR96" s="68"/>
      <c r="ALS96" s="68"/>
      <c r="ALT96" s="68"/>
      <c r="ALU96" s="68"/>
      <c r="ALV96" s="68"/>
      <c r="ALW96" s="68"/>
      <c r="ALX96" s="68"/>
      <c r="ALY96" s="68"/>
      <c r="ALZ96" s="68"/>
      <c r="AMA96" s="68"/>
      <c r="AMB96" s="68"/>
      <c r="AMC96" s="68"/>
      <c r="AMD96" s="68"/>
      <c r="AME96" s="68"/>
      <c r="AMF96" s="68"/>
      <c r="AMG96" s="68"/>
      <c r="AMH96" s="68"/>
      <c r="AMI96" s="68"/>
      <c r="AMJ96" s="68"/>
      <c r="AMK96" s="68"/>
      <c r="AML96" s="68"/>
      <c r="AMM96" s="68"/>
      <c r="AMN96" s="68"/>
      <c r="AMO96" s="68"/>
      <c r="AMP96" s="68"/>
      <c r="AMQ96" s="68"/>
      <c r="AMR96" s="68"/>
      <c r="AMS96" s="68"/>
      <c r="AMT96" s="68"/>
      <c r="AMU96" s="68"/>
      <c r="AMV96" s="68"/>
      <c r="AMW96" s="68"/>
      <c r="AMX96" s="68"/>
      <c r="AMY96" s="68"/>
      <c r="AMZ96" s="68"/>
      <c r="ANA96" s="68"/>
      <c r="ANB96" s="68"/>
      <c r="ANC96" s="68"/>
      <c r="AND96" s="68"/>
      <c r="ANE96" s="68"/>
      <c r="ANF96" s="68"/>
      <c r="ANG96" s="68"/>
      <c r="ANH96" s="68"/>
      <c r="ANI96" s="68"/>
      <c r="ANJ96" s="68"/>
      <c r="ANK96" s="68"/>
      <c r="ANL96" s="68"/>
      <c r="ANM96" s="68"/>
      <c r="ANN96" s="68"/>
      <c r="ANO96" s="68"/>
      <c r="ANP96" s="68"/>
      <c r="ANQ96" s="68"/>
      <c r="ANR96" s="68"/>
      <c r="ANS96" s="68"/>
      <c r="ANT96" s="68"/>
      <c r="ANU96" s="68"/>
      <c r="ANV96" s="68"/>
      <c r="ANW96" s="68"/>
      <c r="ANX96" s="68"/>
      <c r="ANY96" s="68"/>
      <c r="ANZ96" s="68"/>
      <c r="AOA96" s="68"/>
      <c r="AOB96" s="68"/>
      <c r="AOC96" s="68"/>
      <c r="AOD96" s="68"/>
      <c r="AOE96" s="68"/>
      <c r="AOF96" s="68"/>
      <c r="AOG96" s="68"/>
      <c r="AOH96" s="68"/>
      <c r="AOI96" s="68"/>
      <c r="AOJ96" s="68"/>
      <c r="AOK96" s="68"/>
      <c r="AOL96" s="68"/>
      <c r="AOM96" s="68"/>
      <c r="AON96" s="68"/>
      <c r="AOO96" s="68"/>
      <c r="AOP96" s="68"/>
      <c r="AOQ96" s="68"/>
      <c r="AOR96" s="68"/>
      <c r="AOS96" s="68"/>
      <c r="AOT96" s="68"/>
      <c r="AOU96" s="68"/>
      <c r="AOV96" s="68"/>
      <c r="AOW96" s="68"/>
      <c r="AOX96" s="68"/>
      <c r="AOY96" s="68"/>
      <c r="AOZ96" s="68"/>
      <c r="APA96" s="68"/>
      <c r="APB96" s="68"/>
      <c r="APC96" s="68"/>
      <c r="APD96" s="68"/>
      <c r="APE96" s="68"/>
      <c r="APF96" s="68"/>
      <c r="APG96" s="68"/>
      <c r="APH96" s="68"/>
      <c r="API96" s="68"/>
      <c r="APJ96" s="68"/>
      <c r="APK96" s="68"/>
      <c r="APL96" s="68"/>
      <c r="APM96" s="68"/>
      <c r="APN96" s="68"/>
      <c r="APO96" s="68"/>
      <c r="APP96" s="68"/>
      <c r="APQ96" s="68"/>
      <c r="APR96" s="68"/>
      <c r="APS96" s="68"/>
      <c r="APT96" s="68"/>
      <c r="APU96" s="68"/>
      <c r="APV96" s="68"/>
      <c r="APW96" s="68"/>
      <c r="APX96" s="68"/>
      <c r="APY96" s="68"/>
      <c r="APZ96" s="68"/>
      <c r="AQA96" s="68"/>
      <c r="AQB96" s="68"/>
      <c r="AQC96" s="68"/>
      <c r="AQD96" s="68"/>
      <c r="AQE96" s="68"/>
      <c r="AQF96" s="68"/>
      <c r="AQG96" s="68"/>
      <c r="AQH96" s="68"/>
      <c r="AQI96" s="68"/>
      <c r="AQJ96" s="68"/>
      <c r="AQK96" s="68"/>
      <c r="AQL96" s="68"/>
      <c r="AQM96" s="68"/>
      <c r="AQN96" s="68"/>
      <c r="AQO96" s="68"/>
      <c r="AQP96" s="68"/>
      <c r="AQQ96" s="68"/>
      <c r="AQR96" s="68"/>
      <c r="AQS96" s="68"/>
      <c r="AQT96" s="68"/>
      <c r="AQU96" s="68"/>
      <c r="AQV96" s="68"/>
      <c r="AQW96" s="68"/>
      <c r="AQX96" s="68"/>
      <c r="AQY96" s="68"/>
      <c r="AQZ96" s="68"/>
      <c r="ARA96" s="68"/>
      <c r="ARB96" s="68"/>
      <c r="ARC96" s="68"/>
      <c r="ARD96" s="68"/>
      <c r="ARE96" s="68"/>
      <c r="ARF96" s="68"/>
      <c r="ARG96" s="68"/>
      <c r="ARH96" s="68"/>
      <c r="ARI96" s="68"/>
      <c r="ARJ96" s="68"/>
      <c r="ARK96" s="68"/>
      <c r="ARL96" s="68"/>
      <c r="ARM96" s="68"/>
      <c r="ARN96" s="68"/>
      <c r="ARO96" s="68"/>
      <c r="ARP96" s="68"/>
      <c r="ARQ96" s="68"/>
      <c r="ARR96" s="68"/>
      <c r="ARS96" s="68"/>
      <c r="ART96" s="68"/>
      <c r="ARU96" s="68"/>
      <c r="ARV96" s="68"/>
      <c r="ARW96" s="68"/>
      <c r="ARX96" s="68"/>
      <c r="ARY96" s="68"/>
      <c r="ARZ96" s="68"/>
      <c r="ASA96" s="68"/>
      <c r="ASB96" s="68"/>
      <c r="ASC96" s="68"/>
      <c r="ASD96" s="68"/>
      <c r="ASE96" s="68"/>
      <c r="ASF96" s="68"/>
      <c r="ASG96" s="68"/>
      <c r="ASH96" s="68"/>
      <c r="ASI96" s="68"/>
      <c r="ASJ96" s="68"/>
      <c r="ASK96" s="68"/>
      <c r="ASL96" s="68"/>
      <c r="ASM96" s="68"/>
      <c r="ASN96" s="68"/>
      <c r="ASO96" s="68"/>
      <c r="ASP96" s="68"/>
      <c r="ASQ96" s="68"/>
      <c r="ASR96" s="68"/>
      <c r="ASS96" s="68"/>
      <c r="AST96" s="68"/>
      <c r="ASU96" s="68"/>
      <c r="ASV96" s="68"/>
      <c r="ASW96" s="68"/>
      <c r="ASX96" s="68"/>
      <c r="ASY96" s="68"/>
      <c r="ASZ96" s="68"/>
      <c r="ATA96" s="68"/>
      <c r="ATB96" s="68"/>
      <c r="ATC96" s="68"/>
      <c r="ATD96" s="68"/>
      <c r="ATE96" s="68"/>
      <c r="ATF96" s="68"/>
      <c r="ATG96" s="68"/>
      <c r="ATH96" s="68"/>
      <c r="ATI96" s="68"/>
      <c r="ATJ96" s="68"/>
      <c r="ATK96" s="68"/>
      <c r="ATL96" s="68"/>
      <c r="ATM96" s="68"/>
      <c r="ATN96" s="68"/>
      <c r="ATO96" s="68"/>
      <c r="ATP96" s="68"/>
      <c r="ATQ96" s="68"/>
      <c r="ATR96" s="68"/>
      <c r="ATS96" s="68"/>
      <c r="ATT96" s="68"/>
      <c r="ATU96" s="68"/>
      <c r="ATV96" s="68"/>
      <c r="ATW96" s="68"/>
      <c r="ATX96" s="68"/>
      <c r="ATY96" s="68"/>
      <c r="ATZ96" s="68"/>
      <c r="AUA96" s="68"/>
      <c r="AUB96" s="68"/>
      <c r="AUC96" s="68"/>
      <c r="AUD96" s="68"/>
      <c r="AUE96" s="68"/>
      <c r="AUF96" s="68"/>
      <c r="AUG96" s="68"/>
      <c r="AUH96" s="68"/>
      <c r="AUI96" s="68"/>
      <c r="AUJ96" s="68"/>
      <c r="AUK96" s="68"/>
      <c r="AUL96" s="68"/>
      <c r="AUM96" s="68"/>
      <c r="AUN96" s="68"/>
      <c r="AUO96" s="68"/>
      <c r="AUP96" s="68"/>
      <c r="AUQ96" s="68"/>
      <c r="AUR96" s="68"/>
      <c r="AUS96" s="68"/>
      <c r="AUT96" s="68"/>
      <c r="AUU96" s="68"/>
      <c r="AUV96" s="68"/>
      <c r="AUW96" s="68"/>
      <c r="AUX96" s="68"/>
      <c r="AUY96" s="68"/>
      <c r="AUZ96" s="68"/>
      <c r="AVA96" s="68"/>
      <c r="AVB96" s="68"/>
      <c r="AVC96" s="68"/>
      <c r="AVD96" s="68"/>
      <c r="AVE96" s="68"/>
      <c r="AVF96" s="68"/>
      <c r="AVG96" s="68"/>
      <c r="AVH96" s="68"/>
      <c r="AVI96" s="68"/>
      <c r="AVJ96" s="68"/>
      <c r="AVK96" s="68"/>
      <c r="AVL96" s="68"/>
      <c r="AVM96" s="68"/>
      <c r="AVN96" s="68"/>
      <c r="AVO96" s="68"/>
      <c r="AVP96" s="68"/>
      <c r="AVQ96" s="68"/>
      <c r="AVR96" s="68"/>
      <c r="AVS96" s="68"/>
      <c r="AVT96" s="68"/>
      <c r="AVU96" s="68"/>
      <c r="AVV96" s="68"/>
      <c r="AVW96" s="68"/>
      <c r="AVX96" s="68"/>
      <c r="AVY96" s="68"/>
      <c r="AVZ96" s="68"/>
      <c r="AWA96" s="68"/>
      <c r="AWB96" s="68"/>
      <c r="AWC96" s="68"/>
      <c r="AWD96" s="68"/>
      <c r="AWE96" s="68"/>
      <c r="AWF96" s="68"/>
      <c r="AWG96" s="68"/>
      <c r="AWH96" s="68"/>
      <c r="AWI96" s="68"/>
      <c r="AWJ96" s="68"/>
      <c r="AWK96" s="68"/>
      <c r="AWL96" s="68"/>
      <c r="AWM96" s="68"/>
      <c r="AWN96" s="68"/>
      <c r="AWO96" s="68"/>
      <c r="AWP96" s="68"/>
      <c r="AWQ96" s="68"/>
      <c r="AWR96" s="68"/>
      <c r="AWS96" s="68"/>
      <c r="AWT96" s="68"/>
      <c r="AWU96" s="68"/>
      <c r="AWV96" s="68"/>
      <c r="AWW96" s="68"/>
      <c r="AWX96" s="68"/>
      <c r="AWY96" s="68"/>
      <c r="AWZ96" s="68"/>
      <c r="AXA96" s="68"/>
      <c r="AXB96" s="68"/>
      <c r="AXC96" s="68"/>
      <c r="AXD96" s="68"/>
      <c r="AXE96" s="68"/>
      <c r="AXF96" s="68"/>
      <c r="AXG96" s="68"/>
      <c r="AXH96" s="68"/>
      <c r="AXI96" s="68"/>
      <c r="AXJ96" s="68"/>
      <c r="AXK96" s="68"/>
      <c r="AXL96" s="68"/>
      <c r="AXM96" s="68"/>
      <c r="AXN96" s="68"/>
      <c r="AXO96" s="68"/>
      <c r="AXP96" s="68"/>
      <c r="AXQ96" s="68"/>
      <c r="AXR96" s="68"/>
      <c r="AXS96" s="68"/>
      <c r="AXT96" s="68"/>
      <c r="AXU96" s="68"/>
      <c r="AXV96" s="68"/>
      <c r="AXW96" s="68"/>
      <c r="AXX96" s="68"/>
      <c r="AXY96" s="68"/>
      <c r="AXZ96" s="68"/>
      <c r="AYA96" s="68"/>
      <c r="AYB96" s="68"/>
      <c r="AYC96" s="68"/>
      <c r="AYD96" s="68"/>
      <c r="AYE96" s="68"/>
      <c r="AYF96" s="68"/>
      <c r="AYG96" s="68"/>
      <c r="AYH96" s="68"/>
      <c r="AYI96" s="68"/>
      <c r="AYJ96" s="68"/>
      <c r="AYK96" s="68"/>
      <c r="AYL96" s="68"/>
      <c r="AYM96" s="68"/>
      <c r="AYN96" s="68"/>
      <c r="AYO96" s="68"/>
      <c r="AYP96" s="68"/>
      <c r="AYQ96" s="68"/>
      <c r="AYR96" s="68"/>
      <c r="AYS96" s="68"/>
      <c r="AYT96" s="68"/>
      <c r="AYU96" s="68"/>
      <c r="AYV96" s="68"/>
      <c r="AYW96" s="68"/>
      <c r="AYX96" s="68"/>
      <c r="AYY96" s="68"/>
      <c r="AYZ96" s="68"/>
      <c r="AZA96" s="68"/>
      <c r="AZB96" s="68"/>
      <c r="AZC96" s="68"/>
      <c r="AZD96" s="68"/>
      <c r="AZE96" s="68"/>
      <c r="AZF96" s="68"/>
      <c r="AZG96" s="68"/>
      <c r="AZH96" s="68"/>
      <c r="AZI96" s="68"/>
      <c r="AZJ96" s="68"/>
      <c r="AZK96" s="68"/>
      <c r="AZL96" s="68"/>
      <c r="AZM96" s="68"/>
      <c r="AZN96" s="68"/>
      <c r="AZO96" s="68"/>
      <c r="AZP96" s="68"/>
      <c r="AZQ96" s="68"/>
      <c r="AZR96" s="68"/>
      <c r="AZS96" s="68"/>
      <c r="AZT96" s="68"/>
      <c r="AZU96" s="68"/>
      <c r="AZV96" s="68"/>
      <c r="AZW96" s="68"/>
      <c r="AZX96" s="68"/>
      <c r="AZY96" s="68"/>
      <c r="AZZ96" s="68"/>
      <c r="BAA96" s="68"/>
      <c r="BAB96" s="68"/>
      <c r="BAC96" s="68"/>
      <c r="BAD96" s="68"/>
      <c r="BAE96" s="68"/>
      <c r="BAF96" s="68"/>
      <c r="BAG96" s="68"/>
      <c r="BAH96" s="68"/>
      <c r="BAI96" s="68"/>
      <c r="BAJ96" s="68"/>
      <c r="BAK96" s="68"/>
      <c r="BAL96" s="68"/>
      <c r="BAM96" s="68"/>
      <c r="BAN96" s="68"/>
      <c r="BAO96" s="68"/>
      <c r="BAP96" s="68"/>
      <c r="BAQ96" s="68"/>
      <c r="BAR96" s="68"/>
      <c r="BAS96" s="68"/>
      <c r="BAT96" s="68"/>
      <c r="BAU96" s="68"/>
      <c r="BAV96" s="68"/>
      <c r="BAW96" s="68"/>
      <c r="BAX96" s="68"/>
      <c r="BAY96" s="68"/>
      <c r="BAZ96" s="68"/>
      <c r="BBA96" s="68"/>
      <c r="BBB96" s="68"/>
      <c r="BBC96" s="68"/>
      <c r="BBD96" s="68"/>
      <c r="BBE96" s="68"/>
      <c r="BBF96" s="68"/>
      <c r="BBG96" s="68"/>
      <c r="BBH96" s="68"/>
      <c r="BBI96" s="68"/>
      <c r="BBJ96" s="68"/>
      <c r="BBK96" s="68"/>
      <c r="BBL96" s="68"/>
      <c r="BBM96" s="68"/>
      <c r="BBN96" s="68"/>
      <c r="BBO96" s="68"/>
      <c r="BBP96" s="68"/>
      <c r="BBQ96" s="68"/>
      <c r="BBR96" s="68"/>
      <c r="BBS96" s="68"/>
      <c r="BBT96" s="68"/>
      <c r="BBU96" s="68"/>
      <c r="BBV96" s="68"/>
      <c r="BBW96" s="68"/>
      <c r="BBX96" s="68"/>
      <c r="BBY96" s="68"/>
      <c r="BBZ96" s="68"/>
      <c r="BCA96" s="68"/>
      <c r="BCB96" s="68"/>
      <c r="BCC96" s="68"/>
      <c r="BCD96" s="68"/>
      <c r="BCE96" s="68"/>
      <c r="BCF96" s="68"/>
      <c r="BCG96" s="68"/>
      <c r="BCH96" s="68"/>
      <c r="BCI96" s="68"/>
      <c r="BCJ96" s="68"/>
      <c r="BCK96" s="68"/>
      <c r="BCL96" s="68"/>
      <c r="BCM96" s="68"/>
      <c r="BCN96" s="68"/>
      <c r="BCO96" s="68"/>
      <c r="BCP96" s="68"/>
      <c r="BCQ96" s="68"/>
      <c r="BCR96" s="68"/>
      <c r="BCS96" s="68"/>
      <c r="BCT96" s="68"/>
      <c r="BCU96" s="68"/>
      <c r="BCV96" s="68"/>
      <c r="BCW96" s="68"/>
      <c r="BCX96" s="68"/>
      <c r="BCY96" s="68"/>
      <c r="BCZ96" s="68"/>
      <c r="BDA96" s="68"/>
    </row>
    <row r="97" spans="1:1457" s="67" customFormat="1" ht="24.75" customHeight="1" x14ac:dyDescent="0.25">
      <c r="A97" s="49">
        <v>15</v>
      </c>
      <c r="B97" s="69" t="s">
        <v>714</v>
      </c>
      <c r="C97" s="69" t="s">
        <v>737</v>
      </c>
      <c r="D97" s="69" t="s">
        <v>708</v>
      </c>
      <c r="E97" s="69" t="s">
        <v>709</v>
      </c>
      <c r="F97" s="51">
        <v>936900</v>
      </c>
      <c r="G97" s="72" t="s">
        <v>674</v>
      </c>
      <c r="H97" s="42" t="s">
        <v>665</v>
      </c>
      <c r="I97" s="69" t="s">
        <v>174</v>
      </c>
      <c r="J97" s="69" t="s">
        <v>72</v>
      </c>
      <c r="K97" s="74" t="s">
        <v>342</v>
      </c>
      <c r="L97" s="74">
        <v>936900</v>
      </c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  <c r="BW97" s="68"/>
      <c r="BX97" s="68"/>
      <c r="BY97" s="68"/>
      <c r="BZ97" s="68"/>
      <c r="CA97" s="68"/>
      <c r="CB97" s="68"/>
      <c r="CC97" s="68"/>
      <c r="CD97" s="68"/>
      <c r="CE97" s="68"/>
      <c r="CF97" s="68"/>
      <c r="CG97" s="68"/>
      <c r="CH97" s="68"/>
      <c r="CI97" s="68"/>
      <c r="CJ97" s="68"/>
      <c r="CK97" s="68"/>
      <c r="CL97" s="68"/>
      <c r="CM97" s="68"/>
      <c r="CN97" s="68"/>
      <c r="CO97" s="68"/>
      <c r="CP97" s="68"/>
      <c r="CQ97" s="68"/>
      <c r="CR97" s="68"/>
      <c r="CS97" s="68"/>
      <c r="CT97" s="68"/>
      <c r="CU97" s="68"/>
      <c r="CV97" s="68"/>
      <c r="CW97" s="68"/>
      <c r="CX97" s="68"/>
      <c r="CY97" s="68"/>
      <c r="CZ97" s="68"/>
      <c r="DA97" s="68"/>
      <c r="DB97" s="68"/>
      <c r="DC97" s="68"/>
      <c r="DD97" s="68"/>
      <c r="DE97" s="68"/>
      <c r="DF97" s="68"/>
      <c r="DG97" s="68"/>
      <c r="DH97" s="68"/>
      <c r="DI97" s="68"/>
      <c r="DJ97" s="68"/>
      <c r="DK97" s="68"/>
      <c r="DL97" s="68"/>
      <c r="DM97" s="68"/>
      <c r="DN97" s="68"/>
      <c r="DO97" s="68"/>
      <c r="DP97" s="68"/>
      <c r="DQ97" s="68"/>
      <c r="DR97" s="68"/>
      <c r="DS97" s="68"/>
      <c r="DT97" s="68"/>
      <c r="DU97" s="68"/>
      <c r="DV97" s="68"/>
      <c r="DW97" s="68"/>
      <c r="DX97" s="68"/>
      <c r="DY97" s="68"/>
      <c r="DZ97" s="68"/>
      <c r="EA97" s="68"/>
      <c r="EB97" s="68"/>
      <c r="EC97" s="68"/>
      <c r="ED97" s="68"/>
      <c r="EE97" s="68"/>
      <c r="EF97" s="68"/>
      <c r="EG97" s="68"/>
      <c r="EH97" s="68"/>
      <c r="EI97" s="68"/>
      <c r="EJ97" s="68"/>
      <c r="EK97" s="68"/>
      <c r="EL97" s="68"/>
      <c r="EM97" s="68"/>
      <c r="EN97" s="68"/>
      <c r="EO97" s="68"/>
      <c r="EP97" s="68"/>
      <c r="EQ97" s="68"/>
      <c r="ER97" s="68"/>
      <c r="ES97" s="68"/>
      <c r="ET97" s="68"/>
      <c r="EU97" s="68"/>
      <c r="EV97" s="68"/>
      <c r="EW97" s="68"/>
      <c r="EX97" s="68"/>
      <c r="EY97" s="68"/>
      <c r="EZ97" s="68"/>
      <c r="FA97" s="68"/>
      <c r="FB97" s="68"/>
      <c r="FC97" s="68"/>
      <c r="FD97" s="68"/>
      <c r="FE97" s="68"/>
      <c r="FF97" s="68"/>
      <c r="FG97" s="68"/>
      <c r="FH97" s="68"/>
      <c r="FI97" s="68"/>
      <c r="FJ97" s="68"/>
      <c r="FK97" s="68"/>
      <c r="FL97" s="68"/>
      <c r="FM97" s="68"/>
      <c r="FN97" s="68"/>
      <c r="FO97" s="68"/>
      <c r="FP97" s="68"/>
      <c r="FQ97" s="68"/>
      <c r="FR97" s="68"/>
      <c r="FS97" s="68"/>
      <c r="FT97" s="68"/>
      <c r="FU97" s="68"/>
      <c r="FV97" s="68"/>
      <c r="FW97" s="68"/>
      <c r="FX97" s="68"/>
      <c r="FY97" s="68"/>
      <c r="FZ97" s="68"/>
      <c r="GA97" s="68"/>
      <c r="GB97" s="68"/>
      <c r="GC97" s="68"/>
      <c r="GD97" s="68"/>
      <c r="GE97" s="68"/>
      <c r="GF97" s="68"/>
      <c r="GG97" s="68"/>
      <c r="GH97" s="68"/>
      <c r="GI97" s="68"/>
      <c r="GJ97" s="68"/>
      <c r="GK97" s="68"/>
      <c r="GL97" s="68"/>
      <c r="GM97" s="68"/>
      <c r="GN97" s="68"/>
      <c r="GO97" s="68"/>
      <c r="GP97" s="68"/>
      <c r="GQ97" s="68"/>
      <c r="GR97" s="68"/>
      <c r="GS97" s="68"/>
      <c r="GT97" s="68"/>
      <c r="GU97" s="68"/>
      <c r="GV97" s="68"/>
      <c r="GW97" s="68"/>
      <c r="GX97" s="68"/>
      <c r="GY97" s="68"/>
      <c r="GZ97" s="68"/>
      <c r="HA97" s="68"/>
      <c r="HB97" s="68"/>
      <c r="HC97" s="68"/>
      <c r="HD97" s="68"/>
      <c r="HE97" s="68"/>
      <c r="HF97" s="68"/>
      <c r="HG97" s="68"/>
      <c r="HH97" s="68"/>
      <c r="HI97" s="68"/>
      <c r="HJ97" s="68"/>
      <c r="HK97" s="68"/>
      <c r="HL97" s="68"/>
      <c r="HM97" s="68"/>
      <c r="HN97" s="68"/>
      <c r="HO97" s="68"/>
      <c r="HP97" s="68"/>
      <c r="HQ97" s="68"/>
      <c r="HR97" s="68"/>
      <c r="HS97" s="68"/>
      <c r="HT97" s="68"/>
      <c r="HU97" s="68"/>
      <c r="HV97" s="68"/>
      <c r="HW97" s="68"/>
      <c r="HX97" s="68"/>
      <c r="HY97" s="68"/>
      <c r="HZ97" s="68"/>
      <c r="IA97" s="68"/>
      <c r="IB97" s="68"/>
      <c r="IC97" s="68"/>
      <c r="ID97" s="68"/>
      <c r="IE97" s="68"/>
      <c r="IF97" s="68"/>
      <c r="IG97" s="68"/>
      <c r="IH97" s="68"/>
      <c r="II97" s="68"/>
      <c r="IJ97" s="68"/>
      <c r="IK97" s="68"/>
      <c r="IL97" s="68"/>
      <c r="IM97" s="68"/>
      <c r="IN97" s="68"/>
      <c r="IO97" s="68"/>
      <c r="IP97" s="68"/>
      <c r="IQ97" s="68"/>
      <c r="IR97" s="68"/>
      <c r="IS97" s="68"/>
      <c r="IT97" s="68"/>
      <c r="IU97" s="68"/>
      <c r="IV97" s="68"/>
      <c r="IW97" s="68"/>
      <c r="IX97" s="68"/>
      <c r="IY97" s="68"/>
      <c r="IZ97" s="68"/>
      <c r="JA97" s="68"/>
      <c r="JB97" s="68"/>
      <c r="JC97" s="68"/>
      <c r="JD97" s="68"/>
      <c r="JE97" s="68"/>
      <c r="JF97" s="68"/>
      <c r="JG97" s="68"/>
      <c r="JH97" s="68"/>
      <c r="JI97" s="68"/>
      <c r="JJ97" s="68"/>
      <c r="JK97" s="68"/>
      <c r="JL97" s="68"/>
      <c r="JM97" s="68"/>
      <c r="JN97" s="68"/>
      <c r="JO97" s="68"/>
      <c r="JP97" s="68"/>
      <c r="JQ97" s="68"/>
      <c r="JR97" s="68"/>
      <c r="JS97" s="68"/>
      <c r="JT97" s="68"/>
      <c r="JU97" s="68"/>
      <c r="JV97" s="68"/>
      <c r="JW97" s="68"/>
      <c r="JX97" s="68"/>
      <c r="JY97" s="68"/>
      <c r="JZ97" s="68"/>
      <c r="KA97" s="68"/>
      <c r="KB97" s="68"/>
      <c r="KC97" s="68"/>
      <c r="KD97" s="68"/>
      <c r="KE97" s="68"/>
      <c r="KF97" s="68"/>
      <c r="KG97" s="68"/>
      <c r="KH97" s="68"/>
      <c r="KI97" s="68"/>
      <c r="KJ97" s="68"/>
      <c r="KK97" s="68"/>
      <c r="KL97" s="68"/>
      <c r="KM97" s="68"/>
      <c r="KN97" s="68"/>
      <c r="KO97" s="68"/>
      <c r="KP97" s="68"/>
      <c r="KQ97" s="68"/>
      <c r="KR97" s="68"/>
      <c r="KS97" s="68"/>
      <c r="KT97" s="68"/>
      <c r="KU97" s="68"/>
      <c r="KV97" s="68"/>
      <c r="KW97" s="68"/>
      <c r="KX97" s="68"/>
      <c r="KY97" s="68"/>
      <c r="KZ97" s="68"/>
      <c r="LA97" s="68"/>
      <c r="LB97" s="68"/>
      <c r="LC97" s="68"/>
      <c r="LD97" s="68"/>
      <c r="LE97" s="68"/>
      <c r="LF97" s="68"/>
      <c r="LG97" s="68"/>
      <c r="LH97" s="68"/>
      <c r="LI97" s="68"/>
      <c r="LJ97" s="68"/>
      <c r="LK97" s="68"/>
      <c r="LL97" s="68"/>
      <c r="LM97" s="68"/>
      <c r="LN97" s="68"/>
      <c r="LO97" s="68"/>
      <c r="LP97" s="68"/>
      <c r="LQ97" s="68"/>
      <c r="LR97" s="68"/>
      <c r="LS97" s="68"/>
      <c r="LT97" s="68"/>
      <c r="LU97" s="68"/>
      <c r="LV97" s="68"/>
      <c r="LW97" s="68"/>
      <c r="LX97" s="68"/>
      <c r="LY97" s="68"/>
      <c r="LZ97" s="68"/>
      <c r="MA97" s="68"/>
      <c r="MB97" s="68"/>
      <c r="MC97" s="68"/>
      <c r="MD97" s="68"/>
      <c r="ME97" s="68"/>
      <c r="MF97" s="68"/>
      <c r="MG97" s="68"/>
      <c r="MH97" s="68"/>
      <c r="MI97" s="68"/>
      <c r="MJ97" s="68"/>
      <c r="MK97" s="68"/>
      <c r="ML97" s="68"/>
      <c r="MM97" s="68"/>
      <c r="MN97" s="68"/>
      <c r="MO97" s="68"/>
      <c r="MP97" s="68"/>
      <c r="MQ97" s="68"/>
      <c r="MR97" s="68"/>
      <c r="MS97" s="68"/>
      <c r="MT97" s="68"/>
      <c r="MU97" s="68"/>
      <c r="MV97" s="68"/>
      <c r="MW97" s="68"/>
      <c r="MX97" s="68"/>
      <c r="MY97" s="68"/>
      <c r="MZ97" s="68"/>
      <c r="NA97" s="68"/>
      <c r="NB97" s="68"/>
      <c r="NC97" s="68"/>
      <c r="ND97" s="68"/>
      <c r="NE97" s="68"/>
      <c r="NF97" s="68"/>
      <c r="NG97" s="68"/>
      <c r="NH97" s="68"/>
      <c r="NI97" s="68"/>
      <c r="NJ97" s="68"/>
      <c r="NK97" s="68"/>
      <c r="NL97" s="68"/>
      <c r="NM97" s="68"/>
      <c r="NN97" s="68"/>
      <c r="NO97" s="68"/>
      <c r="NP97" s="68"/>
      <c r="NQ97" s="68"/>
      <c r="NR97" s="68"/>
      <c r="NS97" s="68"/>
      <c r="NT97" s="68"/>
      <c r="NU97" s="68"/>
      <c r="NV97" s="68"/>
      <c r="NW97" s="68"/>
      <c r="NX97" s="68"/>
      <c r="NY97" s="68"/>
      <c r="NZ97" s="68"/>
      <c r="OA97" s="68"/>
      <c r="OB97" s="68"/>
      <c r="OC97" s="68"/>
      <c r="OD97" s="68"/>
      <c r="OE97" s="68"/>
      <c r="OF97" s="68"/>
      <c r="OG97" s="68"/>
      <c r="OH97" s="68"/>
      <c r="OI97" s="68"/>
      <c r="OJ97" s="68"/>
      <c r="OK97" s="68"/>
      <c r="OL97" s="68"/>
      <c r="OM97" s="68"/>
      <c r="ON97" s="68"/>
      <c r="OO97" s="68"/>
      <c r="OP97" s="68"/>
      <c r="OQ97" s="68"/>
      <c r="OR97" s="68"/>
      <c r="OS97" s="68"/>
      <c r="OT97" s="68"/>
      <c r="OU97" s="68"/>
      <c r="OV97" s="68"/>
      <c r="OW97" s="68"/>
      <c r="OX97" s="68"/>
      <c r="OY97" s="68"/>
      <c r="OZ97" s="68"/>
      <c r="PA97" s="68"/>
      <c r="PB97" s="68"/>
      <c r="PC97" s="68"/>
      <c r="PD97" s="68"/>
      <c r="PE97" s="68"/>
      <c r="PF97" s="68"/>
      <c r="PG97" s="68"/>
      <c r="PH97" s="68"/>
      <c r="PI97" s="68"/>
      <c r="PJ97" s="68"/>
      <c r="PK97" s="68"/>
      <c r="PL97" s="68"/>
      <c r="PM97" s="68"/>
      <c r="PN97" s="68"/>
      <c r="PO97" s="68"/>
      <c r="PP97" s="68"/>
      <c r="PQ97" s="68"/>
      <c r="PR97" s="68"/>
      <c r="PS97" s="68"/>
      <c r="PT97" s="68"/>
      <c r="PU97" s="68"/>
      <c r="PV97" s="68"/>
      <c r="PW97" s="68"/>
      <c r="PX97" s="68"/>
      <c r="PY97" s="68"/>
      <c r="PZ97" s="68"/>
      <c r="QA97" s="68"/>
      <c r="QB97" s="68"/>
      <c r="QC97" s="68"/>
      <c r="QD97" s="68"/>
      <c r="QE97" s="68"/>
      <c r="QF97" s="68"/>
      <c r="QG97" s="68"/>
      <c r="QH97" s="68"/>
      <c r="QI97" s="68"/>
      <c r="QJ97" s="68"/>
      <c r="QK97" s="68"/>
      <c r="QL97" s="68"/>
      <c r="QM97" s="68"/>
      <c r="QN97" s="68"/>
      <c r="QO97" s="68"/>
      <c r="QP97" s="68"/>
      <c r="QQ97" s="68"/>
      <c r="QR97" s="68"/>
      <c r="QS97" s="68"/>
      <c r="QT97" s="68"/>
      <c r="QU97" s="68"/>
      <c r="QV97" s="68"/>
      <c r="QW97" s="68"/>
      <c r="QX97" s="68"/>
      <c r="QY97" s="68"/>
      <c r="QZ97" s="68"/>
      <c r="RA97" s="68"/>
      <c r="RB97" s="68"/>
      <c r="RC97" s="68"/>
      <c r="RD97" s="68"/>
      <c r="RE97" s="68"/>
      <c r="RF97" s="68"/>
      <c r="RG97" s="68"/>
      <c r="RH97" s="68"/>
      <c r="RI97" s="68"/>
      <c r="RJ97" s="68"/>
      <c r="RK97" s="68"/>
      <c r="RL97" s="68"/>
      <c r="RM97" s="68"/>
      <c r="RN97" s="68"/>
      <c r="RO97" s="68"/>
      <c r="RP97" s="68"/>
      <c r="RQ97" s="68"/>
      <c r="RR97" s="68"/>
      <c r="RS97" s="68"/>
      <c r="RT97" s="68"/>
      <c r="RU97" s="68"/>
      <c r="RV97" s="68"/>
      <c r="RW97" s="68"/>
      <c r="RX97" s="68"/>
      <c r="RY97" s="68"/>
      <c r="RZ97" s="68"/>
      <c r="SA97" s="68"/>
      <c r="SB97" s="68"/>
      <c r="SC97" s="68"/>
      <c r="SD97" s="68"/>
      <c r="SE97" s="68"/>
      <c r="SF97" s="68"/>
      <c r="SG97" s="68"/>
      <c r="SH97" s="68"/>
      <c r="SI97" s="68"/>
      <c r="SJ97" s="68"/>
      <c r="SK97" s="68"/>
      <c r="SL97" s="68"/>
      <c r="SM97" s="68"/>
      <c r="SN97" s="68"/>
      <c r="SO97" s="68"/>
      <c r="SP97" s="68"/>
      <c r="SQ97" s="68"/>
      <c r="SR97" s="68"/>
      <c r="SS97" s="68"/>
      <c r="ST97" s="68"/>
      <c r="SU97" s="68"/>
      <c r="SV97" s="68"/>
      <c r="SW97" s="68"/>
      <c r="SX97" s="68"/>
      <c r="SY97" s="68"/>
      <c r="SZ97" s="68"/>
      <c r="TA97" s="68"/>
      <c r="TB97" s="68"/>
      <c r="TC97" s="68"/>
      <c r="TD97" s="68"/>
      <c r="TE97" s="68"/>
      <c r="TF97" s="68"/>
      <c r="TG97" s="68"/>
      <c r="TH97" s="68"/>
      <c r="TI97" s="68"/>
      <c r="TJ97" s="68"/>
      <c r="TK97" s="68"/>
      <c r="TL97" s="68"/>
      <c r="TM97" s="68"/>
      <c r="TN97" s="68"/>
      <c r="TO97" s="68"/>
      <c r="TP97" s="68"/>
      <c r="TQ97" s="68"/>
      <c r="TR97" s="68"/>
      <c r="TS97" s="68"/>
      <c r="TT97" s="68"/>
      <c r="TU97" s="68"/>
      <c r="TV97" s="68"/>
      <c r="TW97" s="68"/>
      <c r="TX97" s="68"/>
      <c r="TY97" s="68"/>
      <c r="TZ97" s="68"/>
      <c r="UA97" s="68"/>
      <c r="UB97" s="68"/>
      <c r="UC97" s="68"/>
      <c r="UD97" s="68"/>
      <c r="UE97" s="68"/>
      <c r="UF97" s="68"/>
      <c r="UG97" s="68"/>
      <c r="UH97" s="68"/>
      <c r="UI97" s="68"/>
      <c r="UJ97" s="68"/>
      <c r="UK97" s="68"/>
      <c r="UL97" s="68"/>
      <c r="UM97" s="68"/>
      <c r="UN97" s="68"/>
      <c r="UO97" s="68"/>
      <c r="UP97" s="68"/>
      <c r="UQ97" s="68"/>
      <c r="UR97" s="68"/>
      <c r="US97" s="68"/>
      <c r="UT97" s="68"/>
      <c r="UU97" s="68"/>
      <c r="UV97" s="68"/>
      <c r="UW97" s="68"/>
      <c r="UX97" s="68"/>
      <c r="UY97" s="68"/>
      <c r="UZ97" s="68"/>
      <c r="VA97" s="68"/>
      <c r="VB97" s="68"/>
      <c r="VC97" s="68"/>
      <c r="VD97" s="68"/>
      <c r="VE97" s="68"/>
      <c r="VF97" s="68"/>
      <c r="VG97" s="68"/>
      <c r="VH97" s="68"/>
      <c r="VI97" s="68"/>
      <c r="VJ97" s="68"/>
      <c r="VK97" s="68"/>
      <c r="VL97" s="68"/>
      <c r="VM97" s="68"/>
      <c r="VN97" s="68"/>
      <c r="VO97" s="68"/>
      <c r="VP97" s="68"/>
      <c r="VQ97" s="68"/>
      <c r="VR97" s="68"/>
      <c r="VS97" s="68"/>
      <c r="VT97" s="68"/>
      <c r="VU97" s="68"/>
      <c r="VV97" s="68"/>
      <c r="VW97" s="68"/>
      <c r="VX97" s="68"/>
      <c r="VY97" s="68"/>
      <c r="VZ97" s="68"/>
      <c r="WA97" s="68"/>
      <c r="WB97" s="68"/>
      <c r="WC97" s="68"/>
      <c r="WD97" s="68"/>
      <c r="WE97" s="68"/>
      <c r="WF97" s="68"/>
      <c r="WG97" s="68"/>
      <c r="WH97" s="68"/>
      <c r="WI97" s="68"/>
      <c r="WJ97" s="68"/>
      <c r="WK97" s="68"/>
      <c r="WL97" s="68"/>
      <c r="WM97" s="68"/>
      <c r="WN97" s="68"/>
      <c r="WO97" s="68"/>
      <c r="WP97" s="68"/>
      <c r="WQ97" s="68"/>
      <c r="WR97" s="68"/>
      <c r="WS97" s="68"/>
      <c r="WT97" s="68"/>
      <c r="WU97" s="68"/>
      <c r="WV97" s="68"/>
      <c r="WW97" s="68"/>
      <c r="WX97" s="68"/>
      <c r="WY97" s="68"/>
      <c r="WZ97" s="68"/>
      <c r="XA97" s="68"/>
      <c r="XB97" s="68"/>
      <c r="XC97" s="68"/>
      <c r="XD97" s="68"/>
      <c r="XE97" s="68"/>
      <c r="XF97" s="68"/>
      <c r="XG97" s="68"/>
      <c r="XH97" s="68"/>
      <c r="XI97" s="68"/>
      <c r="XJ97" s="68"/>
      <c r="XK97" s="68"/>
      <c r="XL97" s="68"/>
      <c r="XM97" s="68"/>
      <c r="XN97" s="68"/>
      <c r="XO97" s="68"/>
      <c r="XP97" s="68"/>
      <c r="XQ97" s="68"/>
      <c r="XR97" s="68"/>
      <c r="XS97" s="68"/>
      <c r="XT97" s="68"/>
      <c r="XU97" s="68"/>
      <c r="XV97" s="68"/>
      <c r="XW97" s="68"/>
      <c r="XX97" s="68"/>
      <c r="XY97" s="68"/>
      <c r="XZ97" s="68"/>
      <c r="YA97" s="68"/>
      <c r="YB97" s="68"/>
      <c r="YC97" s="68"/>
      <c r="YD97" s="68"/>
      <c r="YE97" s="68"/>
      <c r="YF97" s="68"/>
      <c r="YG97" s="68"/>
      <c r="YH97" s="68"/>
      <c r="YI97" s="68"/>
      <c r="YJ97" s="68"/>
      <c r="YK97" s="68"/>
      <c r="YL97" s="68"/>
      <c r="YM97" s="68"/>
      <c r="YN97" s="68"/>
      <c r="YO97" s="68"/>
      <c r="YP97" s="68"/>
      <c r="YQ97" s="68"/>
      <c r="YR97" s="68"/>
      <c r="YS97" s="68"/>
      <c r="YT97" s="68"/>
      <c r="YU97" s="68"/>
      <c r="YV97" s="68"/>
      <c r="YW97" s="68"/>
      <c r="YX97" s="68"/>
      <c r="YY97" s="68"/>
      <c r="YZ97" s="68"/>
      <c r="ZA97" s="68"/>
      <c r="ZB97" s="68"/>
      <c r="ZC97" s="68"/>
      <c r="ZD97" s="68"/>
      <c r="ZE97" s="68"/>
      <c r="ZF97" s="68"/>
      <c r="ZG97" s="68"/>
      <c r="ZH97" s="68"/>
      <c r="ZI97" s="68"/>
      <c r="ZJ97" s="68"/>
      <c r="ZK97" s="68"/>
      <c r="ZL97" s="68"/>
      <c r="ZM97" s="68"/>
      <c r="ZN97" s="68"/>
      <c r="ZO97" s="68"/>
      <c r="ZP97" s="68"/>
      <c r="ZQ97" s="68"/>
      <c r="ZR97" s="68"/>
      <c r="ZS97" s="68"/>
      <c r="ZT97" s="68"/>
      <c r="ZU97" s="68"/>
      <c r="ZV97" s="68"/>
      <c r="ZW97" s="68"/>
      <c r="ZX97" s="68"/>
      <c r="ZY97" s="68"/>
      <c r="ZZ97" s="68"/>
      <c r="AAA97" s="68"/>
      <c r="AAB97" s="68"/>
      <c r="AAC97" s="68"/>
      <c r="AAD97" s="68"/>
      <c r="AAE97" s="68"/>
      <c r="AAF97" s="68"/>
      <c r="AAG97" s="68"/>
      <c r="AAH97" s="68"/>
      <c r="AAI97" s="68"/>
      <c r="AAJ97" s="68"/>
      <c r="AAK97" s="68"/>
      <c r="AAL97" s="68"/>
      <c r="AAM97" s="68"/>
      <c r="AAN97" s="68"/>
      <c r="AAO97" s="68"/>
      <c r="AAP97" s="68"/>
      <c r="AAQ97" s="68"/>
      <c r="AAR97" s="68"/>
      <c r="AAS97" s="68"/>
      <c r="AAT97" s="68"/>
      <c r="AAU97" s="68"/>
      <c r="AAV97" s="68"/>
      <c r="AAW97" s="68"/>
      <c r="AAX97" s="68"/>
      <c r="AAY97" s="68"/>
      <c r="AAZ97" s="68"/>
      <c r="ABA97" s="68"/>
      <c r="ABB97" s="68"/>
      <c r="ABC97" s="68"/>
      <c r="ABD97" s="68"/>
      <c r="ABE97" s="68"/>
      <c r="ABF97" s="68"/>
      <c r="ABG97" s="68"/>
      <c r="ABH97" s="68"/>
      <c r="ABI97" s="68"/>
      <c r="ABJ97" s="68"/>
      <c r="ABK97" s="68"/>
      <c r="ABL97" s="68"/>
      <c r="ABM97" s="68"/>
      <c r="ABN97" s="68"/>
      <c r="ABO97" s="68"/>
      <c r="ABP97" s="68"/>
      <c r="ABQ97" s="68"/>
      <c r="ABR97" s="68"/>
      <c r="ABS97" s="68"/>
      <c r="ABT97" s="68"/>
      <c r="ABU97" s="68"/>
      <c r="ABV97" s="68"/>
      <c r="ABW97" s="68"/>
      <c r="ABX97" s="68"/>
      <c r="ABY97" s="68"/>
      <c r="ABZ97" s="68"/>
      <c r="ACA97" s="68"/>
      <c r="ACB97" s="68"/>
      <c r="ACC97" s="68"/>
      <c r="ACD97" s="68"/>
      <c r="ACE97" s="68"/>
      <c r="ACF97" s="68"/>
      <c r="ACG97" s="68"/>
      <c r="ACH97" s="68"/>
      <c r="ACI97" s="68"/>
      <c r="ACJ97" s="68"/>
      <c r="ACK97" s="68"/>
      <c r="ACL97" s="68"/>
      <c r="ACM97" s="68"/>
      <c r="ACN97" s="68"/>
      <c r="ACO97" s="68"/>
      <c r="ACP97" s="68"/>
      <c r="ACQ97" s="68"/>
      <c r="ACR97" s="68"/>
      <c r="ACS97" s="68"/>
      <c r="ACT97" s="68"/>
      <c r="ACU97" s="68"/>
      <c r="ACV97" s="68"/>
      <c r="ACW97" s="68"/>
      <c r="ACX97" s="68"/>
      <c r="ACY97" s="68"/>
      <c r="ACZ97" s="68"/>
      <c r="ADA97" s="68"/>
      <c r="ADB97" s="68"/>
      <c r="ADC97" s="68"/>
      <c r="ADD97" s="68"/>
      <c r="ADE97" s="68"/>
      <c r="ADF97" s="68"/>
      <c r="ADG97" s="68"/>
      <c r="ADH97" s="68"/>
      <c r="ADI97" s="68"/>
      <c r="ADJ97" s="68"/>
      <c r="ADK97" s="68"/>
      <c r="ADL97" s="68"/>
      <c r="ADM97" s="68"/>
      <c r="ADN97" s="68"/>
      <c r="ADO97" s="68"/>
      <c r="ADP97" s="68"/>
      <c r="ADQ97" s="68"/>
      <c r="ADR97" s="68"/>
      <c r="ADS97" s="68"/>
      <c r="ADT97" s="68"/>
      <c r="ADU97" s="68"/>
      <c r="ADV97" s="68"/>
      <c r="ADW97" s="68"/>
      <c r="ADX97" s="68"/>
      <c r="ADY97" s="68"/>
      <c r="ADZ97" s="68"/>
      <c r="AEA97" s="68"/>
      <c r="AEB97" s="68"/>
      <c r="AEC97" s="68"/>
      <c r="AED97" s="68"/>
      <c r="AEE97" s="68"/>
      <c r="AEF97" s="68"/>
      <c r="AEG97" s="68"/>
      <c r="AEH97" s="68"/>
      <c r="AEI97" s="68"/>
      <c r="AEJ97" s="68"/>
      <c r="AEK97" s="68"/>
      <c r="AEL97" s="68"/>
      <c r="AEM97" s="68"/>
      <c r="AEN97" s="68"/>
      <c r="AEO97" s="68"/>
      <c r="AEP97" s="68"/>
      <c r="AEQ97" s="68"/>
      <c r="AER97" s="68"/>
      <c r="AES97" s="68"/>
      <c r="AET97" s="68"/>
      <c r="AEU97" s="68"/>
      <c r="AEV97" s="68"/>
      <c r="AEW97" s="68"/>
      <c r="AEX97" s="68"/>
      <c r="AEY97" s="68"/>
      <c r="AEZ97" s="68"/>
      <c r="AFA97" s="68"/>
      <c r="AFB97" s="68"/>
      <c r="AFC97" s="68"/>
      <c r="AFD97" s="68"/>
      <c r="AFE97" s="68"/>
      <c r="AFF97" s="68"/>
      <c r="AFG97" s="68"/>
      <c r="AFH97" s="68"/>
      <c r="AFI97" s="68"/>
      <c r="AFJ97" s="68"/>
      <c r="AFK97" s="68"/>
      <c r="AFL97" s="68"/>
      <c r="AFM97" s="68"/>
      <c r="AFN97" s="68"/>
      <c r="AFO97" s="68"/>
      <c r="AFP97" s="68"/>
      <c r="AFQ97" s="68"/>
      <c r="AFR97" s="68"/>
      <c r="AFS97" s="68"/>
      <c r="AFT97" s="68"/>
      <c r="AFU97" s="68"/>
      <c r="AFV97" s="68"/>
      <c r="AFW97" s="68"/>
      <c r="AFX97" s="68"/>
      <c r="AFY97" s="68"/>
      <c r="AFZ97" s="68"/>
      <c r="AGA97" s="68"/>
      <c r="AGB97" s="68"/>
      <c r="AGC97" s="68"/>
      <c r="AGD97" s="68"/>
      <c r="AGE97" s="68"/>
      <c r="AGF97" s="68"/>
      <c r="AGG97" s="68"/>
      <c r="AGH97" s="68"/>
      <c r="AGI97" s="68"/>
      <c r="AGJ97" s="68"/>
      <c r="AGK97" s="68"/>
      <c r="AGL97" s="68"/>
      <c r="AGM97" s="68"/>
      <c r="AGN97" s="68"/>
      <c r="AGO97" s="68"/>
      <c r="AGP97" s="68"/>
      <c r="AGQ97" s="68"/>
      <c r="AGR97" s="68"/>
      <c r="AGS97" s="68"/>
      <c r="AGT97" s="68"/>
      <c r="AGU97" s="68"/>
      <c r="AGV97" s="68"/>
      <c r="AGW97" s="68"/>
      <c r="AGX97" s="68"/>
      <c r="AGY97" s="68"/>
      <c r="AGZ97" s="68"/>
      <c r="AHA97" s="68"/>
      <c r="AHB97" s="68"/>
      <c r="AHC97" s="68"/>
      <c r="AHD97" s="68"/>
      <c r="AHE97" s="68"/>
      <c r="AHF97" s="68"/>
      <c r="AHG97" s="68"/>
      <c r="AHH97" s="68"/>
      <c r="AHI97" s="68"/>
      <c r="AHJ97" s="68"/>
      <c r="AHK97" s="68"/>
      <c r="AHL97" s="68"/>
      <c r="AHM97" s="68"/>
      <c r="AHN97" s="68"/>
      <c r="AHO97" s="68"/>
      <c r="AHP97" s="68"/>
      <c r="AHQ97" s="68"/>
      <c r="AHR97" s="68"/>
      <c r="AHS97" s="68"/>
      <c r="AHT97" s="68"/>
      <c r="AHU97" s="68"/>
      <c r="AHV97" s="68"/>
      <c r="AHW97" s="68"/>
      <c r="AHX97" s="68"/>
      <c r="AHY97" s="68"/>
      <c r="AHZ97" s="68"/>
      <c r="AIA97" s="68"/>
      <c r="AIB97" s="68"/>
      <c r="AIC97" s="68"/>
      <c r="AID97" s="68"/>
      <c r="AIE97" s="68"/>
      <c r="AIF97" s="68"/>
      <c r="AIG97" s="68"/>
      <c r="AIH97" s="68"/>
      <c r="AII97" s="68"/>
      <c r="AIJ97" s="68"/>
      <c r="AIK97" s="68"/>
      <c r="AIL97" s="68"/>
      <c r="AIM97" s="68"/>
      <c r="AIN97" s="68"/>
      <c r="AIO97" s="68"/>
      <c r="AIP97" s="68"/>
      <c r="AIQ97" s="68"/>
      <c r="AIR97" s="68"/>
      <c r="AIS97" s="68"/>
      <c r="AIT97" s="68"/>
      <c r="AIU97" s="68"/>
      <c r="AIV97" s="68"/>
      <c r="AIW97" s="68"/>
      <c r="AIX97" s="68"/>
      <c r="AIY97" s="68"/>
      <c r="AIZ97" s="68"/>
      <c r="AJA97" s="68"/>
      <c r="AJB97" s="68"/>
      <c r="AJC97" s="68"/>
      <c r="AJD97" s="68"/>
      <c r="AJE97" s="68"/>
      <c r="AJF97" s="68"/>
      <c r="AJG97" s="68"/>
      <c r="AJH97" s="68"/>
      <c r="AJI97" s="68"/>
      <c r="AJJ97" s="68"/>
      <c r="AJK97" s="68"/>
      <c r="AJL97" s="68"/>
      <c r="AJM97" s="68"/>
      <c r="AJN97" s="68"/>
      <c r="AJO97" s="68"/>
      <c r="AJP97" s="68"/>
      <c r="AJQ97" s="68"/>
      <c r="AJR97" s="68"/>
      <c r="AJS97" s="68"/>
      <c r="AJT97" s="68"/>
      <c r="AJU97" s="68"/>
      <c r="AJV97" s="68"/>
      <c r="AJW97" s="68"/>
      <c r="AJX97" s="68"/>
      <c r="AJY97" s="68"/>
      <c r="AJZ97" s="68"/>
      <c r="AKA97" s="68"/>
      <c r="AKB97" s="68"/>
      <c r="AKC97" s="68"/>
      <c r="AKD97" s="68"/>
      <c r="AKE97" s="68"/>
      <c r="AKF97" s="68"/>
      <c r="AKG97" s="68"/>
      <c r="AKH97" s="68"/>
      <c r="AKI97" s="68"/>
      <c r="AKJ97" s="68"/>
      <c r="AKK97" s="68"/>
      <c r="AKL97" s="68"/>
      <c r="AKM97" s="68"/>
      <c r="AKN97" s="68"/>
      <c r="AKO97" s="68"/>
      <c r="AKP97" s="68"/>
      <c r="AKQ97" s="68"/>
      <c r="AKR97" s="68"/>
      <c r="AKS97" s="68"/>
      <c r="AKT97" s="68"/>
      <c r="AKU97" s="68"/>
      <c r="AKV97" s="68"/>
      <c r="AKW97" s="68"/>
      <c r="AKX97" s="68"/>
      <c r="AKY97" s="68"/>
      <c r="AKZ97" s="68"/>
      <c r="ALA97" s="68"/>
      <c r="ALB97" s="68"/>
      <c r="ALC97" s="68"/>
      <c r="ALD97" s="68"/>
      <c r="ALE97" s="68"/>
      <c r="ALF97" s="68"/>
      <c r="ALG97" s="68"/>
      <c r="ALH97" s="68"/>
      <c r="ALI97" s="68"/>
      <c r="ALJ97" s="68"/>
      <c r="ALK97" s="68"/>
      <c r="ALL97" s="68"/>
      <c r="ALM97" s="68"/>
      <c r="ALN97" s="68"/>
      <c r="ALO97" s="68"/>
      <c r="ALP97" s="68"/>
      <c r="ALQ97" s="68"/>
      <c r="ALR97" s="68"/>
      <c r="ALS97" s="68"/>
      <c r="ALT97" s="68"/>
      <c r="ALU97" s="68"/>
      <c r="ALV97" s="68"/>
      <c r="ALW97" s="68"/>
      <c r="ALX97" s="68"/>
      <c r="ALY97" s="68"/>
      <c r="ALZ97" s="68"/>
      <c r="AMA97" s="68"/>
      <c r="AMB97" s="68"/>
      <c r="AMC97" s="68"/>
      <c r="AMD97" s="68"/>
      <c r="AME97" s="68"/>
      <c r="AMF97" s="68"/>
      <c r="AMG97" s="68"/>
      <c r="AMH97" s="68"/>
      <c r="AMI97" s="68"/>
      <c r="AMJ97" s="68"/>
      <c r="AMK97" s="68"/>
      <c r="AML97" s="68"/>
      <c r="AMM97" s="68"/>
      <c r="AMN97" s="68"/>
      <c r="AMO97" s="68"/>
      <c r="AMP97" s="68"/>
      <c r="AMQ97" s="68"/>
      <c r="AMR97" s="68"/>
      <c r="AMS97" s="68"/>
      <c r="AMT97" s="68"/>
      <c r="AMU97" s="68"/>
      <c r="AMV97" s="68"/>
      <c r="AMW97" s="68"/>
      <c r="AMX97" s="68"/>
      <c r="AMY97" s="68"/>
      <c r="AMZ97" s="68"/>
      <c r="ANA97" s="68"/>
      <c r="ANB97" s="68"/>
      <c r="ANC97" s="68"/>
      <c r="AND97" s="68"/>
      <c r="ANE97" s="68"/>
      <c r="ANF97" s="68"/>
      <c r="ANG97" s="68"/>
      <c r="ANH97" s="68"/>
      <c r="ANI97" s="68"/>
      <c r="ANJ97" s="68"/>
      <c r="ANK97" s="68"/>
      <c r="ANL97" s="68"/>
      <c r="ANM97" s="68"/>
      <c r="ANN97" s="68"/>
      <c r="ANO97" s="68"/>
      <c r="ANP97" s="68"/>
      <c r="ANQ97" s="68"/>
      <c r="ANR97" s="68"/>
      <c r="ANS97" s="68"/>
      <c r="ANT97" s="68"/>
      <c r="ANU97" s="68"/>
      <c r="ANV97" s="68"/>
      <c r="ANW97" s="68"/>
      <c r="ANX97" s="68"/>
      <c r="ANY97" s="68"/>
      <c r="ANZ97" s="68"/>
      <c r="AOA97" s="68"/>
      <c r="AOB97" s="68"/>
      <c r="AOC97" s="68"/>
      <c r="AOD97" s="68"/>
      <c r="AOE97" s="68"/>
      <c r="AOF97" s="68"/>
      <c r="AOG97" s="68"/>
      <c r="AOH97" s="68"/>
      <c r="AOI97" s="68"/>
      <c r="AOJ97" s="68"/>
      <c r="AOK97" s="68"/>
      <c r="AOL97" s="68"/>
      <c r="AOM97" s="68"/>
      <c r="AON97" s="68"/>
      <c r="AOO97" s="68"/>
      <c r="AOP97" s="68"/>
      <c r="AOQ97" s="68"/>
      <c r="AOR97" s="68"/>
      <c r="AOS97" s="68"/>
      <c r="AOT97" s="68"/>
      <c r="AOU97" s="68"/>
      <c r="AOV97" s="68"/>
      <c r="AOW97" s="68"/>
      <c r="AOX97" s="68"/>
      <c r="AOY97" s="68"/>
      <c r="AOZ97" s="68"/>
      <c r="APA97" s="68"/>
      <c r="APB97" s="68"/>
      <c r="APC97" s="68"/>
      <c r="APD97" s="68"/>
      <c r="APE97" s="68"/>
      <c r="APF97" s="68"/>
      <c r="APG97" s="68"/>
      <c r="APH97" s="68"/>
      <c r="API97" s="68"/>
      <c r="APJ97" s="68"/>
      <c r="APK97" s="68"/>
      <c r="APL97" s="68"/>
      <c r="APM97" s="68"/>
      <c r="APN97" s="68"/>
      <c r="APO97" s="68"/>
      <c r="APP97" s="68"/>
      <c r="APQ97" s="68"/>
      <c r="APR97" s="68"/>
      <c r="APS97" s="68"/>
      <c r="APT97" s="68"/>
      <c r="APU97" s="68"/>
      <c r="APV97" s="68"/>
      <c r="APW97" s="68"/>
      <c r="APX97" s="68"/>
      <c r="APY97" s="68"/>
      <c r="APZ97" s="68"/>
      <c r="AQA97" s="68"/>
      <c r="AQB97" s="68"/>
      <c r="AQC97" s="68"/>
      <c r="AQD97" s="68"/>
      <c r="AQE97" s="68"/>
      <c r="AQF97" s="68"/>
      <c r="AQG97" s="68"/>
      <c r="AQH97" s="68"/>
      <c r="AQI97" s="68"/>
      <c r="AQJ97" s="68"/>
      <c r="AQK97" s="68"/>
      <c r="AQL97" s="68"/>
      <c r="AQM97" s="68"/>
      <c r="AQN97" s="68"/>
      <c r="AQO97" s="68"/>
      <c r="AQP97" s="68"/>
      <c r="AQQ97" s="68"/>
      <c r="AQR97" s="68"/>
      <c r="AQS97" s="68"/>
      <c r="AQT97" s="68"/>
      <c r="AQU97" s="68"/>
      <c r="AQV97" s="68"/>
      <c r="AQW97" s="68"/>
      <c r="AQX97" s="68"/>
      <c r="AQY97" s="68"/>
      <c r="AQZ97" s="68"/>
      <c r="ARA97" s="68"/>
      <c r="ARB97" s="68"/>
      <c r="ARC97" s="68"/>
      <c r="ARD97" s="68"/>
      <c r="ARE97" s="68"/>
      <c r="ARF97" s="68"/>
      <c r="ARG97" s="68"/>
      <c r="ARH97" s="68"/>
      <c r="ARI97" s="68"/>
      <c r="ARJ97" s="68"/>
      <c r="ARK97" s="68"/>
      <c r="ARL97" s="68"/>
      <c r="ARM97" s="68"/>
      <c r="ARN97" s="68"/>
      <c r="ARO97" s="68"/>
      <c r="ARP97" s="68"/>
      <c r="ARQ97" s="68"/>
      <c r="ARR97" s="68"/>
      <c r="ARS97" s="68"/>
      <c r="ART97" s="68"/>
      <c r="ARU97" s="68"/>
      <c r="ARV97" s="68"/>
      <c r="ARW97" s="68"/>
      <c r="ARX97" s="68"/>
      <c r="ARY97" s="68"/>
      <c r="ARZ97" s="68"/>
      <c r="ASA97" s="68"/>
      <c r="ASB97" s="68"/>
      <c r="ASC97" s="68"/>
      <c r="ASD97" s="68"/>
      <c r="ASE97" s="68"/>
      <c r="ASF97" s="68"/>
      <c r="ASG97" s="68"/>
      <c r="ASH97" s="68"/>
      <c r="ASI97" s="68"/>
      <c r="ASJ97" s="68"/>
      <c r="ASK97" s="68"/>
      <c r="ASL97" s="68"/>
      <c r="ASM97" s="68"/>
      <c r="ASN97" s="68"/>
      <c r="ASO97" s="68"/>
      <c r="ASP97" s="68"/>
      <c r="ASQ97" s="68"/>
      <c r="ASR97" s="68"/>
      <c r="ASS97" s="68"/>
      <c r="AST97" s="68"/>
      <c r="ASU97" s="68"/>
      <c r="ASV97" s="68"/>
      <c r="ASW97" s="68"/>
      <c r="ASX97" s="68"/>
      <c r="ASY97" s="68"/>
      <c r="ASZ97" s="68"/>
      <c r="ATA97" s="68"/>
      <c r="ATB97" s="68"/>
      <c r="ATC97" s="68"/>
      <c r="ATD97" s="68"/>
      <c r="ATE97" s="68"/>
      <c r="ATF97" s="68"/>
      <c r="ATG97" s="68"/>
      <c r="ATH97" s="68"/>
      <c r="ATI97" s="68"/>
      <c r="ATJ97" s="68"/>
      <c r="ATK97" s="68"/>
      <c r="ATL97" s="68"/>
      <c r="ATM97" s="68"/>
      <c r="ATN97" s="68"/>
      <c r="ATO97" s="68"/>
      <c r="ATP97" s="68"/>
      <c r="ATQ97" s="68"/>
      <c r="ATR97" s="68"/>
      <c r="ATS97" s="68"/>
      <c r="ATT97" s="68"/>
      <c r="ATU97" s="68"/>
      <c r="ATV97" s="68"/>
      <c r="ATW97" s="68"/>
      <c r="ATX97" s="68"/>
      <c r="ATY97" s="68"/>
      <c r="ATZ97" s="68"/>
      <c r="AUA97" s="68"/>
      <c r="AUB97" s="68"/>
      <c r="AUC97" s="68"/>
      <c r="AUD97" s="68"/>
      <c r="AUE97" s="68"/>
      <c r="AUF97" s="68"/>
      <c r="AUG97" s="68"/>
      <c r="AUH97" s="68"/>
      <c r="AUI97" s="68"/>
      <c r="AUJ97" s="68"/>
      <c r="AUK97" s="68"/>
      <c r="AUL97" s="68"/>
      <c r="AUM97" s="68"/>
      <c r="AUN97" s="68"/>
      <c r="AUO97" s="68"/>
      <c r="AUP97" s="68"/>
      <c r="AUQ97" s="68"/>
      <c r="AUR97" s="68"/>
      <c r="AUS97" s="68"/>
      <c r="AUT97" s="68"/>
      <c r="AUU97" s="68"/>
      <c r="AUV97" s="68"/>
      <c r="AUW97" s="68"/>
      <c r="AUX97" s="68"/>
      <c r="AUY97" s="68"/>
      <c r="AUZ97" s="68"/>
      <c r="AVA97" s="68"/>
      <c r="AVB97" s="68"/>
      <c r="AVC97" s="68"/>
      <c r="AVD97" s="68"/>
      <c r="AVE97" s="68"/>
      <c r="AVF97" s="68"/>
      <c r="AVG97" s="68"/>
      <c r="AVH97" s="68"/>
      <c r="AVI97" s="68"/>
      <c r="AVJ97" s="68"/>
      <c r="AVK97" s="68"/>
      <c r="AVL97" s="68"/>
      <c r="AVM97" s="68"/>
      <c r="AVN97" s="68"/>
      <c r="AVO97" s="68"/>
      <c r="AVP97" s="68"/>
      <c r="AVQ97" s="68"/>
      <c r="AVR97" s="68"/>
      <c r="AVS97" s="68"/>
      <c r="AVT97" s="68"/>
      <c r="AVU97" s="68"/>
      <c r="AVV97" s="68"/>
      <c r="AVW97" s="68"/>
      <c r="AVX97" s="68"/>
      <c r="AVY97" s="68"/>
      <c r="AVZ97" s="68"/>
      <c r="AWA97" s="68"/>
      <c r="AWB97" s="68"/>
      <c r="AWC97" s="68"/>
      <c r="AWD97" s="68"/>
      <c r="AWE97" s="68"/>
      <c r="AWF97" s="68"/>
      <c r="AWG97" s="68"/>
      <c r="AWH97" s="68"/>
      <c r="AWI97" s="68"/>
      <c r="AWJ97" s="68"/>
      <c r="AWK97" s="68"/>
      <c r="AWL97" s="68"/>
      <c r="AWM97" s="68"/>
      <c r="AWN97" s="68"/>
      <c r="AWO97" s="68"/>
      <c r="AWP97" s="68"/>
      <c r="AWQ97" s="68"/>
      <c r="AWR97" s="68"/>
      <c r="AWS97" s="68"/>
      <c r="AWT97" s="68"/>
      <c r="AWU97" s="68"/>
      <c r="AWV97" s="68"/>
      <c r="AWW97" s="68"/>
      <c r="AWX97" s="68"/>
      <c r="AWY97" s="68"/>
      <c r="AWZ97" s="68"/>
      <c r="AXA97" s="68"/>
      <c r="AXB97" s="68"/>
      <c r="AXC97" s="68"/>
      <c r="AXD97" s="68"/>
      <c r="AXE97" s="68"/>
      <c r="AXF97" s="68"/>
      <c r="AXG97" s="68"/>
      <c r="AXH97" s="68"/>
      <c r="AXI97" s="68"/>
      <c r="AXJ97" s="68"/>
      <c r="AXK97" s="68"/>
      <c r="AXL97" s="68"/>
      <c r="AXM97" s="68"/>
      <c r="AXN97" s="68"/>
      <c r="AXO97" s="68"/>
      <c r="AXP97" s="68"/>
      <c r="AXQ97" s="68"/>
      <c r="AXR97" s="68"/>
      <c r="AXS97" s="68"/>
      <c r="AXT97" s="68"/>
      <c r="AXU97" s="68"/>
      <c r="AXV97" s="68"/>
      <c r="AXW97" s="68"/>
      <c r="AXX97" s="68"/>
      <c r="AXY97" s="68"/>
      <c r="AXZ97" s="68"/>
      <c r="AYA97" s="68"/>
      <c r="AYB97" s="68"/>
      <c r="AYC97" s="68"/>
      <c r="AYD97" s="68"/>
      <c r="AYE97" s="68"/>
      <c r="AYF97" s="68"/>
      <c r="AYG97" s="68"/>
      <c r="AYH97" s="68"/>
      <c r="AYI97" s="68"/>
      <c r="AYJ97" s="68"/>
      <c r="AYK97" s="68"/>
      <c r="AYL97" s="68"/>
      <c r="AYM97" s="68"/>
      <c r="AYN97" s="68"/>
      <c r="AYO97" s="68"/>
      <c r="AYP97" s="68"/>
      <c r="AYQ97" s="68"/>
      <c r="AYR97" s="68"/>
      <c r="AYS97" s="68"/>
      <c r="AYT97" s="68"/>
      <c r="AYU97" s="68"/>
      <c r="AYV97" s="68"/>
      <c r="AYW97" s="68"/>
      <c r="AYX97" s="68"/>
      <c r="AYY97" s="68"/>
      <c r="AYZ97" s="68"/>
      <c r="AZA97" s="68"/>
      <c r="AZB97" s="68"/>
      <c r="AZC97" s="68"/>
      <c r="AZD97" s="68"/>
      <c r="AZE97" s="68"/>
      <c r="AZF97" s="68"/>
      <c r="AZG97" s="68"/>
      <c r="AZH97" s="68"/>
      <c r="AZI97" s="68"/>
      <c r="AZJ97" s="68"/>
      <c r="AZK97" s="68"/>
      <c r="AZL97" s="68"/>
      <c r="AZM97" s="68"/>
      <c r="AZN97" s="68"/>
      <c r="AZO97" s="68"/>
      <c r="AZP97" s="68"/>
      <c r="AZQ97" s="68"/>
      <c r="AZR97" s="68"/>
      <c r="AZS97" s="68"/>
      <c r="AZT97" s="68"/>
      <c r="AZU97" s="68"/>
      <c r="AZV97" s="68"/>
      <c r="AZW97" s="68"/>
      <c r="AZX97" s="68"/>
      <c r="AZY97" s="68"/>
      <c r="AZZ97" s="68"/>
      <c r="BAA97" s="68"/>
      <c r="BAB97" s="68"/>
      <c r="BAC97" s="68"/>
      <c r="BAD97" s="68"/>
      <c r="BAE97" s="68"/>
      <c r="BAF97" s="68"/>
      <c r="BAG97" s="68"/>
      <c r="BAH97" s="68"/>
      <c r="BAI97" s="68"/>
      <c r="BAJ97" s="68"/>
      <c r="BAK97" s="68"/>
      <c r="BAL97" s="68"/>
      <c r="BAM97" s="68"/>
      <c r="BAN97" s="68"/>
      <c r="BAO97" s="68"/>
      <c r="BAP97" s="68"/>
      <c r="BAQ97" s="68"/>
      <c r="BAR97" s="68"/>
      <c r="BAS97" s="68"/>
      <c r="BAT97" s="68"/>
      <c r="BAU97" s="68"/>
      <c r="BAV97" s="68"/>
      <c r="BAW97" s="68"/>
      <c r="BAX97" s="68"/>
      <c r="BAY97" s="68"/>
      <c r="BAZ97" s="68"/>
      <c r="BBA97" s="68"/>
      <c r="BBB97" s="68"/>
      <c r="BBC97" s="68"/>
      <c r="BBD97" s="68"/>
      <c r="BBE97" s="68"/>
      <c r="BBF97" s="68"/>
      <c r="BBG97" s="68"/>
      <c r="BBH97" s="68"/>
      <c r="BBI97" s="68"/>
      <c r="BBJ97" s="68"/>
      <c r="BBK97" s="68"/>
      <c r="BBL97" s="68"/>
      <c r="BBM97" s="68"/>
      <c r="BBN97" s="68"/>
      <c r="BBO97" s="68"/>
      <c r="BBP97" s="68"/>
      <c r="BBQ97" s="68"/>
      <c r="BBR97" s="68"/>
      <c r="BBS97" s="68"/>
      <c r="BBT97" s="68"/>
      <c r="BBU97" s="68"/>
      <c r="BBV97" s="68"/>
      <c r="BBW97" s="68"/>
      <c r="BBX97" s="68"/>
      <c r="BBY97" s="68"/>
      <c r="BBZ97" s="68"/>
      <c r="BCA97" s="68"/>
      <c r="BCB97" s="68"/>
      <c r="BCC97" s="68"/>
      <c r="BCD97" s="68"/>
      <c r="BCE97" s="68"/>
      <c r="BCF97" s="68"/>
      <c r="BCG97" s="68"/>
      <c r="BCH97" s="68"/>
      <c r="BCI97" s="68"/>
      <c r="BCJ97" s="68"/>
      <c r="BCK97" s="68"/>
      <c r="BCL97" s="68"/>
      <c r="BCM97" s="68"/>
      <c r="BCN97" s="68"/>
      <c r="BCO97" s="68"/>
      <c r="BCP97" s="68"/>
      <c r="BCQ97" s="68"/>
      <c r="BCR97" s="68"/>
      <c r="BCS97" s="68"/>
      <c r="BCT97" s="68"/>
      <c r="BCU97" s="68"/>
      <c r="BCV97" s="68"/>
      <c r="BCW97" s="68"/>
      <c r="BCX97" s="68"/>
      <c r="BCY97" s="68"/>
      <c r="BCZ97" s="68"/>
      <c r="BDA97" s="68"/>
    </row>
    <row r="98" spans="1:1457" s="67" customFormat="1" ht="49.5" customHeight="1" x14ac:dyDescent="0.25">
      <c r="A98" s="49">
        <v>16</v>
      </c>
      <c r="B98" s="71" t="s">
        <v>741</v>
      </c>
      <c r="C98" s="71" t="s">
        <v>742</v>
      </c>
      <c r="D98" s="71" t="s">
        <v>708</v>
      </c>
      <c r="E98" s="71" t="s">
        <v>709</v>
      </c>
      <c r="F98" s="51">
        <v>12888350</v>
      </c>
      <c r="G98" s="70" t="s">
        <v>627</v>
      </c>
      <c r="H98" s="42" t="s">
        <v>666</v>
      </c>
      <c r="I98" s="71" t="s">
        <v>740</v>
      </c>
      <c r="J98" s="71" t="s">
        <v>73</v>
      </c>
      <c r="K98" s="71" t="s">
        <v>343</v>
      </c>
      <c r="L98" s="74">
        <v>12888350</v>
      </c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  <c r="BW98" s="68"/>
      <c r="BX98" s="68"/>
      <c r="BY98" s="68"/>
      <c r="BZ98" s="68"/>
      <c r="CA98" s="68"/>
      <c r="CB98" s="68"/>
      <c r="CC98" s="68"/>
      <c r="CD98" s="68"/>
      <c r="CE98" s="68"/>
      <c r="CF98" s="68"/>
      <c r="CG98" s="68"/>
      <c r="CH98" s="68"/>
      <c r="CI98" s="68"/>
      <c r="CJ98" s="68"/>
      <c r="CK98" s="68"/>
      <c r="CL98" s="68"/>
      <c r="CM98" s="68"/>
      <c r="CN98" s="68"/>
      <c r="CO98" s="68"/>
      <c r="CP98" s="68"/>
      <c r="CQ98" s="68"/>
      <c r="CR98" s="68"/>
      <c r="CS98" s="68"/>
      <c r="CT98" s="68"/>
      <c r="CU98" s="68"/>
      <c r="CV98" s="68"/>
      <c r="CW98" s="68"/>
      <c r="CX98" s="68"/>
      <c r="CY98" s="68"/>
      <c r="CZ98" s="68"/>
      <c r="DA98" s="68"/>
      <c r="DB98" s="68"/>
      <c r="DC98" s="68"/>
      <c r="DD98" s="68"/>
      <c r="DE98" s="68"/>
      <c r="DF98" s="68"/>
      <c r="DG98" s="68"/>
      <c r="DH98" s="68"/>
      <c r="DI98" s="68"/>
      <c r="DJ98" s="68"/>
      <c r="DK98" s="68"/>
      <c r="DL98" s="68"/>
      <c r="DM98" s="68"/>
      <c r="DN98" s="68"/>
      <c r="DO98" s="68"/>
      <c r="DP98" s="68"/>
      <c r="DQ98" s="68"/>
      <c r="DR98" s="68"/>
      <c r="DS98" s="68"/>
      <c r="DT98" s="68"/>
      <c r="DU98" s="68"/>
      <c r="DV98" s="68"/>
      <c r="DW98" s="68"/>
      <c r="DX98" s="68"/>
      <c r="DY98" s="68"/>
      <c r="DZ98" s="68"/>
      <c r="EA98" s="68"/>
      <c r="EB98" s="68"/>
      <c r="EC98" s="68"/>
      <c r="ED98" s="68"/>
      <c r="EE98" s="68"/>
      <c r="EF98" s="68"/>
      <c r="EG98" s="68"/>
      <c r="EH98" s="68"/>
      <c r="EI98" s="68"/>
      <c r="EJ98" s="68"/>
      <c r="EK98" s="68"/>
      <c r="EL98" s="68"/>
      <c r="EM98" s="68"/>
      <c r="EN98" s="68"/>
      <c r="EO98" s="68"/>
      <c r="EP98" s="68"/>
      <c r="EQ98" s="68"/>
      <c r="ER98" s="68"/>
      <c r="ES98" s="68"/>
      <c r="ET98" s="68"/>
      <c r="EU98" s="68"/>
      <c r="EV98" s="68"/>
      <c r="EW98" s="68"/>
      <c r="EX98" s="68"/>
      <c r="EY98" s="68"/>
      <c r="EZ98" s="68"/>
      <c r="FA98" s="68"/>
      <c r="FB98" s="68"/>
      <c r="FC98" s="68"/>
      <c r="FD98" s="68"/>
      <c r="FE98" s="68"/>
      <c r="FF98" s="68"/>
      <c r="FG98" s="68"/>
      <c r="FH98" s="68"/>
      <c r="FI98" s="68"/>
      <c r="FJ98" s="68"/>
      <c r="FK98" s="68"/>
      <c r="FL98" s="68"/>
      <c r="FM98" s="68"/>
      <c r="FN98" s="68"/>
      <c r="FO98" s="68"/>
      <c r="FP98" s="68"/>
      <c r="FQ98" s="68"/>
      <c r="FR98" s="68"/>
      <c r="FS98" s="68"/>
      <c r="FT98" s="68"/>
      <c r="FU98" s="68"/>
      <c r="FV98" s="68"/>
      <c r="FW98" s="68"/>
      <c r="FX98" s="68"/>
      <c r="FY98" s="68"/>
      <c r="FZ98" s="68"/>
      <c r="GA98" s="68"/>
      <c r="GB98" s="68"/>
      <c r="GC98" s="68"/>
      <c r="GD98" s="68"/>
      <c r="GE98" s="68"/>
      <c r="GF98" s="68"/>
      <c r="GG98" s="68"/>
      <c r="GH98" s="68"/>
      <c r="GI98" s="68"/>
      <c r="GJ98" s="68"/>
      <c r="GK98" s="68"/>
      <c r="GL98" s="68"/>
      <c r="GM98" s="68"/>
      <c r="GN98" s="68"/>
      <c r="GO98" s="68"/>
      <c r="GP98" s="68"/>
      <c r="GQ98" s="68"/>
      <c r="GR98" s="68"/>
      <c r="GS98" s="68"/>
      <c r="GT98" s="68"/>
      <c r="GU98" s="68"/>
      <c r="GV98" s="68"/>
      <c r="GW98" s="68"/>
      <c r="GX98" s="68"/>
      <c r="GY98" s="68"/>
      <c r="GZ98" s="68"/>
      <c r="HA98" s="68"/>
      <c r="HB98" s="68"/>
      <c r="HC98" s="68"/>
      <c r="HD98" s="68"/>
      <c r="HE98" s="68"/>
      <c r="HF98" s="68"/>
      <c r="HG98" s="68"/>
      <c r="HH98" s="68"/>
      <c r="HI98" s="68"/>
      <c r="HJ98" s="68"/>
      <c r="HK98" s="68"/>
      <c r="HL98" s="68"/>
      <c r="HM98" s="68"/>
      <c r="HN98" s="68"/>
      <c r="HO98" s="68"/>
      <c r="HP98" s="68"/>
      <c r="HQ98" s="68"/>
      <c r="HR98" s="68"/>
      <c r="HS98" s="68"/>
      <c r="HT98" s="68"/>
      <c r="HU98" s="68"/>
      <c r="HV98" s="68"/>
      <c r="HW98" s="68"/>
      <c r="HX98" s="68"/>
      <c r="HY98" s="68"/>
      <c r="HZ98" s="68"/>
      <c r="IA98" s="68"/>
      <c r="IB98" s="68"/>
      <c r="IC98" s="68"/>
      <c r="ID98" s="68"/>
      <c r="IE98" s="68"/>
      <c r="IF98" s="68"/>
      <c r="IG98" s="68"/>
      <c r="IH98" s="68"/>
      <c r="II98" s="68"/>
      <c r="IJ98" s="68"/>
      <c r="IK98" s="68"/>
      <c r="IL98" s="68"/>
      <c r="IM98" s="68"/>
      <c r="IN98" s="68"/>
      <c r="IO98" s="68"/>
      <c r="IP98" s="68"/>
      <c r="IQ98" s="68"/>
      <c r="IR98" s="68"/>
      <c r="IS98" s="68"/>
      <c r="IT98" s="68"/>
      <c r="IU98" s="68"/>
      <c r="IV98" s="68"/>
      <c r="IW98" s="68"/>
      <c r="IX98" s="68"/>
      <c r="IY98" s="68"/>
      <c r="IZ98" s="68"/>
      <c r="JA98" s="68"/>
      <c r="JB98" s="68"/>
      <c r="JC98" s="68"/>
      <c r="JD98" s="68"/>
      <c r="JE98" s="68"/>
      <c r="JF98" s="68"/>
      <c r="JG98" s="68"/>
      <c r="JH98" s="68"/>
      <c r="JI98" s="68"/>
      <c r="JJ98" s="68"/>
      <c r="JK98" s="68"/>
      <c r="JL98" s="68"/>
      <c r="JM98" s="68"/>
      <c r="JN98" s="68"/>
      <c r="JO98" s="68"/>
      <c r="JP98" s="68"/>
      <c r="JQ98" s="68"/>
      <c r="JR98" s="68"/>
      <c r="JS98" s="68"/>
      <c r="JT98" s="68"/>
      <c r="JU98" s="68"/>
      <c r="JV98" s="68"/>
      <c r="JW98" s="68"/>
      <c r="JX98" s="68"/>
      <c r="JY98" s="68"/>
      <c r="JZ98" s="68"/>
      <c r="KA98" s="68"/>
      <c r="KB98" s="68"/>
      <c r="KC98" s="68"/>
      <c r="KD98" s="68"/>
      <c r="KE98" s="68"/>
      <c r="KF98" s="68"/>
      <c r="KG98" s="68"/>
      <c r="KH98" s="68"/>
      <c r="KI98" s="68"/>
      <c r="KJ98" s="68"/>
      <c r="KK98" s="68"/>
      <c r="KL98" s="68"/>
      <c r="KM98" s="68"/>
      <c r="KN98" s="68"/>
      <c r="KO98" s="68"/>
      <c r="KP98" s="68"/>
      <c r="KQ98" s="68"/>
      <c r="KR98" s="68"/>
      <c r="KS98" s="68"/>
      <c r="KT98" s="68"/>
      <c r="KU98" s="68"/>
      <c r="KV98" s="68"/>
      <c r="KW98" s="68"/>
      <c r="KX98" s="68"/>
      <c r="KY98" s="68"/>
      <c r="KZ98" s="68"/>
      <c r="LA98" s="68"/>
      <c r="LB98" s="68"/>
      <c r="LC98" s="68"/>
      <c r="LD98" s="68"/>
      <c r="LE98" s="68"/>
      <c r="LF98" s="68"/>
      <c r="LG98" s="68"/>
      <c r="LH98" s="68"/>
      <c r="LI98" s="68"/>
      <c r="LJ98" s="68"/>
      <c r="LK98" s="68"/>
      <c r="LL98" s="68"/>
      <c r="LM98" s="68"/>
      <c r="LN98" s="68"/>
      <c r="LO98" s="68"/>
      <c r="LP98" s="68"/>
      <c r="LQ98" s="68"/>
      <c r="LR98" s="68"/>
      <c r="LS98" s="68"/>
      <c r="LT98" s="68"/>
      <c r="LU98" s="68"/>
      <c r="LV98" s="68"/>
      <c r="LW98" s="68"/>
      <c r="LX98" s="68"/>
      <c r="LY98" s="68"/>
      <c r="LZ98" s="68"/>
      <c r="MA98" s="68"/>
      <c r="MB98" s="68"/>
      <c r="MC98" s="68"/>
      <c r="MD98" s="68"/>
      <c r="ME98" s="68"/>
      <c r="MF98" s="68"/>
      <c r="MG98" s="68"/>
      <c r="MH98" s="68"/>
      <c r="MI98" s="68"/>
      <c r="MJ98" s="68"/>
      <c r="MK98" s="68"/>
      <c r="ML98" s="68"/>
      <c r="MM98" s="68"/>
      <c r="MN98" s="68"/>
      <c r="MO98" s="68"/>
      <c r="MP98" s="68"/>
      <c r="MQ98" s="68"/>
      <c r="MR98" s="68"/>
      <c r="MS98" s="68"/>
      <c r="MT98" s="68"/>
      <c r="MU98" s="68"/>
      <c r="MV98" s="68"/>
      <c r="MW98" s="68"/>
      <c r="MX98" s="68"/>
      <c r="MY98" s="68"/>
      <c r="MZ98" s="68"/>
      <c r="NA98" s="68"/>
      <c r="NB98" s="68"/>
      <c r="NC98" s="68"/>
      <c r="ND98" s="68"/>
      <c r="NE98" s="68"/>
      <c r="NF98" s="68"/>
      <c r="NG98" s="68"/>
      <c r="NH98" s="68"/>
      <c r="NI98" s="68"/>
      <c r="NJ98" s="68"/>
      <c r="NK98" s="68"/>
      <c r="NL98" s="68"/>
      <c r="NM98" s="68"/>
      <c r="NN98" s="68"/>
      <c r="NO98" s="68"/>
      <c r="NP98" s="68"/>
      <c r="NQ98" s="68"/>
      <c r="NR98" s="68"/>
      <c r="NS98" s="68"/>
      <c r="NT98" s="68"/>
      <c r="NU98" s="68"/>
      <c r="NV98" s="68"/>
      <c r="NW98" s="68"/>
      <c r="NX98" s="68"/>
      <c r="NY98" s="68"/>
      <c r="NZ98" s="68"/>
      <c r="OA98" s="68"/>
      <c r="OB98" s="68"/>
      <c r="OC98" s="68"/>
      <c r="OD98" s="68"/>
      <c r="OE98" s="68"/>
      <c r="OF98" s="68"/>
      <c r="OG98" s="68"/>
      <c r="OH98" s="68"/>
      <c r="OI98" s="68"/>
      <c r="OJ98" s="68"/>
      <c r="OK98" s="68"/>
      <c r="OL98" s="68"/>
      <c r="OM98" s="68"/>
      <c r="ON98" s="68"/>
      <c r="OO98" s="68"/>
      <c r="OP98" s="68"/>
      <c r="OQ98" s="68"/>
      <c r="OR98" s="68"/>
      <c r="OS98" s="68"/>
      <c r="OT98" s="68"/>
      <c r="OU98" s="68"/>
      <c r="OV98" s="68"/>
      <c r="OW98" s="68"/>
      <c r="OX98" s="68"/>
      <c r="OY98" s="68"/>
      <c r="OZ98" s="68"/>
      <c r="PA98" s="68"/>
      <c r="PB98" s="68"/>
      <c r="PC98" s="68"/>
      <c r="PD98" s="68"/>
      <c r="PE98" s="68"/>
      <c r="PF98" s="68"/>
      <c r="PG98" s="68"/>
      <c r="PH98" s="68"/>
      <c r="PI98" s="68"/>
      <c r="PJ98" s="68"/>
      <c r="PK98" s="68"/>
      <c r="PL98" s="68"/>
      <c r="PM98" s="68"/>
      <c r="PN98" s="68"/>
      <c r="PO98" s="68"/>
      <c r="PP98" s="68"/>
      <c r="PQ98" s="68"/>
      <c r="PR98" s="68"/>
      <c r="PS98" s="68"/>
      <c r="PT98" s="68"/>
      <c r="PU98" s="68"/>
      <c r="PV98" s="68"/>
      <c r="PW98" s="68"/>
      <c r="PX98" s="68"/>
      <c r="PY98" s="68"/>
      <c r="PZ98" s="68"/>
      <c r="QA98" s="68"/>
      <c r="QB98" s="68"/>
      <c r="QC98" s="68"/>
      <c r="QD98" s="68"/>
      <c r="QE98" s="68"/>
      <c r="QF98" s="68"/>
      <c r="QG98" s="68"/>
      <c r="QH98" s="68"/>
      <c r="QI98" s="68"/>
      <c r="QJ98" s="68"/>
      <c r="QK98" s="68"/>
      <c r="QL98" s="68"/>
      <c r="QM98" s="68"/>
      <c r="QN98" s="68"/>
      <c r="QO98" s="68"/>
      <c r="QP98" s="68"/>
      <c r="QQ98" s="68"/>
      <c r="QR98" s="68"/>
      <c r="QS98" s="68"/>
      <c r="QT98" s="68"/>
      <c r="QU98" s="68"/>
      <c r="QV98" s="68"/>
      <c r="QW98" s="68"/>
      <c r="QX98" s="68"/>
      <c r="QY98" s="68"/>
      <c r="QZ98" s="68"/>
      <c r="RA98" s="68"/>
      <c r="RB98" s="68"/>
      <c r="RC98" s="68"/>
      <c r="RD98" s="68"/>
      <c r="RE98" s="68"/>
      <c r="RF98" s="68"/>
      <c r="RG98" s="68"/>
      <c r="RH98" s="68"/>
      <c r="RI98" s="68"/>
      <c r="RJ98" s="68"/>
      <c r="RK98" s="68"/>
      <c r="RL98" s="68"/>
      <c r="RM98" s="68"/>
      <c r="RN98" s="68"/>
      <c r="RO98" s="68"/>
      <c r="RP98" s="68"/>
      <c r="RQ98" s="68"/>
      <c r="RR98" s="68"/>
      <c r="RS98" s="68"/>
      <c r="RT98" s="68"/>
      <c r="RU98" s="68"/>
      <c r="RV98" s="68"/>
      <c r="RW98" s="68"/>
      <c r="RX98" s="68"/>
      <c r="RY98" s="68"/>
      <c r="RZ98" s="68"/>
      <c r="SA98" s="68"/>
      <c r="SB98" s="68"/>
      <c r="SC98" s="68"/>
      <c r="SD98" s="68"/>
      <c r="SE98" s="68"/>
      <c r="SF98" s="68"/>
      <c r="SG98" s="68"/>
      <c r="SH98" s="68"/>
      <c r="SI98" s="68"/>
      <c r="SJ98" s="68"/>
      <c r="SK98" s="68"/>
      <c r="SL98" s="68"/>
      <c r="SM98" s="68"/>
      <c r="SN98" s="68"/>
      <c r="SO98" s="68"/>
      <c r="SP98" s="68"/>
      <c r="SQ98" s="68"/>
      <c r="SR98" s="68"/>
      <c r="SS98" s="68"/>
      <c r="ST98" s="68"/>
      <c r="SU98" s="68"/>
      <c r="SV98" s="68"/>
      <c r="SW98" s="68"/>
      <c r="SX98" s="68"/>
      <c r="SY98" s="68"/>
      <c r="SZ98" s="68"/>
      <c r="TA98" s="68"/>
      <c r="TB98" s="68"/>
      <c r="TC98" s="68"/>
      <c r="TD98" s="68"/>
      <c r="TE98" s="68"/>
      <c r="TF98" s="68"/>
      <c r="TG98" s="68"/>
      <c r="TH98" s="68"/>
      <c r="TI98" s="68"/>
      <c r="TJ98" s="68"/>
      <c r="TK98" s="68"/>
      <c r="TL98" s="68"/>
      <c r="TM98" s="68"/>
      <c r="TN98" s="68"/>
      <c r="TO98" s="68"/>
      <c r="TP98" s="68"/>
      <c r="TQ98" s="68"/>
      <c r="TR98" s="68"/>
      <c r="TS98" s="68"/>
      <c r="TT98" s="68"/>
      <c r="TU98" s="68"/>
      <c r="TV98" s="68"/>
      <c r="TW98" s="68"/>
      <c r="TX98" s="68"/>
      <c r="TY98" s="68"/>
      <c r="TZ98" s="68"/>
      <c r="UA98" s="68"/>
      <c r="UB98" s="68"/>
      <c r="UC98" s="68"/>
      <c r="UD98" s="68"/>
      <c r="UE98" s="68"/>
      <c r="UF98" s="68"/>
      <c r="UG98" s="68"/>
      <c r="UH98" s="68"/>
      <c r="UI98" s="68"/>
      <c r="UJ98" s="68"/>
      <c r="UK98" s="68"/>
      <c r="UL98" s="68"/>
      <c r="UM98" s="68"/>
      <c r="UN98" s="68"/>
      <c r="UO98" s="68"/>
      <c r="UP98" s="68"/>
      <c r="UQ98" s="68"/>
      <c r="UR98" s="68"/>
      <c r="US98" s="68"/>
      <c r="UT98" s="68"/>
      <c r="UU98" s="68"/>
      <c r="UV98" s="68"/>
      <c r="UW98" s="68"/>
      <c r="UX98" s="68"/>
      <c r="UY98" s="68"/>
      <c r="UZ98" s="68"/>
      <c r="VA98" s="68"/>
      <c r="VB98" s="68"/>
      <c r="VC98" s="68"/>
      <c r="VD98" s="68"/>
      <c r="VE98" s="68"/>
      <c r="VF98" s="68"/>
      <c r="VG98" s="68"/>
      <c r="VH98" s="68"/>
      <c r="VI98" s="68"/>
      <c r="VJ98" s="68"/>
      <c r="VK98" s="68"/>
      <c r="VL98" s="68"/>
      <c r="VM98" s="68"/>
      <c r="VN98" s="68"/>
      <c r="VO98" s="68"/>
      <c r="VP98" s="68"/>
      <c r="VQ98" s="68"/>
      <c r="VR98" s="68"/>
      <c r="VS98" s="68"/>
      <c r="VT98" s="68"/>
      <c r="VU98" s="68"/>
      <c r="VV98" s="68"/>
      <c r="VW98" s="68"/>
      <c r="VX98" s="68"/>
      <c r="VY98" s="68"/>
      <c r="VZ98" s="68"/>
      <c r="WA98" s="68"/>
      <c r="WB98" s="68"/>
      <c r="WC98" s="68"/>
      <c r="WD98" s="68"/>
      <c r="WE98" s="68"/>
      <c r="WF98" s="68"/>
      <c r="WG98" s="68"/>
      <c r="WH98" s="68"/>
      <c r="WI98" s="68"/>
      <c r="WJ98" s="68"/>
      <c r="WK98" s="68"/>
      <c r="WL98" s="68"/>
      <c r="WM98" s="68"/>
      <c r="WN98" s="68"/>
      <c r="WO98" s="68"/>
      <c r="WP98" s="68"/>
      <c r="WQ98" s="68"/>
      <c r="WR98" s="68"/>
      <c r="WS98" s="68"/>
      <c r="WT98" s="68"/>
      <c r="WU98" s="68"/>
      <c r="WV98" s="68"/>
      <c r="WW98" s="68"/>
      <c r="WX98" s="68"/>
      <c r="WY98" s="68"/>
      <c r="WZ98" s="68"/>
      <c r="XA98" s="68"/>
      <c r="XB98" s="68"/>
      <c r="XC98" s="68"/>
      <c r="XD98" s="68"/>
      <c r="XE98" s="68"/>
      <c r="XF98" s="68"/>
      <c r="XG98" s="68"/>
      <c r="XH98" s="68"/>
      <c r="XI98" s="68"/>
      <c r="XJ98" s="68"/>
      <c r="XK98" s="68"/>
      <c r="XL98" s="68"/>
      <c r="XM98" s="68"/>
      <c r="XN98" s="68"/>
      <c r="XO98" s="68"/>
      <c r="XP98" s="68"/>
      <c r="XQ98" s="68"/>
      <c r="XR98" s="68"/>
      <c r="XS98" s="68"/>
      <c r="XT98" s="68"/>
      <c r="XU98" s="68"/>
      <c r="XV98" s="68"/>
      <c r="XW98" s="68"/>
      <c r="XX98" s="68"/>
      <c r="XY98" s="68"/>
      <c r="XZ98" s="68"/>
      <c r="YA98" s="68"/>
      <c r="YB98" s="68"/>
      <c r="YC98" s="68"/>
      <c r="YD98" s="68"/>
      <c r="YE98" s="68"/>
      <c r="YF98" s="68"/>
      <c r="YG98" s="68"/>
      <c r="YH98" s="68"/>
      <c r="YI98" s="68"/>
      <c r="YJ98" s="68"/>
      <c r="YK98" s="68"/>
      <c r="YL98" s="68"/>
      <c r="YM98" s="68"/>
      <c r="YN98" s="68"/>
      <c r="YO98" s="68"/>
      <c r="YP98" s="68"/>
      <c r="YQ98" s="68"/>
      <c r="YR98" s="68"/>
      <c r="YS98" s="68"/>
      <c r="YT98" s="68"/>
      <c r="YU98" s="68"/>
      <c r="YV98" s="68"/>
      <c r="YW98" s="68"/>
      <c r="YX98" s="68"/>
      <c r="YY98" s="68"/>
      <c r="YZ98" s="68"/>
      <c r="ZA98" s="68"/>
      <c r="ZB98" s="68"/>
      <c r="ZC98" s="68"/>
      <c r="ZD98" s="68"/>
      <c r="ZE98" s="68"/>
      <c r="ZF98" s="68"/>
      <c r="ZG98" s="68"/>
      <c r="ZH98" s="68"/>
      <c r="ZI98" s="68"/>
      <c r="ZJ98" s="68"/>
      <c r="ZK98" s="68"/>
      <c r="ZL98" s="68"/>
      <c r="ZM98" s="68"/>
      <c r="ZN98" s="68"/>
      <c r="ZO98" s="68"/>
      <c r="ZP98" s="68"/>
      <c r="ZQ98" s="68"/>
      <c r="ZR98" s="68"/>
      <c r="ZS98" s="68"/>
      <c r="ZT98" s="68"/>
      <c r="ZU98" s="68"/>
      <c r="ZV98" s="68"/>
      <c r="ZW98" s="68"/>
      <c r="ZX98" s="68"/>
      <c r="ZY98" s="68"/>
      <c r="ZZ98" s="68"/>
      <c r="AAA98" s="68"/>
      <c r="AAB98" s="68"/>
      <c r="AAC98" s="68"/>
      <c r="AAD98" s="68"/>
      <c r="AAE98" s="68"/>
      <c r="AAF98" s="68"/>
      <c r="AAG98" s="68"/>
      <c r="AAH98" s="68"/>
      <c r="AAI98" s="68"/>
      <c r="AAJ98" s="68"/>
      <c r="AAK98" s="68"/>
      <c r="AAL98" s="68"/>
      <c r="AAM98" s="68"/>
      <c r="AAN98" s="68"/>
      <c r="AAO98" s="68"/>
      <c r="AAP98" s="68"/>
      <c r="AAQ98" s="68"/>
      <c r="AAR98" s="68"/>
      <c r="AAS98" s="68"/>
      <c r="AAT98" s="68"/>
      <c r="AAU98" s="68"/>
      <c r="AAV98" s="68"/>
      <c r="AAW98" s="68"/>
      <c r="AAX98" s="68"/>
      <c r="AAY98" s="68"/>
      <c r="AAZ98" s="68"/>
      <c r="ABA98" s="68"/>
      <c r="ABB98" s="68"/>
      <c r="ABC98" s="68"/>
      <c r="ABD98" s="68"/>
      <c r="ABE98" s="68"/>
      <c r="ABF98" s="68"/>
      <c r="ABG98" s="68"/>
      <c r="ABH98" s="68"/>
      <c r="ABI98" s="68"/>
      <c r="ABJ98" s="68"/>
      <c r="ABK98" s="68"/>
      <c r="ABL98" s="68"/>
      <c r="ABM98" s="68"/>
      <c r="ABN98" s="68"/>
      <c r="ABO98" s="68"/>
      <c r="ABP98" s="68"/>
      <c r="ABQ98" s="68"/>
      <c r="ABR98" s="68"/>
      <c r="ABS98" s="68"/>
      <c r="ABT98" s="68"/>
      <c r="ABU98" s="68"/>
      <c r="ABV98" s="68"/>
      <c r="ABW98" s="68"/>
      <c r="ABX98" s="68"/>
      <c r="ABY98" s="68"/>
      <c r="ABZ98" s="68"/>
      <c r="ACA98" s="68"/>
      <c r="ACB98" s="68"/>
      <c r="ACC98" s="68"/>
      <c r="ACD98" s="68"/>
      <c r="ACE98" s="68"/>
      <c r="ACF98" s="68"/>
      <c r="ACG98" s="68"/>
      <c r="ACH98" s="68"/>
      <c r="ACI98" s="68"/>
      <c r="ACJ98" s="68"/>
      <c r="ACK98" s="68"/>
      <c r="ACL98" s="68"/>
      <c r="ACM98" s="68"/>
      <c r="ACN98" s="68"/>
      <c r="ACO98" s="68"/>
      <c r="ACP98" s="68"/>
      <c r="ACQ98" s="68"/>
      <c r="ACR98" s="68"/>
      <c r="ACS98" s="68"/>
      <c r="ACT98" s="68"/>
      <c r="ACU98" s="68"/>
      <c r="ACV98" s="68"/>
      <c r="ACW98" s="68"/>
      <c r="ACX98" s="68"/>
      <c r="ACY98" s="68"/>
      <c r="ACZ98" s="68"/>
      <c r="ADA98" s="68"/>
      <c r="ADB98" s="68"/>
      <c r="ADC98" s="68"/>
      <c r="ADD98" s="68"/>
      <c r="ADE98" s="68"/>
      <c r="ADF98" s="68"/>
      <c r="ADG98" s="68"/>
      <c r="ADH98" s="68"/>
      <c r="ADI98" s="68"/>
      <c r="ADJ98" s="68"/>
      <c r="ADK98" s="68"/>
      <c r="ADL98" s="68"/>
      <c r="ADM98" s="68"/>
      <c r="ADN98" s="68"/>
      <c r="ADO98" s="68"/>
      <c r="ADP98" s="68"/>
      <c r="ADQ98" s="68"/>
      <c r="ADR98" s="68"/>
      <c r="ADS98" s="68"/>
      <c r="ADT98" s="68"/>
      <c r="ADU98" s="68"/>
      <c r="ADV98" s="68"/>
      <c r="ADW98" s="68"/>
      <c r="ADX98" s="68"/>
      <c r="ADY98" s="68"/>
      <c r="ADZ98" s="68"/>
      <c r="AEA98" s="68"/>
      <c r="AEB98" s="68"/>
      <c r="AEC98" s="68"/>
      <c r="AED98" s="68"/>
      <c r="AEE98" s="68"/>
      <c r="AEF98" s="68"/>
      <c r="AEG98" s="68"/>
      <c r="AEH98" s="68"/>
      <c r="AEI98" s="68"/>
      <c r="AEJ98" s="68"/>
      <c r="AEK98" s="68"/>
      <c r="AEL98" s="68"/>
      <c r="AEM98" s="68"/>
      <c r="AEN98" s="68"/>
      <c r="AEO98" s="68"/>
      <c r="AEP98" s="68"/>
      <c r="AEQ98" s="68"/>
      <c r="AER98" s="68"/>
      <c r="AES98" s="68"/>
      <c r="AET98" s="68"/>
      <c r="AEU98" s="68"/>
      <c r="AEV98" s="68"/>
      <c r="AEW98" s="68"/>
      <c r="AEX98" s="68"/>
      <c r="AEY98" s="68"/>
      <c r="AEZ98" s="68"/>
      <c r="AFA98" s="68"/>
      <c r="AFB98" s="68"/>
      <c r="AFC98" s="68"/>
      <c r="AFD98" s="68"/>
      <c r="AFE98" s="68"/>
      <c r="AFF98" s="68"/>
      <c r="AFG98" s="68"/>
      <c r="AFH98" s="68"/>
      <c r="AFI98" s="68"/>
      <c r="AFJ98" s="68"/>
      <c r="AFK98" s="68"/>
      <c r="AFL98" s="68"/>
      <c r="AFM98" s="68"/>
      <c r="AFN98" s="68"/>
      <c r="AFO98" s="68"/>
      <c r="AFP98" s="68"/>
      <c r="AFQ98" s="68"/>
      <c r="AFR98" s="68"/>
      <c r="AFS98" s="68"/>
      <c r="AFT98" s="68"/>
      <c r="AFU98" s="68"/>
      <c r="AFV98" s="68"/>
      <c r="AFW98" s="68"/>
      <c r="AFX98" s="68"/>
      <c r="AFY98" s="68"/>
      <c r="AFZ98" s="68"/>
      <c r="AGA98" s="68"/>
      <c r="AGB98" s="68"/>
      <c r="AGC98" s="68"/>
      <c r="AGD98" s="68"/>
      <c r="AGE98" s="68"/>
      <c r="AGF98" s="68"/>
      <c r="AGG98" s="68"/>
      <c r="AGH98" s="68"/>
      <c r="AGI98" s="68"/>
      <c r="AGJ98" s="68"/>
      <c r="AGK98" s="68"/>
      <c r="AGL98" s="68"/>
      <c r="AGM98" s="68"/>
      <c r="AGN98" s="68"/>
      <c r="AGO98" s="68"/>
      <c r="AGP98" s="68"/>
      <c r="AGQ98" s="68"/>
      <c r="AGR98" s="68"/>
      <c r="AGS98" s="68"/>
      <c r="AGT98" s="68"/>
      <c r="AGU98" s="68"/>
      <c r="AGV98" s="68"/>
      <c r="AGW98" s="68"/>
      <c r="AGX98" s="68"/>
      <c r="AGY98" s="68"/>
      <c r="AGZ98" s="68"/>
      <c r="AHA98" s="68"/>
      <c r="AHB98" s="68"/>
      <c r="AHC98" s="68"/>
      <c r="AHD98" s="68"/>
      <c r="AHE98" s="68"/>
      <c r="AHF98" s="68"/>
      <c r="AHG98" s="68"/>
      <c r="AHH98" s="68"/>
      <c r="AHI98" s="68"/>
      <c r="AHJ98" s="68"/>
      <c r="AHK98" s="68"/>
      <c r="AHL98" s="68"/>
      <c r="AHM98" s="68"/>
      <c r="AHN98" s="68"/>
      <c r="AHO98" s="68"/>
      <c r="AHP98" s="68"/>
      <c r="AHQ98" s="68"/>
      <c r="AHR98" s="68"/>
      <c r="AHS98" s="68"/>
      <c r="AHT98" s="68"/>
      <c r="AHU98" s="68"/>
      <c r="AHV98" s="68"/>
      <c r="AHW98" s="68"/>
      <c r="AHX98" s="68"/>
      <c r="AHY98" s="68"/>
      <c r="AHZ98" s="68"/>
      <c r="AIA98" s="68"/>
      <c r="AIB98" s="68"/>
      <c r="AIC98" s="68"/>
      <c r="AID98" s="68"/>
      <c r="AIE98" s="68"/>
      <c r="AIF98" s="68"/>
      <c r="AIG98" s="68"/>
      <c r="AIH98" s="68"/>
      <c r="AII98" s="68"/>
      <c r="AIJ98" s="68"/>
      <c r="AIK98" s="68"/>
      <c r="AIL98" s="68"/>
      <c r="AIM98" s="68"/>
      <c r="AIN98" s="68"/>
      <c r="AIO98" s="68"/>
      <c r="AIP98" s="68"/>
      <c r="AIQ98" s="68"/>
      <c r="AIR98" s="68"/>
      <c r="AIS98" s="68"/>
      <c r="AIT98" s="68"/>
      <c r="AIU98" s="68"/>
      <c r="AIV98" s="68"/>
      <c r="AIW98" s="68"/>
      <c r="AIX98" s="68"/>
      <c r="AIY98" s="68"/>
      <c r="AIZ98" s="68"/>
      <c r="AJA98" s="68"/>
      <c r="AJB98" s="68"/>
      <c r="AJC98" s="68"/>
      <c r="AJD98" s="68"/>
      <c r="AJE98" s="68"/>
      <c r="AJF98" s="68"/>
      <c r="AJG98" s="68"/>
      <c r="AJH98" s="68"/>
      <c r="AJI98" s="68"/>
      <c r="AJJ98" s="68"/>
      <c r="AJK98" s="68"/>
      <c r="AJL98" s="68"/>
      <c r="AJM98" s="68"/>
      <c r="AJN98" s="68"/>
      <c r="AJO98" s="68"/>
      <c r="AJP98" s="68"/>
      <c r="AJQ98" s="68"/>
      <c r="AJR98" s="68"/>
      <c r="AJS98" s="68"/>
      <c r="AJT98" s="68"/>
      <c r="AJU98" s="68"/>
      <c r="AJV98" s="68"/>
      <c r="AJW98" s="68"/>
      <c r="AJX98" s="68"/>
      <c r="AJY98" s="68"/>
      <c r="AJZ98" s="68"/>
      <c r="AKA98" s="68"/>
      <c r="AKB98" s="68"/>
      <c r="AKC98" s="68"/>
      <c r="AKD98" s="68"/>
      <c r="AKE98" s="68"/>
      <c r="AKF98" s="68"/>
      <c r="AKG98" s="68"/>
      <c r="AKH98" s="68"/>
      <c r="AKI98" s="68"/>
      <c r="AKJ98" s="68"/>
      <c r="AKK98" s="68"/>
      <c r="AKL98" s="68"/>
      <c r="AKM98" s="68"/>
      <c r="AKN98" s="68"/>
      <c r="AKO98" s="68"/>
      <c r="AKP98" s="68"/>
      <c r="AKQ98" s="68"/>
      <c r="AKR98" s="68"/>
      <c r="AKS98" s="68"/>
      <c r="AKT98" s="68"/>
      <c r="AKU98" s="68"/>
      <c r="AKV98" s="68"/>
      <c r="AKW98" s="68"/>
      <c r="AKX98" s="68"/>
      <c r="AKY98" s="68"/>
      <c r="AKZ98" s="68"/>
      <c r="ALA98" s="68"/>
      <c r="ALB98" s="68"/>
      <c r="ALC98" s="68"/>
      <c r="ALD98" s="68"/>
      <c r="ALE98" s="68"/>
      <c r="ALF98" s="68"/>
      <c r="ALG98" s="68"/>
      <c r="ALH98" s="68"/>
      <c r="ALI98" s="68"/>
      <c r="ALJ98" s="68"/>
      <c r="ALK98" s="68"/>
      <c r="ALL98" s="68"/>
      <c r="ALM98" s="68"/>
      <c r="ALN98" s="68"/>
      <c r="ALO98" s="68"/>
      <c r="ALP98" s="68"/>
      <c r="ALQ98" s="68"/>
      <c r="ALR98" s="68"/>
      <c r="ALS98" s="68"/>
      <c r="ALT98" s="68"/>
      <c r="ALU98" s="68"/>
      <c r="ALV98" s="68"/>
      <c r="ALW98" s="68"/>
      <c r="ALX98" s="68"/>
      <c r="ALY98" s="68"/>
      <c r="ALZ98" s="68"/>
      <c r="AMA98" s="68"/>
      <c r="AMB98" s="68"/>
      <c r="AMC98" s="68"/>
      <c r="AMD98" s="68"/>
      <c r="AME98" s="68"/>
      <c r="AMF98" s="68"/>
      <c r="AMG98" s="68"/>
      <c r="AMH98" s="68"/>
      <c r="AMI98" s="68"/>
      <c r="AMJ98" s="68"/>
      <c r="AMK98" s="68"/>
      <c r="AML98" s="68"/>
      <c r="AMM98" s="68"/>
      <c r="AMN98" s="68"/>
      <c r="AMO98" s="68"/>
      <c r="AMP98" s="68"/>
      <c r="AMQ98" s="68"/>
      <c r="AMR98" s="68"/>
      <c r="AMS98" s="68"/>
      <c r="AMT98" s="68"/>
      <c r="AMU98" s="68"/>
      <c r="AMV98" s="68"/>
      <c r="AMW98" s="68"/>
      <c r="AMX98" s="68"/>
      <c r="AMY98" s="68"/>
      <c r="AMZ98" s="68"/>
      <c r="ANA98" s="68"/>
      <c r="ANB98" s="68"/>
      <c r="ANC98" s="68"/>
      <c r="AND98" s="68"/>
      <c r="ANE98" s="68"/>
      <c r="ANF98" s="68"/>
      <c r="ANG98" s="68"/>
      <c r="ANH98" s="68"/>
      <c r="ANI98" s="68"/>
      <c r="ANJ98" s="68"/>
      <c r="ANK98" s="68"/>
      <c r="ANL98" s="68"/>
      <c r="ANM98" s="68"/>
      <c r="ANN98" s="68"/>
      <c r="ANO98" s="68"/>
      <c r="ANP98" s="68"/>
      <c r="ANQ98" s="68"/>
      <c r="ANR98" s="68"/>
      <c r="ANS98" s="68"/>
      <c r="ANT98" s="68"/>
      <c r="ANU98" s="68"/>
      <c r="ANV98" s="68"/>
      <c r="ANW98" s="68"/>
      <c r="ANX98" s="68"/>
      <c r="ANY98" s="68"/>
      <c r="ANZ98" s="68"/>
      <c r="AOA98" s="68"/>
      <c r="AOB98" s="68"/>
      <c r="AOC98" s="68"/>
      <c r="AOD98" s="68"/>
      <c r="AOE98" s="68"/>
      <c r="AOF98" s="68"/>
      <c r="AOG98" s="68"/>
      <c r="AOH98" s="68"/>
      <c r="AOI98" s="68"/>
      <c r="AOJ98" s="68"/>
      <c r="AOK98" s="68"/>
      <c r="AOL98" s="68"/>
      <c r="AOM98" s="68"/>
      <c r="AON98" s="68"/>
      <c r="AOO98" s="68"/>
      <c r="AOP98" s="68"/>
      <c r="AOQ98" s="68"/>
      <c r="AOR98" s="68"/>
      <c r="AOS98" s="68"/>
      <c r="AOT98" s="68"/>
      <c r="AOU98" s="68"/>
      <c r="AOV98" s="68"/>
      <c r="AOW98" s="68"/>
      <c r="AOX98" s="68"/>
      <c r="AOY98" s="68"/>
      <c r="AOZ98" s="68"/>
      <c r="APA98" s="68"/>
      <c r="APB98" s="68"/>
      <c r="APC98" s="68"/>
      <c r="APD98" s="68"/>
      <c r="APE98" s="68"/>
      <c r="APF98" s="68"/>
      <c r="APG98" s="68"/>
      <c r="APH98" s="68"/>
      <c r="API98" s="68"/>
      <c r="APJ98" s="68"/>
      <c r="APK98" s="68"/>
      <c r="APL98" s="68"/>
      <c r="APM98" s="68"/>
      <c r="APN98" s="68"/>
      <c r="APO98" s="68"/>
      <c r="APP98" s="68"/>
      <c r="APQ98" s="68"/>
      <c r="APR98" s="68"/>
      <c r="APS98" s="68"/>
      <c r="APT98" s="68"/>
      <c r="APU98" s="68"/>
      <c r="APV98" s="68"/>
      <c r="APW98" s="68"/>
      <c r="APX98" s="68"/>
      <c r="APY98" s="68"/>
      <c r="APZ98" s="68"/>
      <c r="AQA98" s="68"/>
      <c r="AQB98" s="68"/>
      <c r="AQC98" s="68"/>
      <c r="AQD98" s="68"/>
      <c r="AQE98" s="68"/>
      <c r="AQF98" s="68"/>
      <c r="AQG98" s="68"/>
      <c r="AQH98" s="68"/>
      <c r="AQI98" s="68"/>
      <c r="AQJ98" s="68"/>
      <c r="AQK98" s="68"/>
      <c r="AQL98" s="68"/>
      <c r="AQM98" s="68"/>
      <c r="AQN98" s="68"/>
      <c r="AQO98" s="68"/>
      <c r="AQP98" s="68"/>
      <c r="AQQ98" s="68"/>
      <c r="AQR98" s="68"/>
      <c r="AQS98" s="68"/>
      <c r="AQT98" s="68"/>
      <c r="AQU98" s="68"/>
      <c r="AQV98" s="68"/>
      <c r="AQW98" s="68"/>
      <c r="AQX98" s="68"/>
      <c r="AQY98" s="68"/>
      <c r="AQZ98" s="68"/>
      <c r="ARA98" s="68"/>
      <c r="ARB98" s="68"/>
      <c r="ARC98" s="68"/>
      <c r="ARD98" s="68"/>
      <c r="ARE98" s="68"/>
      <c r="ARF98" s="68"/>
      <c r="ARG98" s="68"/>
      <c r="ARH98" s="68"/>
      <c r="ARI98" s="68"/>
      <c r="ARJ98" s="68"/>
      <c r="ARK98" s="68"/>
      <c r="ARL98" s="68"/>
      <c r="ARM98" s="68"/>
      <c r="ARN98" s="68"/>
      <c r="ARO98" s="68"/>
      <c r="ARP98" s="68"/>
      <c r="ARQ98" s="68"/>
      <c r="ARR98" s="68"/>
      <c r="ARS98" s="68"/>
      <c r="ART98" s="68"/>
      <c r="ARU98" s="68"/>
      <c r="ARV98" s="68"/>
      <c r="ARW98" s="68"/>
      <c r="ARX98" s="68"/>
      <c r="ARY98" s="68"/>
      <c r="ARZ98" s="68"/>
      <c r="ASA98" s="68"/>
      <c r="ASB98" s="68"/>
      <c r="ASC98" s="68"/>
      <c r="ASD98" s="68"/>
      <c r="ASE98" s="68"/>
      <c r="ASF98" s="68"/>
      <c r="ASG98" s="68"/>
      <c r="ASH98" s="68"/>
      <c r="ASI98" s="68"/>
      <c r="ASJ98" s="68"/>
      <c r="ASK98" s="68"/>
      <c r="ASL98" s="68"/>
      <c r="ASM98" s="68"/>
      <c r="ASN98" s="68"/>
      <c r="ASO98" s="68"/>
      <c r="ASP98" s="68"/>
      <c r="ASQ98" s="68"/>
      <c r="ASR98" s="68"/>
      <c r="ASS98" s="68"/>
      <c r="AST98" s="68"/>
      <c r="ASU98" s="68"/>
      <c r="ASV98" s="68"/>
      <c r="ASW98" s="68"/>
      <c r="ASX98" s="68"/>
      <c r="ASY98" s="68"/>
      <c r="ASZ98" s="68"/>
      <c r="ATA98" s="68"/>
      <c r="ATB98" s="68"/>
      <c r="ATC98" s="68"/>
      <c r="ATD98" s="68"/>
      <c r="ATE98" s="68"/>
      <c r="ATF98" s="68"/>
      <c r="ATG98" s="68"/>
      <c r="ATH98" s="68"/>
      <c r="ATI98" s="68"/>
      <c r="ATJ98" s="68"/>
      <c r="ATK98" s="68"/>
      <c r="ATL98" s="68"/>
      <c r="ATM98" s="68"/>
      <c r="ATN98" s="68"/>
      <c r="ATO98" s="68"/>
      <c r="ATP98" s="68"/>
      <c r="ATQ98" s="68"/>
      <c r="ATR98" s="68"/>
      <c r="ATS98" s="68"/>
      <c r="ATT98" s="68"/>
      <c r="ATU98" s="68"/>
      <c r="ATV98" s="68"/>
      <c r="ATW98" s="68"/>
      <c r="ATX98" s="68"/>
      <c r="ATY98" s="68"/>
      <c r="ATZ98" s="68"/>
      <c r="AUA98" s="68"/>
      <c r="AUB98" s="68"/>
      <c r="AUC98" s="68"/>
      <c r="AUD98" s="68"/>
      <c r="AUE98" s="68"/>
      <c r="AUF98" s="68"/>
      <c r="AUG98" s="68"/>
      <c r="AUH98" s="68"/>
      <c r="AUI98" s="68"/>
      <c r="AUJ98" s="68"/>
      <c r="AUK98" s="68"/>
      <c r="AUL98" s="68"/>
      <c r="AUM98" s="68"/>
      <c r="AUN98" s="68"/>
      <c r="AUO98" s="68"/>
      <c r="AUP98" s="68"/>
      <c r="AUQ98" s="68"/>
      <c r="AUR98" s="68"/>
      <c r="AUS98" s="68"/>
      <c r="AUT98" s="68"/>
      <c r="AUU98" s="68"/>
      <c r="AUV98" s="68"/>
      <c r="AUW98" s="68"/>
      <c r="AUX98" s="68"/>
      <c r="AUY98" s="68"/>
      <c r="AUZ98" s="68"/>
      <c r="AVA98" s="68"/>
      <c r="AVB98" s="68"/>
      <c r="AVC98" s="68"/>
      <c r="AVD98" s="68"/>
      <c r="AVE98" s="68"/>
      <c r="AVF98" s="68"/>
      <c r="AVG98" s="68"/>
      <c r="AVH98" s="68"/>
      <c r="AVI98" s="68"/>
      <c r="AVJ98" s="68"/>
      <c r="AVK98" s="68"/>
      <c r="AVL98" s="68"/>
      <c r="AVM98" s="68"/>
      <c r="AVN98" s="68"/>
      <c r="AVO98" s="68"/>
      <c r="AVP98" s="68"/>
      <c r="AVQ98" s="68"/>
      <c r="AVR98" s="68"/>
      <c r="AVS98" s="68"/>
      <c r="AVT98" s="68"/>
      <c r="AVU98" s="68"/>
      <c r="AVV98" s="68"/>
      <c r="AVW98" s="68"/>
      <c r="AVX98" s="68"/>
      <c r="AVY98" s="68"/>
      <c r="AVZ98" s="68"/>
      <c r="AWA98" s="68"/>
      <c r="AWB98" s="68"/>
      <c r="AWC98" s="68"/>
      <c r="AWD98" s="68"/>
      <c r="AWE98" s="68"/>
      <c r="AWF98" s="68"/>
      <c r="AWG98" s="68"/>
      <c r="AWH98" s="68"/>
      <c r="AWI98" s="68"/>
      <c r="AWJ98" s="68"/>
      <c r="AWK98" s="68"/>
      <c r="AWL98" s="68"/>
      <c r="AWM98" s="68"/>
      <c r="AWN98" s="68"/>
      <c r="AWO98" s="68"/>
      <c r="AWP98" s="68"/>
      <c r="AWQ98" s="68"/>
      <c r="AWR98" s="68"/>
      <c r="AWS98" s="68"/>
      <c r="AWT98" s="68"/>
      <c r="AWU98" s="68"/>
      <c r="AWV98" s="68"/>
      <c r="AWW98" s="68"/>
      <c r="AWX98" s="68"/>
      <c r="AWY98" s="68"/>
      <c r="AWZ98" s="68"/>
      <c r="AXA98" s="68"/>
      <c r="AXB98" s="68"/>
      <c r="AXC98" s="68"/>
      <c r="AXD98" s="68"/>
      <c r="AXE98" s="68"/>
      <c r="AXF98" s="68"/>
      <c r="AXG98" s="68"/>
      <c r="AXH98" s="68"/>
      <c r="AXI98" s="68"/>
      <c r="AXJ98" s="68"/>
      <c r="AXK98" s="68"/>
      <c r="AXL98" s="68"/>
      <c r="AXM98" s="68"/>
      <c r="AXN98" s="68"/>
      <c r="AXO98" s="68"/>
      <c r="AXP98" s="68"/>
      <c r="AXQ98" s="68"/>
      <c r="AXR98" s="68"/>
      <c r="AXS98" s="68"/>
      <c r="AXT98" s="68"/>
      <c r="AXU98" s="68"/>
      <c r="AXV98" s="68"/>
      <c r="AXW98" s="68"/>
      <c r="AXX98" s="68"/>
      <c r="AXY98" s="68"/>
      <c r="AXZ98" s="68"/>
      <c r="AYA98" s="68"/>
      <c r="AYB98" s="68"/>
      <c r="AYC98" s="68"/>
      <c r="AYD98" s="68"/>
      <c r="AYE98" s="68"/>
      <c r="AYF98" s="68"/>
      <c r="AYG98" s="68"/>
      <c r="AYH98" s="68"/>
      <c r="AYI98" s="68"/>
      <c r="AYJ98" s="68"/>
      <c r="AYK98" s="68"/>
      <c r="AYL98" s="68"/>
      <c r="AYM98" s="68"/>
      <c r="AYN98" s="68"/>
      <c r="AYO98" s="68"/>
      <c r="AYP98" s="68"/>
      <c r="AYQ98" s="68"/>
      <c r="AYR98" s="68"/>
      <c r="AYS98" s="68"/>
      <c r="AYT98" s="68"/>
      <c r="AYU98" s="68"/>
      <c r="AYV98" s="68"/>
      <c r="AYW98" s="68"/>
      <c r="AYX98" s="68"/>
      <c r="AYY98" s="68"/>
      <c r="AYZ98" s="68"/>
      <c r="AZA98" s="68"/>
      <c r="AZB98" s="68"/>
      <c r="AZC98" s="68"/>
      <c r="AZD98" s="68"/>
      <c r="AZE98" s="68"/>
      <c r="AZF98" s="68"/>
      <c r="AZG98" s="68"/>
      <c r="AZH98" s="68"/>
      <c r="AZI98" s="68"/>
      <c r="AZJ98" s="68"/>
      <c r="AZK98" s="68"/>
      <c r="AZL98" s="68"/>
      <c r="AZM98" s="68"/>
      <c r="AZN98" s="68"/>
      <c r="AZO98" s="68"/>
      <c r="AZP98" s="68"/>
      <c r="AZQ98" s="68"/>
      <c r="AZR98" s="68"/>
      <c r="AZS98" s="68"/>
      <c r="AZT98" s="68"/>
      <c r="AZU98" s="68"/>
      <c r="AZV98" s="68"/>
      <c r="AZW98" s="68"/>
      <c r="AZX98" s="68"/>
      <c r="AZY98" s="68"/>
      <c r="AZZ98" s="68"/>
      <c r="BAA98" s="68"/>
      <c r="BAB98" s="68"/>
      <c r="BAC98" s="68"/>
      <c r="BAD98" s="68"/>
      <c r="BAE98" s="68"/>
      <c r="BAF98" s="68"/>
      <c r="BAG98" s="68"/>
      <c r="BAH98" s="68"/>
      <c r="BAI98" s="68"/>
      <c r="BAJ98" s="68"/>
      <c r="BAK98" s="68"/>
      <c r="BAL98" s="68"/>
      <c r="BAM98" s="68"/>
      <c r="BAN98" s="68"/>
      <c r="BAO98" s="68"/>
      <c r="BAP98" s="68"/>
      <c r="BAQ98" s="68"/>
      <c r="BAR98" s="68"/>
      <c r="BAS98" s="68"/>
      <c r="BAT98" s="68"/>
      <c r="BAU98" s="68"/>
      <c r="BAV98" s="68"/>
      <c r="BAW98" s="68"/>
      <c r="BAX98" s="68"/>
      <c r="BAY98" s="68"/>
      <c r="BAZ98" s="68"/>
      <c r="BBA98" s="68"/>
      <c r="BBB98" s="68"/>
      <c r="BBC98" s="68"/>
      <c r="BBD98" s="68"/>
      <c r="BBE98" s="68"/>
      <c r="BBF98" s="68"/>
      <c r="BBG98" s="68"/>
      <c r="BBH98" s="68"/>
      <c r="BBI98" s="68"/>
      <c r="BBJ98" s="68"/>
      <c r="BBK98" s="68"/>
      <c r="BBL98" s="68"/>
      <c r="BBM98" s="68"/>
      <c r="BBN98" s="68"/>
      <c r="BBO98" s="68"/>
      <c r="BBP98" s="68"/>
      <c r="BBQ98" s="68"/>
      <c r="BBR98" s="68"/>
      <c r="BBS98" s="68"/>
      <c r="BBT98" s="68"/>
      <c r="BBU98" s="68"/>
      <c r="BBV98" s="68"/>
      <c r="BBW98" s="68"/>
      <c r="BBX98" s="68"/>
      <c r="BBY98" s="68"/>
      <c r="BBZ98" s="68"/>
      <c r="BCA98" s="68"/>
      <c r="BCB98" s="68"/>
      <c r="BCC98" s="68"/>
      <c r="BCD98" s="68"/>
      <c r="BCE98" s="68"/>
      <c r="BCF98" s="68"/>
      <c r="BCG98" s="68"/>
      <c r="BCH98" s="68"/>
      <c r="BCI98" s="68"/>
      <c r="BCJ98" s="68"/>
      <c r="BCK98" s="68"/>
      <c r="BCL98" s="68"/>
      <c r="BCM98" s="68"/>
      <c r="BCN98" s="68"/>
      <c r="BCO98" s="68"/>
      <c r="BCP98" s="68"/>
      <c r="BCQ98" s="68"/>
      <c r="BCR98" s="68"/>
      <c r="BCS98" s="68"/>
      <c r="BCT98" s="68"/>
      <c r="BCU98" s="68"/>
      <c r="BCV98" s="68"/>
      <c r="BCW98" s="68"/>
      <c r="BCX98" s="68"/>
      <c r="BCY98" s="68"/>
      <c r="BCZ98" s="68"/>
      <c r="BDA98" s="68"/>
    </row>
    <row r="99" spans="1:1457" s="67" customFormat="1" ht="49.5" customHeight="1" x14ac:dyDescent="0.25">
      <c r="A99" s="49">
        <v>17</v>
      </c>
      <c r="B99" s="71" t="s">
        <v>738</v>
      </c>
      <c r="C99" s="71" t="s">
        <v>739</v>
      </c>
      <c r="D99" s="71" t="s">
        <v>708</v>
      </c>
      <c r="E99" s="71" t="s">
        <v>709</v>
      </c>
      <c r="F99" s="51">
        <v>12888350</v>
      </c>
      <c r="G99" s="70" t="s">
        <v>627</v>
      </c>
      <c r="H99" s="42" t="s">
        <v>666</v>
      </c>
      <c r="I99" s="71" t="s">
        <v>740</v>
      </c>
      <c r="J99" s="71" t="s">
        <v>73</v>
      </c>
      <c r="K99" s="71" t="s">
        <v>343</v>
      </c>
      <c r="L99" s="74">
        <v>12888350</v>
      </c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  <c r="BW99" s="68"/>
      <c r="BX99" s="68"/>
      <c r="BY99" s="68"/>
      <c r="BZ99" s="68"/>
      <c r="CA99" s="68"/>
      <c r="CB99" s="68"/>
      <c r="CC99" s="68"/>
      <c r="CD99" s="68"/>
      <c r="CE99" s="68"/>
      <c r="CF99" s="68"/>
      <c r="CG99" s="68"/>
      <c r="CH99" s="68"/>
      <c r="CI99" s="68"/>
      <c r="CJ99" s="68"/>
      <c r="CK99" s="68"/>
      <c r="CL99" s="68"/>
      <c r="CM99" s="68"/>
      <c r="CN99" s="68"/>
      <c r="CO99" s="68"/>
      <c r="CP99" s="68"/>
      <c r="CQ99" s="68"/>
      <c r="CR99" s="68"/>
      <c r="CS99" s="68"/>
      <c r="CT99" s="68"/>
      <c r="CU99" s="68"/>
      <c r="CV99" s="68"/>
      <c r="CW99" s="68"/>
      <c r="CX99" s="68"/>
      <c r="CY99" s="68"/>
      <c r="CZ99" s="68"/>
      <c r="DA99" s="68"/>
      <c r="DB99" s="68"/>
      <c r="DC99" s="68"/>
      <c r="DD99" s="68"/>
      <c r="DE99" s="68"/>
      <c r="DF99" s="68"/>
      <c r="DG99" s="68"/>
      <c r="DH99" s="68"/>
      <c r="DI99" s="68"/>
      <c r="DJ99" s="68"/>
      <c r="DK99" s="68"/>
      <c r="DL99" s="68"/>
      <c r="DM99" s="68"/>
      <c r="DN99" s="68"/>
      <c r="DO99" s="68"/>
      <c r="DP99" s="68"/>
      <c r="DQ99" s="68"/>
      <c r="DR99" s="68"/>
      <c r="DS99" s="68"/>
      <c r="DT99" s="68"/>
      <c r="DU99" s="68"/>
      <c r="DV99" s="68"/>
      <c r="DW99" s="68"/>
      <c r="DX99" s="68"/>
      <c r="DY99" s="68"/>
      <c r="DZ99" s="68"/>
      <c r="EA99" s="68"/>
      <c r="EB99" s="68"/>
      <c r="EC99" s="68"/>
      <c r="ED99" s="68"/>
      <c r="EE99" s="68"/>
      <c r="EF99" s="68"/>
      <c r="EG99" s="68"/>
      <c r="EH99" s="68"/>
      <c r="EI99" s="68"/>
      <c r="EJ99" s="68"/>
      <c r="EK99" s="68"/>
      <c r="EL99" s="68"/>
      <c r="EM99" s="68"/>
      <c r="EN99" s="68"/>
      <c r="EO99" s="68"/>
      <c r="EP99" s="68"/>
      <c r="EQ99" s="68"/>
      <c r="ER99" s="68"/>
      <c r="ES99" s="68"/>
      <c r="ET99" s="68"/>
      <c r="EU99" s="68"/>
      <c r="EV99" s="68"/>
      <c r="EW99" s="68"/>
      <c r="EX99" s="68"/>
      <c r="EY99" s="68"/>
      <c r="EZ99" s="68"/>
      <c r="FA99" s="68"/>
      <c r="FB99" s="68"/>
      <c r="FC99" s="68"/>
      <c r="FD99" s="68"/>
      <c r="FE99" s="68"/>
      <c r="FF99" s="68"/>
      <c r="FG99" s="68"/>
      <c r="FH99" s="68"/>
      <c r="FI99" s="68"/>
      <c r="FJ99" s="68"/>
      <c r="FK99" s="68"/>
      <c r="FL99" s="68"/>
      <c r="FM99" s="68"/>
      <c r="FN99" s="68"/>
      <c r="FO99" s="68"/>
      <c r="FP99" s="68"/>
      <c r="FQ99" s="68"/>
      <c r="FR99" s="68"/>
      <c r="FS99" s="68"/>
      <c r="FT99" s="68"/>
      <c r="FU99" s="68"/>
      <c r="FV99" s="68"/>
      <c r="FW99" s="68"/>
      <c r="FX99" s="68"/>
      <c r="FY99" s="68"/>
      <c r="FZ99" s="68"/>
      <c r="GA99" s="68"/>
      <c r="GB99" s="68"/>
      <c r="GC99" s="68"/>
      <c r="GD99" s="68"/>
      <c r="GE99" s="68"/>
      <c r="GF99" s="68"/>
      <c r="GG99" s="68"/>
      <c r="GH99" s="68"/>
      <c r="GI99" s="68"/>
      <c r="GJ99" s="68"/>
      <c r="GK99" s="68"/>
      <c r="GL99" s="68"/>
      <c r="GM99" s="68"/>
      <c r="GN99" s="68"/>
      <c r="GO99" s="68"/>
      <c r="GP99" s="68"/>
      <c r="GQ99" s="68"/>
      <c r="GR99" s="68"/>
      <c r="GS99" s="68"/>
      <c r="GT99" s="68"/>
      <c r="GU99" s="68"/>
      <c r="GV99" s="68"/>
      <c r="GW99" s="68"/>
      <c r="GX99" s="68"/>
      <c r="GY99" s="68"/>
      <c r="GZ99" s="68"/>
      <c r="HA99" s="68"/>
      <c r="HB99" s="68"/>
      <c r="HC99" s="68"/>
      <c r="HD99" s="68"/>
      <c r="HE99" s="68"/>
      <c r="HF99" s="68"/>
      <c r="HG99" s="68"/>
      <c r="HH99" s="68"/>
      <c r="HI99" s="68"/>
      <c r="HJ99" s="68"/>
      <c r="HK99" s="68"/>
      <c r="HL99" s="68"/>
      <c r="HM99" s="68"/>
      <c r="HN99" s="68"/>
      <c r="HO99" s="68"/>
      <c r="HP99" s="68"/>
      <c r="HQ99" s="68"/>
      <c r="HR99" s="68"/>
      <c r="HS99" s="68"/>
      <c r="HT99" s="68"/>
      <c r="HU99" s="68"/>
      <c r="HV99" s="68"/>
      <c r="HW99" s="68"/>
      <c r="HX99" s="68"/>
      <c r="HY99" s="68"/>
      <c r="HZ99" s="68"/>
      <c r="IA99" s="68"/>
      <c r="IB99" s="68"/>
      <c r="IC99" s="68"/>
      <c r="ID99" s="68"/>
      <c r="IE99" s="68"/>
      <c r="IF99" s="68"/>
      <c r="IG99" s="68"/>
      <c r="IH99" s="68"/>
      <c r="II99" s="68"/>
      <c r="IJ99" s="68"/>
      <c r="IK99" s="68"/>
      <c r="IL99" s="68"/>
      <c r="IM99" s="68"/>
      <c r="IN99" s="68"/>
      <c r="IO99" s="68"/>
      <c r="IP99" s="68"/>
      <c r="IQ99" s="68"/>
      <c r="IR99" s="68"/>
      <c r="IS99" s="68"/>
      <c r="IT99" s="68"/>
      <c r="IU99" s="68"/>
      <c r="IV99" s="68"/>
      <c r="IW99" s="68"/>
      <c r="IX99" s="68"/>
      <c r="IY99" s="68"/>
      <c r="IZ99" s="68"/>
      <c r="JA99" s="68"/>
      <c r="JB99" s="68"/>
      <c r="JC99" s="68"/>
      <c r="JD99" s="68"/>
      <c r="JE99" s="68"/>
      <c r="JF99" s="68"/>
      <c r="JG99" s="68"/>
      <c r="JH99" s="68"/>
      <c r="JI99" s="68"/>
      <c r="JJ99" s="68"/>
      <c r="JK99" s="68"/>
      <c r="JL99" s="68"/>
      <c r="JM99" s="68"/>
      <c r="JN99" s="68"/>
      <c r="JO99" s="68"/>
      <c r="JP99" s="68"/>
      <c r="JQ99" s="68"/>
      <c r="JR99" s="68"/>
      <c r="JS99" s="68"/>
      <c r="JT99" s="68"/>
      <c r="JU99" s="68"/>
      <c r="JV99" s="68"/>
      <c r="JW99" s="68"/>
      <c r="JX99" s="68"/>
      <c r="JY99" s="68"/>
      <c r="JZ99" s="68"/>
      <c r="KA99" s="68"/>
      <c r="KB99" s="68"/>
      <c r="KC99" s="68"/>
      <c r="KD99" s="68"/>
      <c r="KE99" s="68"/>
      <c r="KF99" s="68"/>
      <c r="KG99" s="68"/>
      <c r="KH99" s="68"/>
      <c r="KI99" s="68"/>
      <c r="KJ99" s="68"/>
      <c r="KK99" s="68"/>
      <c r="KL99" s="68"/>
      <c r="KM99" s="68"/>
      <c r="KN99" s="68"/>
      <c r="KO99" s="68"/>
      <c r="KP99" s="68"/>
      <c r="KQ99" s="68"/>
      <c r="KR99" s="68"/>
      <c r="KS99" s="68"/>
      <c r="KT99" s="68"/>
      <c r="KU99" s="68"/>
      <c r="KV99" s="68"/>
      <c r="KW99" s="68"/>
      <c r="KX99" s="68"/>
      <c r="KY99" s="68"/>
      <c r="KZ99" s="68"/>
      <c r="LA99" s="68"/>
      <c r="LB99" s="68"/>
      <c r="LC99" s="68"/>
      <c r="LD99" s="68"/>
      <c r="LE99" s="68"/>
      <c r="LF99" s="68"/>
      <c r="LG99" s="68"/>
      <c r="LH99" s="68"/>
      <c r="LI99" s="68"/>
      <c r="LJ99" s="68"/>
      <c r="LK99" s="68"/>
      <c r="LL99" s="68"/>
      <c r="LM99" s="68"/>
      <c r="LN99" s="68"/>
      <c r="LO99" s="68"/>
      <c r="LP99" s="68"/>
      <c r="LQ99" s="68"/>
      <c r="LR99" s="68"/>
      <c r="LS99" s="68"/>
      <c r="LT99" s="68"/>
      <c r="LU99" s="68"/>
      <c r="LV99" s="68"/>
      <c r="LW99" s="68"/>
      <c r="LX99" s="68"/>
      <c r="LY99" s="68"/>
      <c r="LZ99" s="68"/>
      <c r="MA99" s="68"/>
      <c r="MB99" s="68"/>
      <c r="MC99" s="68"/>
      <c r="MD99" s="68"/>
      <c r="ME99" s="68"/>
      <c r="MF99" s="68"/>
      <c r="MG99" s="68"/>
      <c r="MH99" s="68"/>
      <c r="MI99" s="68"/>
      <c r="MJ99" s="68"/>
      <c r="MK99" s="68"/>
      <c r="ML99" s="68"/>
      <c r="MM99" s="68"/>
      <c r="MN99" s="68"/>
      <c r="MO99" s="68"/>
      <c r="MP99" s="68"/>
      <c r="MQ99" s="68"/>
      <c r="MR99" s="68"/>
      <c r="MS99" s="68"/>
      <c r="MT99" s="68"/>
      <c r="MU99" s="68"/>
      <c r="MV99" s="68"/>
      <c r="MW99" s="68"/>
      <c r="MX99" s="68"/>
      <c r="MY99" s="68"/>
      <c r="MZ99" s="68"/>
      <c r="NA99" s="68"/>
      <c r="NB99" s="68"/>
      <c r="NC99" s="68"/>
      <c r="ND99" s="68"/>
      <c r="NE99" s="68"/>
      <c r="NF99" s="68"/>
      <c r="NG99" s="68"/>
      <c r="NH99" s="68"/>
      <c r="NI99" s="68"/>
      <c r="NJ99" s="68"/>
      <c r="NK99" s="68"/>
      <c r="NL99" s="68"/>
      <c r="NM99" s="68"/>
      <c r="NN99" s="68"/>
      <c r="NO99" s="68"/>
      <c r="NP99" s="68"/>
      <c r="NQ99" s="68"/>
      <c r="NR99" s="68"/>
      <c r="NS99" s="68"/>
      <c r="NT99" s="68"/>
      <c r="NU99" s="68"/>
      <c r="NV99" s="68"/>
      <c r="NW99" s="68"/>
      <c r="NX99" s="68"/>
      <c r="NY99" s="68"/>
      <c r="NZ99" s="68"/>
      <c r="OA99" s="68"/>
      <c r="OB99" s="68"/>
      <c r="OC99" s="68"/>
      <c r="OD99" s="68"/>
      <c r="OE99" s="68"/>
      <c r="OF99" s="68"/>
      <c r="OG99" s="68"/>
      <c r="OH99" s="68"/>
      <c r="OI99" s="68"/>
      <c r="OJ99" s="68"/>
      <c r="OK99" s="68"/>
      <c r="OL99" s="68"/>
      <c r="OM99" s="68"/>
      <c r="ON99" s="68"/>
      <c r="OO99" s="68"/>
      <c r="OP99" s="68"/>
      <c r="OQ99" s="68"/>
      <c r="OR99" s="68"/>
      <c r="OS99" s="68"/>
      <c r="OT99" s="68"/>
      <c r="OU99" s="68"/>
      <c r="OV99" s="68"/>
      <c r="OW99" s="68"/>
      <c r="OX99" s="68"/>
      <c r="OY99" s="68"/>
      <c r="OZ99" s="68"/>
      <c r="PA99" s="68"/>
      <c r="PB99" s="68"/>
      <c r="PC99" s="68"/>
      <c r="PD99" s="68"/>
      <c r="PE99" s="68"/>
      <c r="PF99" s="68"/>
      <c r="PG99" s="68"/>
      <c r="PH99" s="68"/>
      <c r="PI99" s="68"/>
      <c r="PJ99" s="68"/>
      <c r="PK99" s="68"/>
      <c r="PL99" s="68"/>
      <c r="PM99" s="68"/>
      <c r="PN99" s="68"/>
      <c r="PO99" s="68"/>
      <c r="PP99" s="68"/>
      <c r="PQ99" s="68"/>
      <c r="PR99" s="68"/>
      <c r="PS99" s="68"/>
      <c r="PT99" s="68"/>
      <c r="PU99" s="68"/>
      <c r="PV99" s="68"/>
      <c r="PW99" s="68"/>
      <c r="PX99" s="68"/>
      <c r="PY99" s="68"/>
      <c r="PZ99" s="68"/>
      <c r="QA99" s="68"/>
      <c r="QB99" s="68"/>
      <c r="QC99" s="68"/>
      <c r="QD99" s="68"/>
      <c r="QE99" s="68"/>
      <c r="QF99" s="68"/>
      <c r="QG99" s="68"/>
      <c r="QH99" s="68"/>
      <c r="QI99" s="68"/>
      <c r="QJ99" s="68"/>
      <c r="QK99" s="68"/>
      <c r="QL99" s="68"/>
      <c r="QM99" s="68"/>
      <c r="QN99" s="68"/>
      <c r="QO99" s="68"/>
      <c r="QP99" s="68"/>
      <c r="QQ99" s="68"/>
      <c r="QR99" s="68"/>
      <c r="QS99" s="68"/>
      <c r="QT99" s="68"/>
      <c r="QU99" s="68"/>
      <c r="QV99" s="68"/>
      <c r="QW99" s="68"/>
      <c r="QX99" s="68"/>
      <c r="QY99" s="68"/>
      <c r="QZ99" s="68"/>
      <c r="RA99" s="68"/>
      <c r="RB99" s="68"/>
      <c r="RC99" s="68"/>
      <c r="RD99" s="68"/>
      <c r="RE99" s="68"/>
      <c r="RF99" s="68"/>
      <c r="RG99" s="68"/>
      <c r="RH99" s="68"/>
      <c r="RI99" s="68"/>
      <c r="RJ99" s="68"/>
      <c r="RK99" s="68"/>
      <c r="RL99" s="68"/>
      <c r="RM99" s="68"/>
      <c r="RN99" s="68"/>
      <c r="RO99" s="68"/>
      <c r="RP99" s="68"/>
      <c r="RQ99" s="68"/>
      <c r="RR99" s="68"/>
      <c r="RS99" s="68"/>
      <c r="RT99" s="68"/>
      <c r="RU99" s="68"/>
      <c r="RV99" s="68"/>
      <c r="RW99" s="68"/>
      <c r="RX99" s="68"/>
      <c r="RY99" s="68"/>
      <c r="RZ99" s="68"/>
      <c r="SA99" s="68"/>
      <c r="SB99" s="68"/>
      <c r="SC99" s="68"/>
      <c r="SD99" s="68"/>
      <c r="SE99" s="68"/>
      <c r="SF99" s="68"/>
      <c r="SG99" s="68"/>
      <c r="SH99" s="68"/>
      <c r="SI99" s="68"/>
      <c r="SJ99" s="68"/>
      <c r="SK99" s="68"/>
      <c r="SL99" s="68"/>
      <c r="SM99" s="68"/>
      <c r="SN99" s="68"/>
      <c r="SO99" s="68"/>
      <c r="SP99" s="68"/>
      <c r="SQ99" s="68"/>
      <c r="SR99" s="68"/>
      <c r="SS99" s="68"/>
      <c r="ST99" s="68"/>
      <c r="SU99" s="68"/>
      <c r="SV99" s="68"/>
      <c r="SW99" s="68"/>
      <c r="SX99" s="68"/>
      <c r="SY99" s="68"/>
      <c r="SZ99" s="68"/>
      <c r="TA99" s="68"/>
      <c r="TB99" s="68"/>
      <c r="TC99" s="68"/>
      <c r="TD99" s="68"/>
      <c r="TE99" s="68"/>
      <c r="TF99" s="68"/>
      <c r="TG99" s="68"/>
      <c r="TH99" s="68"/>
      <c r="TI99" s="68"/>
      <c r="TJ99" s="68"/>
      <c r="TK99" s="68"/>
      <c r="TL99" s="68"/>
      <c r="TM99" s="68"/>
      <c r="TN99" s="68"/>
      <c r="TO99" s="68"/>
      <c r="TP99" s="68"/>
      <c r="TQ99" s="68"/>
      <c r="TR99" s="68"/>
      <c r="TS99" s="68"/>
      <c r="TT99" s="68"/>
      <c r="TU99" s="68"/>
      <c r="TV99" s="68"/>
      <c r="TW99" s="68"/>
      <c r="TX99" s="68"/>
      <c r="TY99" s="68"/>
      <c r="TZ99" s="68"/>
      <c r="UA99" s="68"/>
      <c r="UB99" s="68"/>
      <c r="UC99" s="68"/>
      <c r="UD99" s="68"/>
      <c r="UE99" s="68"/>
      <c r="UF99" s="68"/>
      <c r="UG99" s="68"/>
      <c r="UH99" s="68"/>
      <c r="UI99" s="68"/>
      <c r="UJ99" s="68"/>
      <c r="UK99" s="68"/>
      <c r="UL99" s="68"/>
      <c r="UM99" s="68"/>
      <c r="UN99" s="68"/>
      <c r="UO99" s="68"/>
      <c r="UP99" s="68"/>
      <c r="UQ99" s="68"/>
      <c r="UR99" s="68"/>
      <c r="US99" s="68"/>
      <c r="UT99" s="68"/>
      <c r="UU99" s="68"/>
      <c r="UV99" s="68"/>
      <c r="UW99" s="68"/>
      <c r="UX99" s="68"/>
      <c r="UY99" s="68"/>
      <c r="UZ99" s="68"/>
      <c r="VA99" s="68"/>
      <c r="VB99" s="68"/>
      <c r="VC99" s="68"/>
      <c r="VD99" s="68"/>
      <c r="VE99" s="68"/>
      <c r="VF99" s="68"/>
      <c r="VG99" s="68"/>
      <c r="VH99" s="68"/>
      <c r="VI99" s="68"/>
      <c r="VJ99" s="68"/>
      <c r="VK99" s="68"/>
      <c r="VL99" s="68"/>
      <c r="VM99" s="68"/>
      <c r="VN99" s="68"/>
      <c r="VO99" s="68"/>
      <c r="VP99" s="68"/>
      <c r="VQ99" s="68"/>
      <c r="VR99" s="68"/>
      <c r="VS99" s="68"/>
      <c r="VT99" s="68"/>
      <c r="VU99" s="68"/>
      <c r="VV99" s="68"/>
      <c r="VW99" s="68"/>
      <c r="VX99" s="68"/>
      <c r="VY99" s="68"/>
      <c r="VZ99" s="68"/>
      <c r="WA99" s="68"/>
      <c r="WB99" s="68"/>
      <c r="WC99" s="68"/>
      <c r="WD99" s="68"/>
      <c r="WE99" s="68"/>
      <c r="WF99" s="68"/>
      <c r="WG99" s="68"/>
      <c r="WH99" s="68"/>
      <c r="WI99" s="68"/>
      <c r="WJ99" s="68"/>
      <c r="WK99" s="68"/>
      <c r="WL99" s="68"/>
      <c r="WM99" s="68"/>
      <c r="WN99" s="68"/>
      <c r="WO99" s="68"/>
      <c r="WP99" s="68"/>
      <c r="WQ99" s="68"/>
      <c r="WR99" s="68"/>
      <c r="WS99" s="68"/>
      <c r="WT99" s="68"/>
      <c r="WU99" s="68"/>
      <c r="WV99" s="68"/>
      <c r="WW99" s="68"/>
      <c r="WX99" s="68"/>
      <c r="WY99" s="68"/>
      <c r="WZ99" s="68"/>
      <c r="XA99" s="68"/>
      <c r="XB99" s="68"/>
      <c r="XC99" s="68"/>
      <c r="XD99" s="68"/>
      <c r="XE99" s="68"/>
      <c r="XF99" s="68"/>
      <c r="XG99" s="68"/>
      <c r="XH99" s="68"/>
      <c r="XI99" s="68"/>
      <c r="XJ99" s="68"/>
      <c r="XK99" s="68"/>
      <c r="XL99" s="68"/>
      <c r="XM99" s="68"/>
      <c r="XN99" s="68"/>
      <c r="XO99" s="68"/>
      <c r="XP99" s="68"/>
      <c r="XQ99" s="68"/>
      <c r="XR99" s="68"/>
      <c r="XS99" s="68"/>
      <c r="XT99" s="68"/>
      <c r="XU99" s="68"/>
      <c r="XV99" s="68"/>
      <c r="XW99" s="68"/>
      <c r="XX99" s="68"/>
      <c r="XY99" s="68"/>
      <c r="XZ99" s="68"/>
      <c r="YA99" s="68"/>
      <c r="YB99" s="68"/>
      <c r="YC99" s="68"/>
      <c r="YD99" s="68"/>
      <c r="YE99" s="68"/>
      <c r="YF99" s="68"/>
      <c r="YG99" s="68"/>
      <c r="YH99" s="68"/>
      <c r="YI99" s="68"/>
      <c r="YJ99" s="68"/>
      <c r="YK99" s="68"/>
      <c r="YL99" s="68"/>
      <c r="YM99" s="68"/>
      <c r="YN99" s="68"/>
      <c r="YO99" s="68"/>
      <c r="YP99" s="68"/>
      <c r="YQ99" s="68"/>
      <c r="YR99" s="68"/>
      <c r="YS99" s="68"/>
      <c r="YT99" s="68"/>
      <c r="YU99" s="68"/>
      <c r="YV99" s="68"/>
      <c r="YW99" s="68"/>
      <c r="YX99" s="68"/>
      <c r="YY99" s="68"/>
      <c r="YZ99" s="68"/>
      <c r="ZA99" s="68"/>
      <c r="ZB99" s="68"/>
      <c r="ZC99" s="68"/>
      <c r="ZD99" s="68"/>
      <c r="ZE99" s="68"/>
      <c r="ZF99" s="68"/>
      <c r="ZG99" s="68"/>
      <c r="ZH99" s="68"/>
      <c r="ZI99" s="68"/>
      <c r="ZJ99" s="68"/>
      <c r="ZK99" s="68"/>
      <c r="ZL99" s="68"/>
      <c r="ZM99" s="68"/>
      <c r="ZN99" s="68"/>
      <c r="ZO99" s="68"/>
      <c r="ZP99" s="68"/>
      <c r="ZQ99" s="68"/>
      <c r="ZR99" s="68"/>
      <c r="ZS99" s="68"/>
      <c r="ZT99" s="68"/>
      <c r="ZU99" s="68"/>
      <c r="ZV99" s="68"/>
      <c r="ZW99" s="68"/>
      <c r="ZX99" s="68"/>
      <c r="ZY99" s="68"/>
      <c r="ZZ99" s="68"/>
      <c r="AAA99" s="68"/>
      <c r="AAB99" s="68"/>
      <c r="AAC99" s="68"/>
      <c r="AAD99" s="68"/>
      <c r="AAE99" s="68"/>
      <c r="AAF99" s="68"/>
      <c r="AAG99" s="68"/>
      <c r="AAH99" s="68"/>
      <c r="AAI99" s="68"/>
      <c r="AAJ99" s="68"/>
      <c r="AAK99" s="68"/>
      <c r="AAL99" s="68"/>
      <c r="AAM99" s="68"/>
      <c r="AAN99" s="68"/>
      <c r="AAO99" s="68"/>
      <c r="AAP99" s="68"/>
      <c r="AAQ99" s="68"/>
      <c r="AAR99" s="68"/>
      <c r="AAS99" s="68"/>
      <c r="AAT99" s="68"/>
      <c r="AAU99" s="68"/>
      <c r="AAV99" s="68"/>
      <c r="AAW99" s="68"/>
      <c r="AAX99" s="68"/>
      <c r="AAY99" s="68"/>
      <c r="AAZ99" s="68"/>
      <c r="ABA99" s="68"/>
      <c r="ABB99" s="68"/>
      <c r="ABC99" s="68"/>
      <c r="ABD99" s="68"/>
      <c r="ABE99" s="68"/>
      <c r="ABF99" s="68"/>
      <c r="ABG99" s="68"/>
      <c r="ABH99" s="68"/>
      <c r="ABI99" s="68"/>
      <c r="ABJ99" s="68"/>
      <c r="ABK99" s="68"/>
      <c r="ABL99" s="68"/>
      <c r="ABM99" s="68"/>
      <c r="ABN99" s="68"/>
      <c r="ABO99" s="68"/>
      <c r="ABP99" s="68"/>
      <c r="ABQ99" s="68"/>
      <c r="ABR99" s="68"/>
      <c r="ABS99" s="68"/>
      <c r="ABT99" s="68"/>
      <c r="ABU99" s="68"/>
      <c r="ABV99" s="68"/>
      <c r="ABW99" s="68"/>
      <c r="ABX99" s="68"/>
      <c r="ABY99" s="68"/>
      <c r="ABZ99" s="68"/>
      <c r="ACA99" s="68"/>
      <c r="ACB99" s="68"/>
      <c r="ACC99" s="68"/>
      <c r="ACD99" s="68"/>
      <c r="ACE99" s="68"/>
      <c r="ACF99" s="68"/>
      <c r="ACG99" s="68"/>
      <c r="ACH99" s="68"/>
      <c r="ACI99" s="68"/>
      <c r="ACJ99" s="68"/>
      <c r="ACK99" s="68"/>
      <c r="ACL99" s="68"/>
      <c r="ACM99" s="68"/>
      <c r="ACN99" s="68"/>
      <c r="ACO99" s="68"/>
      <c r="ACP99" s="68"/>
      <c r="ACQ99" s="68"/>
      <c r="ACR99" s="68"/>
      <c r="ACS99" s="68"/>
      <c r="ACT99" s="68"/>
      <c r="ACU99" s="68"/>
      <c r="ACV99" s="68"/>
      <c r="ACW99" s="68"/>
      <c r="ACX99" s="68"/>
      <c r="ACY99" s="68"/>
      <c r="ACZ99" s="68"/>
      <c r="ADA99" s="68"/>
      <c r="ADB99" s="68"/>
      <c r="ADC99" s="68"/>
      <c r="ADD99" s="68"/>
      <c r="ADE99" s="68"/>
      <c r="ADF99" s="68"/>
      <c r="ADG99" s="68"/>
      <c r="ADH99" s="68"/>
      <c r="ADI99" s="68"/>
      <c r="ADJ99" s="68"/>
      <c r="ADK99" s="68"/>
      <c r="ADL99" s="68"/>
      <c r="ADM99" s="68"/>
      <c r="ADN99" s="68"/>
      <c r="ADO99" s="68"/>
      <c r="ADP99" s="68"/>
      <c r="ADQ99" s="68"/>
      <c r="ADR99" s="68"/>
      <c r="ADS99" s="68"/>
      <c r="ADT99" s="68"/>
      <c r="ADU99" s="68"/>
      <c r="ADV99" s="68"/>
      <c r="ADW99" s="68"/>
      <c r="ADX99" s="68"/>
      <c r="ADY99" s="68"/>
      <c r="ADZ99" s="68"/>
      <c r="AEA99" s="68"/>
      <c r="AEB99" s="68"/>
      <c r="AEC99" s="68"/>
      <c r="AED99" s="68"/>
      <c r="AEE99" s="68"/>
      <c r="AEF99" s="68"/>
      <c r="AEG99" s="68"/>
      <c r="AEH99" s="68"/>
      <c r="AEI99" s="68"/>
      <c r="AEJ99" s="68"/>
      <c r="AEK99" s="68"/>
      <c r="AEL99" s="68"/>
      <c r="AEM99" s="68"/>
      <c r="AEN99" s="68"/>
      <c r="AEO99" s="68"/>
      <c r="AEP99" s="68"/>
      <c r="AEQ99" s="68"/>
      <c r="AER99" s="68"/>
      <c r="AES99" s="68"/>
      <c r="AET99" s="68"/>
      <c r="AEU99" s="68"/>
      <c r="AEV99" s="68"/>
      <c r="AEW99" s="68"/>
      <c r="AEX99" s="68"/>
      <c r="AEY99" s="68"/>
      <c r="AEZ99" s="68"/>
      <c r="AFA99" s="68"/>
      <c r="AFB99" s="68"/>
      <c r="AFC99" s="68"/>
      <c r="AFD99" s="68"/>
      <c r="AFE99" s="68"/>
      <c r="AFF99" s="68"/>
      <c r="AFG99" s="68"/>
      <c r="AFH99" s="68"/>
      <c r="AFI99" s="68"/>
      <c r="AFJ99" s="68"/>
      <c r="AFK99" s="68"/>
      <c r="AFL99" s="68"/>
      <c r="AFM99" s="68"/>
      <c r="AFN99" s="68"/>
      <c r="AFO99" s="68"/>
      <c r="AFP99" s="68"/>
      <c r="AFQ99" s="68"/>
      <c r="AFR99" s="68"/>
      <c r="AFS99" s="68"/>
      <c r="AFT99" s="68"/>
      <c r="AFU99" s="68"/>
      <c r="AFV99" s="68"/>
      <c r="AFW99" s="68"/>
      <c r="AFX99" s="68"/>
      <c r="AFY99" s="68"/>
      <c r="AFZ99" s="68"/>
      <c r="AGA99" s="68"/>
      <c r="AGB99" s="68"/>
      <c r="AGC99" s="68"/>
      <c r="AGD99" s="68"/>
      <c r="AGE99" s="68"/>
      <c r="AGF99" s="68"/>
      <c r="AGG99" s="68"/>
      <c r="AGH99" s="68"/>
      <c r="AGI99" s="68"/>
      <c r="AGJ99" s="68"/>
      <c r="AGK99" s="68"/>
      <c r="AGL99" s="68"/>
      <c r="AGM99" s="68"/>
      <c r="AGN99" s="68"/>
      <c r="AGO99" s="68"/>
      <c r="AGP99" s="68"/>
      <c r="AGQ99" s="68"/>
      <c r="AGR99" s="68"/>
      <c r="AGS99" s="68"/>
      <c r="AGT99" s="68"/>
      <c r="AGU99" s="68"/>
      <c r="AGV99" s="68"/>
      <c r="AGW99" s="68"/>
      <c r="AGX99" s="68"/>
      <c r="AGY99" s="68"/>
      <c r="AGZ99" s="68"/>
      <c r="AHA99" s="68"/>
      <c r="AHB99" s="68"/>
      <c r="AHC99" s="68"/>
      <c r="AHD99" s="68"/>
      <c r="AHE99" s="68"/>
      <c r="AHF99" s="68"/>
      <c r="AHG99" s="68"/>
      <c r="AHH99" s="68"/>
      <c r="AHI99" s="68"/>
      <c r="AHJ99" s="68"/>
      <c r="AHK99" s="68"/>
      <c r="AHL99" s="68"/>
      <c r="AHM99" s="68"/>
      <c r="AHN99" s="68"/>
      <c r="AHO99" s="68"/>
      <c r="AHP99" s="68"/>
      <c r="AHQ99" s="68"/>
      <c r="AHR99" s="68"/>
      <c r="AHS99" s="68"/>
      <c r="AHT99" s="68"/>
      <c r="AHU99" s="68"/>
      <c r="AHV99" s="68"/>
      <c r="AHW99" s="68"/>
      <c r="AHX99" s="68"/>
      <c r="AHY99" s="68"/>
      <c r="AHZ99" s="68"/>
      <c r="AIA99" s="68"/>
      <c r="AIB99" s="68"/>
      <c r="AIC99" s="68"/>
      <c r="AID99" s="68"/>
      <c r="AIE99" s="68"/>
      <c r="AIF99" s="68"/>
      <c r="AIG99" s="68"/>
      <c r="AIH99" s="68"/>
      <c r="AII99" s="68"/>
      <c r="AIJ99" s="68"/>
      <c r="AIK99" s="68"/>
      <c r="AIL99" s="68"/>
      <c r="AIM99" s="68"/>
      <c r="AIN99" s="68"/>
      <c r="AIO99" s="68"/>
      <c r="AIP99" s="68"/>
      <c r="AIQ99" s="68"/>
      <c r="AIR99" s="68"/>
      <c r="AIS99" s="68"/>
      <c r="AIT99" s="68"/>
      <c r="AIU99" s="68"/>
      <c r="AIV99" s="68"/>
      <c r="AIW99" s="68"/>
      <c r="AIX99" s="68"/>
      <c r="AIY99" s="68"/>
      <c r="AIZ99" s="68"/>
      <c r="AJA99" s="68"/>
      <c r="AJB99" s="68"/>
      <c r="AJC99" s="68"/>
      <c r="AJD99" s="68"/>
      <c r="AJE99" s="68"/>
      <c r="AJF99" s="68"/>
      <c r="AJG99" s="68"/>
      <c r="AJH99" s="68"/>
      <c r="AJI99" s="68"/>
      <c r="AJJ99" s="68"/>
      <c r="AJK99" s="68"/>
      <c r="AJL99" s="68"/>
      <c r="AJM99" s="68"/>
      <c r="AJN99" s="68"/>
      <c r="AJO99" s="68"/>
      <c r="AJP99" s="68"/>
      <c r="AJQ99" s="68"/>
      <c r="AJR99" s="68"/>
      <c r="AJS99" s="68"/>
      <c r="AJT99" s="68"/>
      <c r="AJU99" s="68"/>
      <c r="AJV99" s="68"/>
      <c r="AJW99" s="68"/>
      <c r="AJX99" s="68"/>
      <c r="AJY99" s="68"/>
      <c r="AJZ99" s="68"/>
      <c r="AKA99" s="68"/>
      <c r="AKB99" s="68"/>
      <c r="AKC99" s="68"/>
      <c r="AKD99" s="68"/>
      <c r="AKE99" s="68"/>
      <c r="AKF99" s="68"/>
      <c r="AKG99" s="68"/>
      <c r="AKH99" s="68"/>
      <c r="AKI99" s="68"/>
      <c r="AKJ99" s="68"/>
      <c r="AKK99" s="68"/>
      <c r="AKL99" s="68"/>
      <c r="AKM99" s="68"/>
      <c r="AKN99" s="68"/>
      <c r="AKO99" s="68"/>
      <c r="AKP99" s="68"/>
      <c r="AKQ99" s="68"/>
      <c r="AKR99" s="68"/>
      <c r="AKS99" s="68"/>
      <c r="AKT99" s="68"/>
      <c r="AKU99" s="68"/>
      <c r="AKV99" s="68"/>
      <c r="AKW99" s="68"/>
      <c r="AKX99" s="68"/>
      <c r="AKY99" s="68"/>
      <c r="AKZ99" s="68"/>
      <c r="ALA99" s="68"/>
      <c r="ALB99" s="68"/>
      <c r="ALC99" s="68"/>
      <c r="ALD99" s="68"/>
      <c r="ALE99" s="68"/>
      <c r="ALF99" s="68"/>
      <c r="ALG99" s="68"/>
      <c r="ALH99" s="68"/>
      <c r="ALI99" s="68"/>
      <c r="ALJ99" s="68"/>
      <c r="ALK99" s="68"/>
      <c r="ALL99" s="68"/>
      <c r="ALM99" s="68"/>
      <c r="ALN99" s="68"/>
      <c r="ALO99" s="68"/>
      <c r="ALP99" s="68"/>
      <c r="ALQ99" s="68"/>
      <c r="ALR99" s="68"/>
      <c r="ALS99" s="68"/>
      <c r="ALT99" s="68"/>
      <c r="ALU99" s="68"/>
      <c r="ALV99" s="68"/>
      <c r="ALW99" s="68"/>
      <c r="ALX99" s="68"/>
      <c r="ALY99" s="68"/>
      <c r="ALZ99" s="68"/>
      <c r="AMA99" s="68"/>
      <c r="AMB99" s="68"/>
      <c r="AMC99" s="68"/>
      <c r="AMD99" s="68"/>
      <c r="AME99" s="68"/>
      <c r="AMF99" s="68"/>
      <c r="AMG99" s="68"/>
      <c r="AMH99" s="68"/>
      <c r="AMI99" s="68"/>
      <c r="AMJ99" s="68"/>
      <c r="AMK99" s="68"/>
      <c r="AML99" s="68"/>
      <c r="AMM99" s="68"/>
      <c r="AMN99" s="68"/>
      <c r="AMO99" s="68"/>
      <c r="AMP99" s="68"/>
      <c r="AMQ99" s="68"/>
      <c r="AMR99" s="68"/>
      <c r="AMS99" s="68"/>
      <c r="AMT99" s="68"/>
      <c r="AMU99" s="68"/>
      <c r="AMV99" s="68"/>
      <c r="AMW99" s="68"/>
      <c r="AMX99" s="68"/>
      <c r="AMY99" s="68"/>
      <c r="AMZ99" s="68"/>
      <c r="ANA99" s="68"/>
      <c r="ANB99" s="68"/>
      <c r="ANC99" s="68"/>
      <c r="AND99" s="68"/>
      <c r="ANE99" s="68"/>
      <c r="ANF99" s="68"/>
      <c r="ANG99" s="68"/>
      <c r="ANH99" s="68"/>
      <c r="ANI99" s="68"/>
      <c r="ANJ99" s="68"/>
      <c r="ANK99" s="68"/>
      <c r="ANL99" s="68"/>
      <c r="ANM99" s="68"/>
      <c r="ANN99" s="68"/>
      <c r="ANO99" s="68"/>
      <c r="ANP99" s="68"/>
      <c r="ANQ99" s="68"/>
      <c r="ANR99" s="68"/>
      <c r="ANS99" s="68"/>
      <c r="ANT99" s="68"/>
      <c r="ANU99" s="68"/>
      <c r="ANV99" s="68"/>
      <c r="ANW99" s="68"/>
      <c r="ANX99" s="68"/>
      <c r="ANY99" s="68"/>
      <c r="ANZ99" s="68"/>
      <c r="AOA99" s="68"/>
      <c r="AOB99" s="68"/>
      <c r="AOC99" s="68"/>
      <c r="AOD99" s="68"/>
      <c r="AOE99" s="68"/>
      <c r="AOF99" s="68"/>
      <c r="AOG99" s="68"/>
      <c r="AOH99" s="68"/>
      <c r="AOI99" s="68"/>
      <c r="AOJ99" s="68"/>
      <c r="AOK99" s="68"/>
      <c r="AOL99" s="68"/>
      <c r="AOM99" s="68"/>
      <c r="AON99" s="68"/>
      <c r="AOO99" s="68"/>
      <c r="AOP99" s="68"/>
      <c r="AOQ99" s="68"/>
      <c r="AOR99" s="68"/>
      <c r="AOS99" s="68"/>
      <c r="AOT99" s="68"/>
      <c r="AOU99" s="68"/>
      <c r="AOV99" s="68"/>
      <c r="AOW99" s="68"/>
      <c r="AOX99" s="68"/>
      <c r="AOY99" s="68"/>
      <c r="AOZ99" s="68"/>
      <c r="APA99" s="68"/>
      <c r="APB99" s="68"/>
      <c r="APC99" s="68"/>
      <c r="APD99" s="68"/>
      <c r="APE99" s="68"/>
      <c r="APF99" s="68"/>
      <c r="APG99" s="68"/>
      <c r="APH99" s="68"/>
      <c r="API99" s="68"/>
      <c r="APJ99" s="68"/>
      <c r="APK99" s="68"/>
      <c r="APL99" s="68"/>
      <c r="APM99" s="68"/>
      <c r="APN99" s="68"/>
      <c r="APO99" s="68"/>
      <c r="APP99" s="68"/>
      <c r="APQ99" s="68"/>
      <c r="APR99" s="68"/>
      <c r="APS99" s="68"/>
      <c r="APT99" s="68"/>
      <c r="APU99" s="68"/>
      <c r="APV99" s="68"/>
      <c r="APW99" s="68"/>
      <c r="APX99" s="68"/>
      <c r="APY99" s="68"/>
      <c r="APZ99" s="68"/>
      <c r="AQA99" s="68"/>
      <c r="AQB99" s="68"/>
      <c r="AQC99" s="68"/>
      <c r="AQD99" s="68"/>
      <c r="AQE99" s="68"/>
      <c r="AQF99" s="68"/>
      <c r="AQG99" s="68"/>
      <c r="AQH99" s="68"/>
      <c r="AQI99" s="68"/>
      <c r="AQJ99" s="68"/>
      <c r="AQK99" s="68"/>
      <c r="AQL99" s="68"/>
      <c r="AQM99" s="68"/>
      <c r="AQN99" s="68"/>
      <c r="AQO99" s="68"/>
      <c r="AQP99" s="68"/>
      <c r="AQQ99" s="68"/>
      <c r="AQR99" s="68"/>
      <c r="AQS99" s="68"/>
      <c r="AQT99" s="68"/>
      <c r="AQU99" s="68"/>
      <c r="AQV99" s="68"/>
      <c r="AQW99" s="68"/>
      <c r="AQX99" s="68"/>
      <c r="AQY99" s="68"/>
      <c r="AQZ99" s="68"/>
      <c r="ARA99" s="68"/>
      <c r="ARB99" s="68"/>
      <c r="ARC99" s="68"/>
      <c r="ARD99" s="68"/>
      <c r="ARE99" s="68"/>
      <c r="ARF99" s="68"/>
      <c r="ARG99" s="68"/>
      <c r="ARH99" s="68"/>
      <c r="ARI99" s="68"/>
      <c r="ARJ99" s="68"/>
      <c r="ARK99" s="68"/>
      <c r="ARL99" s="68"/>
      <c r="ARM99" s="68"/>
      <c r="ARN99" s="68"/>
      <c r="ARO99" s="68"/>
      <c r="ARP99" s="68"/>
      <c r="ARQ99" s="68"/>
      <c r="ARR99" s="68"/>
      <c r="ARS99" s="68"/>
      <c r="ART99" s="68"/>
      <c r="ARU99" s="68"/>
      <c r="ARV99" s="68"/>
      <c r="ARW99" s="68"/>
      <c r="ARX99" s="68"/>
      <c r="ARY99" s="68"/>
      <c r="ARZ99" s="68"/>
      <c r="ASA99" s="68"/>
      <c r="ASB99" s="68"/>
      <c r="ASC99" s="68"/>
      <c r="ASD99" s="68"/>
      <c r="ASE99" s="68"/>
      <c r="ASF99" s="68"/>
      <c r="ASG99" s="68"/>
      <c r="ASH99" s="68"/>
      <c r="ASI99" s="68"/>
      <c r="ASJ99" s="68"/>
      <c r="ASK99" s="68"/>
      <c r="ASL99" s="68"/>
      <c r="ASM99" s="68"/>
      <c r="ASN99" s="68"/>
      <c r="ASO99" s="68"/>
      <c r="ASP99" s="68"/>
      <c r="ASQ99" s="68"/>
      <c r="ASR99" s="68"/>
      <c r="ASS99" s="68"/>
      <c r="AST99" s="68"/>
      <c r="ASU99" s="68"/>
      <c r="ASV99" s="68"/>
      <c r="ASW99" s="68"/>
      <c r="ASX99" s="68"/>
      <c r="ASY99" s="68"/>
      <c r="ASZ99" s="68"/>
      <c r="ATA99" s="68"/>
      <c r="ATB99" s="68"/>
      <c r="ATC99" s="68"/>
      <c r="ATD99" s="68"/>
      <c r="ATE99" s="68"/>
      <c r="ATF99" s="68"/>
      <c r="ATG99" s="68"/>
      <c r="ATH99" s="68"/>
      <c r="ATI99" s="68"/>
      <c r="ATJ99" s="68"/>
      <c r="ATK99" s="68"/>
      <c r="ATL99" s="68"/>
      <c r="ATM99" s="68"/>
      <c r="ATN99" s="68"/>
      <c r="ATO99" s="68"/>
      <c r="ATP99" s="68"/>
      <c r="ATQ99" s="68"/>
      <c r="ATR99" s="68"/>
      <c r="ATS99" s="68"/>
      <c r="ATT99" s="68"/>
      <c r="ATU99" s="68"/>
      <c r="ATV99" s="68"/>
      <c r="ATW99" s="68"/>
      <c r="ATX99" s="68"/>
      <c r="ATY99" s="68"/>
      <c r="ATZ99" s="68"/>
      <c r="AUA99" s="68"/>
      <c r="AUB99" s="68"/>
      <c r="AUC99" s="68"/>
      <c r="AUD99" s="68"/>
      <c r="AUE99" s="68"/>
      <c r="AUF99" s="68"/>
      <c r="AUG99" s="68"/>
      <c r="AUH99" s="68"/>
      <c r="AUI99" s="68"/>
      <c r="AUJ99" s="68"/>
      <c r="AUK99" s="68"/>
      <c r="AUL99" s="68"/>
      <c r="AUM99" s="68"/>
      <c r="AUN99" s="68"/>
      <c r="AUO99" s="68"/>
      <c r="AUP99" s="68"/>
      <c r="AUQ99" s="68"/>
      <c r="AUR99" s="68"/>
      <c r="AUS99" s="68"/>
      <c r="AUT99" s="68"/>
      <c r="AUU99" s="68"/>
      <c r="AUV99" s="68"/>
      <c r="AUW99" s="68"/>
      <c r="AUX99" s="68"/>
      <c r="AUY99" s="68"/>
      <c r="AUZ99" s="68"/>
      <c r="AVA99" s="68"/>
      <c r="AVB99" s="68"/>
      <c r="AVC99" s="68"/>
      <c r="AVD99" s="68"/>
      <c r="AVE99" s="68"/>
      <c r="AVF99" s="68"/>
      <c r="AVG99" s="68"/>
      <c r="AVH99" s="68"/>
      <c r="AVI99" s="68"/>
      <c r="AVJ99" s="68"/>
      <c r="AVK99" s="68"/>
      <c r="AVL99" s="68"/>
      <c r="AVM99" s="68"/>
      <c r="AVN99" s="68"/>
      <c r="AVO99" s="68"/>
      <c r="AVP99" s="68"/>
      <c r="AVQ99" s="68"/>
      <c r="AVR99" s="68"/>
      <c r="AVS99" s="68"/>
      <c r="AVT99" s="68"/>
      <c r="AVU99" s="68"/>
      <c r="AVV99" s="68"/>
      <c r="AVW99" s="68"/>
      <c r="AVX99" s="68"/>
      <c r="AVY99" s="68"/>
      <c r="AVZ99" s="68"/>
      <c r="AWA99" s="68"/>
      <c r="AWB99" s="68"/>
      <c r="AWC99" s="68"/>
      <c r="AWD99" s="68"/>
      <c r="AWE99" s="68"/>
      <c r="AWF99" s="68"/>
      <c r="AWG99" s="68"/>
      <c r="AWH99" s="68"/>
      <c r="AWI99" s="68"/>
      <c r="AWJ99" s="68"/>
      <c r="AWK99" s="68"/>
      <c r="AWL99" s="68"/>
      <c r="AWM99" s="68"/>
      <c r="AWN99" s="68"/>
      <c r="AWO99" s="68"/>
      <c r="AWP99" s="68"/>
      <c r="AWQ99" s="68"/>
      <c r="AWR99" s="68"/>
      <c r="AWS99" s="68"/>
      <c r="AWT99" s="68"/>
      <c r="AWU99" s="68"/>
      <c r="AWV99" s="68"/>
      <c r="AWW99" s="68"/>
      <c r="AWX99" s="68"/>
      <c r="AWY99" s="68"/>
      <c r="AWZ99" s="68"/>
      <c r="AXA99" s="68"/>
      <c r="AXB99" s="68"/>
      <c r="AXC99" s="68"/>
      <c r="AXD99" s="68"/>
      <c r="AXE99" s="68"/>
      <c r="AXF99" s="68"/>
      <c r="AXG99" s="68"/>
      <c r="AXH99" s="68"/>
      <c r="AXI99" s="68"/>
      <c r="AXJ99" s="68"/>
      <c r="AXK99" s="68"/>
      <c r="AXL99" s="68"/>
      <c r="AXM99" s="68"/>
      <c r="AXN99" s="68"/>
      <c r="AXO99" s="68"/>
      <c r="AXP99" s="68"/>
      <c r="AXQ99" s="68"/>
      <c r="AXR99" s="68"/>
      <c r="AXS99" s="68"/>
      <c r="AXT99" s="68"/>
      <c r="AXU99" s="68"/>
      <c r="AXV99" s="68"/>
      <c r="AXW99" s="68"/>
      <c r="AXX99" s="68"/>
      <c r="AXY99" s="68"/>
      <c r="AXZ99" s="68"/>
      <c r="AYA99" s="68"/>
      <c r="AYB99" s="68"/>
      <c r="AYC99" s="68"/>
      <c r="AYD99" s="68"/>
      <c r="AYE99" s="68"/>
      <c r="AYF99" s="68"/>
      <c r="AYG99" s="68"/>
      <c r="AYH99" s="68"/>
      <c r="AYI99" s="68"/>
      <c r="AYJ99" s="68"/>
      <c r="AYK99" s="68"/>
      <c r="AYL99" s="68"/>
      <c r="AYM99" s="68"/>
      <c r="AYN99" s="68"/>
      <c r="AYO99" s="68"/>
      <c r="AYP99" s="68"/>
      <c r="AYQ99" s="68"/>
      <c r="AYR99" s="68"/>
      <c r="AYS99" s="68"/>
      <c r="AYT99" s="68"/>
      <c r="AYU99" s="68"/>
      <c r="AYV99" s="68"/>
      <c r="AYW99" s="68"/>
      <c r="AYX99" s="68"/>
      <c r="AYY99" s="68"/>
      <c r="AYZ99" s="68"/>
      <c r="AZA99" s="68"/>
      <c r="AZB99" s="68"/>
      <c r="AZC99" s="68"/>
      <c r="AZD99" s="68"/>
      <c r="AZE99" s="68"/>
      <c r="AZF99" s="68"/>
      <c r="AZG99" s="68"/>
      <c r="AZH99" s="68"/>
      <c r="AZI99" s="68"/>
      <c r="AZJ99" s="68"/>
      <c r="AZK99" s="68"/>
      <c r="AZL99" s="68"/>
      <c r="AZM99" s="68"/>
      <c r="AZN99" s="68"/>
      <c r="AZO99" s="68"/>
      <c r="AZP99" s="68"/>
      <c r="AZQ99" s="68"/>
      <c r="AZR99" s="68"/>
      <c r="AZS99" s="68"/>
      <c r="AZT99" s="68"/>
      <c r="AZU99" s="68"/>
      <c r="AZV99" s="68"/>
      <c r="AZW99" s="68"/>
      <c r="AZX99" s="68"/>
      <c r="AZY99" s="68"/>
      <c r="AZZ99" s="68"/>
      <c r="BAA99" s="68"/>
      <c r="BAB99" s="68"/>
      <c r="BAC99" s="68"/>
      <c r="BAD99" s="68"/>
      <c r="BAE99" s="68"/>
      <c r="BAF99" s="68"/>
      <c r="BAG99" s="68"/>
      <c r="BAH99" s="68"/>
      <c r="BAI99" s="68"/>
      <c r="BAJ99" s="68"/>
      <c r="BAK99" s="68"/>
      <c r="BAL99" s="68"/>
      <c r="BAM99" s="68"/>
      <c r="BAN99" s="68"/>
      <c r="BAO99" s="68"/>
      <c r="BAP99" s="68"/>
      <c r="BAQ99" s="68"/>
      <c r="BAR99" s="68"/>
      <c r="BAS99" s="68"/>
      <c r="BAT99" s="68"/>
      <c r="BAU99" s="68"/>
      <c r="BAV99" s="68"/>
      <c r="BAW99" s="68"/>
      <c r="BAX99" s="68"/>
      <c r="BAY99" s="68"/>
      <c r="BAZ99" s="68"/>
      <c r="BBA99" s="68"/>
      <c r="BBB99" s="68"/>
      <c r="BBC99" s="68"/>
      <c r="BBD99" s="68"/>
      <c r="BBE99" s="68"/>
      <c r="BBF99" s="68"/>
      <c r="BBG99" s="68"/>
      <c r="BBH99" s="68"/>
      <c r="BBI99" s="68"/>
      <c r="BBJ99" s="68"/>
      <c r="BBK99" s="68"/>
      <c r="BBL99" s="68"/>
      <c r="BBM99" s="68"/>
      <c r="BBN99" s="68"/>
      <c r="BBO99" s="68"/>
      <c r="BBP99" s="68"/>
      <c r="BBQ99" s="68"/>
      <c r="BBR99" s="68"/>
      <c r="BBS99" s="68"/>
      <c r="BBT99" s="68"/>
      <c r="BBU99" s="68"/>
      <c r="BBV99" s="68"/>
      <c r="BBW99" s="68"/>
      <c r="BBX99" s="68"/>
      <c r="BBY99" s="68"/>
      <c r="BBZ99" s="68"/>
      <c r="BCA99" s="68"/>
      <c r="BCB99" s="68"/>
      <c r="BCC99" s="68"/>
      <c r="BCD99" s="68"/>
      <c r="BCE99" s="68"/>
      <c r="BCF99" s="68"/>
      <c r="BCG99" s="68"/>
      <c r="BCH99" s="68"/>
      <c r="BCI99" s="68"/>
      <c r="BCJ99" s="68"/>
      <c r="BCK99" s="68"/>
      <c r="BCL99" s="68"/>
      <c r="BCM99" s="68"/>
      <c r="BCN99" s="68"/>
      <c r="BCO99" s="68"/>
      <c r="BCP99" s="68"/>
      <c r="BCQ99" s="68"/>
      <c r="BCR99" s="68"/>
      <c r="BCS99" s="68"/>
      <c r="BCT99" s="68"/>
      <c r="BCU99" s="68"/>
      <c r="BCV99" s="68"/>
      <c r="BCW99" s="68"/>
      <c r="BCX99" s="68"/>
      <c r="BCY99" s="68"/>
      <c r="BCZ99" s="68"/>
      <c r="BDA99" s="68"/>
    </row>
    <row r="100" spans="1:1457" s="67" customFormat="1" ht="24.75" customHeight="1" x14ac:dyDescent="0.25">
      <c r="A100" s="49">
        <v>18</v>
      </c>
      <c r="B100" s="69" t="s">
        <v>113</v>
      </c>
      <c r="C100" s="69" t="s">
        <v>350</v>
      </c>
      <c r="D100" s="69" t="s">
        <v>708</v>
      </c>
      <c r="E100" s="69" t="s">
        <v>709</v>
      </c>
      <c r="F100" s="51">
        <v>3926746</v>
      </c>
      <c r="G100" s="72"/>
      <c r="H100" s="42"/>
      <c r="I100" s="69" t="s">
        <v>114</v>
      </c>
      <c r="J100" s="69"/>
      <c r="K100" s="69"/>
      <c r="L100" s="69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Q100" s="68"/>
      <c r="BR100" s="68"/>
      <c r="BS100" s="68"/>
      <c r="BT100" s="68"/>
      <c r="BU100" s="68"/>
      <c r="BV100" s="68"/>
      <c r="BW100" s="68"/>
      <c r="BX100" s="68"/>
      <c r="BY100" s="68"/>
      <c r="BZ100" s="68"/>
      <c r="CA100" s="68"/>
      <c r="CB100" s="68"/>
      <c r="CC100" s="68"/>
      <c r="CD100" s="68"/>
      <c r="CE100" s="68"/>
      <c r="CF100" s="68"/>
      <c r="CG100" s="68"/>
      <c r="CH100" s="68"/>
      <c r="CI100" s="68"/>
      <c r="CJ100" s="68"/>
      <c r="CK100" s="68"/>
      <c r="CL100" s="68"/>
      <c r="CM100" s="68"/>
      <c r="CN100" s="68"/>
      <c r="CO100" s="68"/>
      <c r="CP100" s="68"/>
      <c r="CQ100" s="68"/>
      <c r="CR100" s="68"/>
      <c r="CS100" s="68"/>
      <c r="CT100" s="68"/>
      <c r="CU100" s="68"/>
      <c r="CV100" s="68"/>
      <c r="CW100" s="68"/>
      <c r="CX100" s="68"/>
      <c r="CY100" s="68"/>
      <c r="CZ100" s="68"/>
      <c r="DA100" s="68"/>
      <c r="DB100" s="68"/>
      <c r="DC100" s="68"/>
      <c r="DD100" s="68"/>
      <c r="DE100" s="68"/>
      <c r="DF100" s="68"/>
      <c r="DG100" s="68"/>
      <c r="DH100" s="68"/>
      <c r="DI100" s="68"/>
      <c r="DJ100" s="68"/>
      <c r="DK100" s="68"/>
      <c r="DL100" s="68"/>
      <c r="DM100" s="68"/>
      <c r="DN100" s="68"/>
      <c r="DO100" s="68"/>
      <c r="DP100" s="68"/>
      <c r="DQ100" s="68"/>
      <c r="DR100" s="68"/>
      <c r="DS100" s="68"/>
      <c r="DT100" s="68"/>
      <c r="DU100" s="68"/>
      <c r="DV100" s="68"/>
      <c r="DW100" s="68"/>
      <c r="DX100" s="68"/>
      <c r="DY100" s="68"/>
      <c r="DZ100" s="68"/>
      <c r="EA100" s="68"/>
      <c r="EB100" s="68"/>
      <c r="EC100" s="68"/>
      <c r="ED100" s="68"/>
      <c r="EE100" s="68"/>
      <c r="EF100" s="68"/>
      <c r="EG100" s="68"/>
      <c r="EH100" s="68"/>
      <c r="EI100" s="68"/>
      <c r="EJ100" s="68"/>
      <c r="EK100" s="68"/>
      <c r="EL100" s="68"/>
      <c r="EM100" s="68"/>
      <c r="EN100" s="68"/>
      <c r="EO100" s="68"/>
      <c r="EP100" s="68"/>
      <c r="EQ100" s="68"/>
      <c r="ER100" s="68"/>
      <c r="ES100" s="68"/>
      <c r="ET100" s="68"/>
      <c r="EU100" s="68"/>
      <c r="EV100" s="68"/>
      <c r="EW100" s="68"/>
      <c r="EX100" s="68"/>
      <c r="EY100" s="68"/>
      <c r="EZ100" s="68"/>
      <c r="FA100" s="68"/>
      <c r="FB100" s="68"/>
      <c r="FC100" s="68"/>
      <c r="FD100" s="68"/>
      <c r="FE100" s="68"/>
      <c r="FF100" s="68"/>
      <c r="FG100" s="68"/>
      <c r="FH100" s="68"/>
      <c r="FI100" s="68"/>
      <c r="FJ100" s="68"/>
      <c r="FK100" s="68"/>
      <c r="FL100" s="68"/>
      <c r="FM100" s="68"/>
      <c r="FN100" s="68"/>
      <c r="FO100" s="68"/>
      <c r="FP100" s="68"/>
      <c r="FQ100" s="68"/>
      <c r="FR100" s="68"/>
      <c r="FS100" s="68"/>
      <c r="FT100" s="68"/>
      <c r="FU100" s="68"/>
      <c r="FV100" s="68"/>
      <c r="FW100" s="68"/>
      <c r="FX100" s="68"/>
      <c r="FY100" s="68"/>
      <c r="FZ100" s="68"/>
      <c r="GA100" s="68"/>
      <c r="GB100" s="68"/>
      <c r="GC100" s="68"/>
      <c r="GD100" s="68"/>
      <c r="GE100" s="68"/>
      <c r="GF100" s="68"/>
      <c r="GG100" s="68"/>
      <c r="GH100" s="68"/>
      <c r="GI100" s="68"/>
      <c r="GJ100" s="68"/>
      <c r="GK100" s="68"/>
      <c r="GL100" s="68"/>
      <c r="GM100" s="68"/>
      <c r="GN100" s="68"/>
      <c r="GO100" s="68"/>
      <c r="GP100" s="68"/>
      <c r="GQ100" s="68"/>
      <c r="GR100" s="68"/>
      <c r="GS100" s="68"/>
      <c r="GT100" s="68"/>
      <c r="GU100" s="68"/>
      <c r="GV100" s="68"/>
      <c r="GW100" s="68"/>
      <c r="GX100" s="68"/>
      <c r="GY100" s="68"/>
      <c r="GZ100" s="68"/>
      <c r="HA100" s="68"/>
      <c r="HB100" s="68"/>
      <c r="HC100" s="68"/>
      <c r="HD100" s="68"/>
      <c r="HE100" s="68"/>
      <c r="HF100" s="68"/>
      <c r="HG100" s="68"/>
      <c r="HH100" s="68"/>
      <c r="HI100" s="68"/>
      <c r="HJ100" s="68"/>
      <c r="HK100" s="68"/>
      <c r="HL100" s="68"/>
      <c r="HM100" s="68"/>
      <c r="HN100" s="68"/>
      <c r="HO100" s="68"/>
      <c r="HP100" s="68"/>
      <c r="HQ100" s="68"/>
      <c r="HR100" s="68"/>
      <c r="HS100" s="68"/>
      <c r="HT100" s="68"/>
      <c r="HU100" s="68"/>
      <c r="HV100" s="68"/>
      <c r="HW100" s="68"/>
      <c r="HX100" s="68"/>
      <c r="HY100" s="68"/>
      <c r="HZ100" s="68"/>
      <c r="IA100" s="68"/>
      <c r="IB100" s="68"/>
      <c r="IC100" s="68"/>
      <c r="ID100" s="68"/>
      <c r="IE100" s="68"/>
      <c r="IF100" s="68"/>
      <c r="IG100" s="68"/>
      <c r="IH100" s="68"/>
      <c r="II100" s="68"/>
      <c r="IJ100" s="68"/>
      <c r="IK100" s="68"/>
      <c r="IL100" s="68"/>
      <c r="IM100" s="68"/>
      <c r="IN100" s="68"/>
      <c r="IO100" s="68"/>
      <c r="IP100" s="68"/>
      <c r="IQ100" s="68"/>
      <c r="IR100" s="68"/>
      <c r="IS100" s="68"/>
      <c r="IT100" s="68"/>
      <c r="IU100" s="68"/>
      <c r="IV100" s="68"/>
      <c r="IW100" s="68"/>
      <c r="IX100" s="68"/>
      <c r="IY100" s="68"/>
      <c r="IZ100" s="68"/>
      <c r="JA100" s="68"/>
      <c r="JB100" s="68"/>
      <c r="JC100" s="68"/>
      <c r="JD100" s="68"/>
      <c r="JE100" s="68"/>
      <c r="JF100" s="68"/>
      <c r="JG100" s="68"/>
      <c r="JH100" s="68"/>
      <c r="JI100" s="68"/>
      <c r="JJ100" s="68"/>
      <c r="JK100" s="68"/>
      <c r="JL100" s="68"/>
      <c r="JM100" s="68"/>
      <c r="JN100" s="68"/>
      <c r="JO100" s="68"/>
      <c r="JP100" s="68"/>
      <c r="JQ100" s="68"/>
      <c r="JR100" s="68"/>
      <c r="JS100" s="68"/>
      <c r="JT100" s="68"/>
      <c r="JU100" s="68"/>
      <c r="JV100" s="68"/>
      <c r="JW100" s="68"/>
      <c r="JX100" s="68"/>
      <c r="JY100" s="68"/>
      <c r="JZ100" s="68"/>
      <c r="KA100" s="68"/>
      <c r="KB100" s="68"/>
      <c r="KC100" s="68"/>
      <c r="KD100" s="68"/>
      <c r="KE100" s="68"/>
      <c r="KF100" s="68"/>
      <c r="KG100" s="68"/>
      <c r="KH100" s="68"/>
      <c r="KI100" s="68"/>
      <c r="KJ100" s="68"/>
      <c r="KK100" s="68"/>
      <c r="KL100" s="68"/>
      <c r="KM100" s="68"/>
      <c r="KN100" s="68"/>
      <c r="KO100" s="68"/>
      <c r="KP100" s="68"/>
      <c r="KQ100" s="68"/>
      <c r="KR100" s="68"/>
      <c r="KS100" s="68"/>
      <c r="KT100" s="68"/>
      <c r="KU100" s="68"/>
      <c r="KV100" s="68"/>
      <c r="KW100" s="68"/>
      <c r="KX100" s="68"/>
      <c r="KY100" s="68"/>
      <c r="KZ100" s="68"/>
      <c r="LA100" s="68"/>
      <c r="LB100" s="68"/>
      <c r="LC100" s="68"/>
      <c r="LD100" s="68"/>
      <c r="LE100" s="68"/>
      <c r="LF100" s="68"/>
      <c r="LG100" s="68"/>
      <c r="LH100" s="68"/>
      <c r="LI100" s="68"/>
      <c r="LJ100" s="68"/>
      <c r="LK100" s="68"/>
      <c r="LL100" s="68"/>
      <c r="LM100" s="68"/>
      <c r="LN100" s="68"/>
      <c r="LO100" s="68"/>
      <c r="LP100" s="68"/>
      <c r="LQ100" s="68"/>
      <c r="LR100" s="68"/>
      <c r="LS100" s="68"/>
      <c r="LT100" s="68"/>
      <c r="LU100" s="68"/>
      <c r="LV100" s="68"/>
      <c r="LW100" s="68"/>
      <c r="LX100" s="68"/>
      <c r="LY100" s="68"/>
      <c r="LZ100" s="68"/>
      <c r="MA100" s="68"/>
      <c r="MB100" s="68"/>
      <c r="MC100" s="68"/>
      <c r="MD100" s="68"/>
      <c r="ME100" s="68"/>
      <c r="MF100" s="68"/>
      <c r="MG100" s="68"/>
      <c r="MH100" s="68"/>
      <c r="MI100" s="68"/>
      <c r="MJ100" s="68"/>
      <c r="MK100" s="68"/>
      <c r="ML100" s="68"/>
      <c r="MM100" s="68"/>
      <c r="MN100" s="68"/>
      <c r="MO100" s="68"/>
      <c r="MP100" s="68"/>
      <c r="MQ100" s="68"/>
      <c r="MR100" s="68"/>
      <c r="MS100" s="68"/>
      <c r="MT100" s="68"/>
      <c r="MU100" s="68"/>
      <c r="MV100" s="68"/>
      <c r="MW100" s="68"/>
      <c r="MX100" s="68"/>
      <c r="MY100" s="68"/>
      <c r="MZ100" s="68"/>
      <c r="NA100" s="68"/>
      <c r="NB100" s="68"/>
      <c r="NC100" s="68"/>
      <c r="ND100" s="68"/>
      <c r="NE100" s="68"/>
      <c r="NF100" s="68"/>
      <c r="NG100" s="68"/>
      <c r="NH100" s="68"/>
      <c r="NI100" s="68"/>
      <c r="NJ100" s="68"/>
      <c r="NK100" s="68"/>
      <c r="NL100" s="68"/>
      <c r="NM100" s="68"/>
      <c r="NN100" s="68"/>
      <c r="NO100" s="68"/>
      <c r="NP100" s="68"/>
      <c r="NQ100" s="68"/>
      <c r="NR100" s="68"/>
      <c r="NS100" s="68"/>
      <c r="NT100" s="68"/>
      <c r="NU100" s="68"/>
      <c r="NV100" s="68"/>
      <c r="NW100" s="68"/>
      <c r="NX100" s="68"/>
      <c r="NY100" s="68"/>
      <c r="NZ100" s="68"/>
      <c r="OA100" s="68"/>
      <c r="OB100" s="68"/>
      <c r="OC100" s="68"/>
      <c r="OD100" s="68"/>
      <c r="OE100" s="68"/>
      <c r="OF100" s="68"/>
      <c r="OG100" s="68"/>
      <c r="OH100" s="68"/>
      <c r="OI100" s="68"/>
      <c r="OJ100" s="68"/>
      <c r="OK100" s="68"/>
      <c r="OL100" s="68"/>
      <c r="OM100" s="68"/>
      <c r="ON100" s="68"/>
      <c r="OO100" s="68"/>
      <c r="OP100" s="68"/>
      <c r="OQ100" s="68"/>
      <c r="OR100" s="68"/>
      <c r="OS100" s="68"/>
      <c r="OT100" s="68"/>
      <c r="OU100" s="68"/>
      <c r="OV100" s="68"/>
      <c r="OW100" s="68"/>
      <c r="OX100" s="68"/>
      <c r="OY100" s="68"/>
      <c r="OZ100" s="68"/>
      <c r="PA100" s="68"/>
      <c r="PB100" s="68"/>
      <c r="PC100" s="68"/>
      <c r="PD100" s="68"/>
      <c r="PE100" s="68"/>
      <c r="PF100" s="68"/>
      <c r="PG100" s="68"/>
      <c r="PH100" s="68"/>
      <c r="PI100" s="68"/>
      <c r="PJ100" s="68"/>
      <c r="PK100" s="68"/>
      <c r="PL100" s="68"/>
      <c r="PM100" s="68"/>
      <c r="PN100" s="68"/>
      <c r="PO100" s="68"/>
      <c r="PP100" s="68"/>
      <c r="PQ100" s="68"/>
      <c r="PR100" s="68"/>
      <c r="PS100" s="68"/>
      <c r="PT100" s="68"/>
      <c r="PU100" s="68"/>
      <c r="PV100" s="68"/>
      <c r="PW100" s="68"/>
      <c r="PX100" s="68"/>
      <c r="PY100" s="68"/>
      <c r="PZ100" s="68"/>
      <c r="QA100" s="68"/>
      <c r="QB100" s="68"/>
      <c r="QC100" s="68"/>
      <c r="QD100" s="68"/>
      <c r="QE100" s="68"/>
      <c r="QF100" s="68"/>
      <c r="QG100" s="68"/>
      <c r="QH100" s="68"/>
      <c r="QI100" s="68"/>
      <c r="QJ100" s="68"/>
      <c r="QK100" s="68"/>
      <c r="QL100" s="68"/>
      <c r="QM100" s="68"/>
      <c r="QN100" s="68"/>
      <c r="QO100" s="68"/>
      <c r="QP100" s="68"/>
      <c r="QQ100" s="68"/>
      <c r="QR100" s="68"/>
      <c r="QS100" s="68"/>
      <c r="QT100" s="68"/>
      <c r="QU100" s="68"/>
      <c r="QV100" s="68"/>
      <c r="QW100" s="68"/>
      <c r="QX100" s="68"/>
      <c r="QY100" s="68"/>
      <c r="QZ100" s="68"/>
      <c r="RA100" s="68"/>
      <c r="RB100" s="68"/>
      <c r="RC100" s="68"/>
      <c r="RD100" s="68"/>
      <c r="RE100" s="68"/>
      <c r="RF100" s="68"/>
      <c r="RG100" s="68"/>
      <c r="RH100" s="68"/>
      <c r="RI100" s="68"/>
      <c r="RJ100" s="68"/>
      <c r="RK100" s="68"/>
      <c r="RL100" s="68"/>
      <c r="RM100" s="68"/>
      <c r="RN100" s="68"/>
      <c r="RO100" s="68"/>
      <c r="RP100" s="68"/>
      <c r="RQ100" s="68"/>
      <c r="RR100" s="68"/>
      <c r="RS100" s="68"/>
      <c r="RT100" s="68"/>
      <c r="RU100" s="68"/>
      <c r="RV100" s="68"/>
      <c r="RW100" s="68"/>
      <c r="RX100" s="68"/>
      <c r="RY100" s="68"/>
      <c r="RZ100" s="68"/>
      <c r="SA100" s="68"/>
      <c r="SB100" s="68"/>
      <c r="SC100" s="68"/>
      <c r="SD100" s="68"/>
      <c r="SE100" s="68"/>
      <c r="SF100" s="68"/>
      <c r="SG100" s="68"/>
      <c r="SH100" s="68"/>
      <c r="SI100" s="68"/>
      <c r="SJ100" s="68"/>
      <c r="SK100" s="68"/>
      <c r="SL100" s="68"/>
      <c r="SM100" s="68"/>
      <c r="SN100" s="68"/>
      <c r="SO100" s="68"/>
      <c r="SP100" s="68"/>
      <c r="SQ100" s="68"/>
      <c r="SR100" s="68"/>
      <c r="SS100" s="68"/>
      <c r="ST100" s="68"/>
      <c r="SU100" s="68"/>
      <c r="SV100" s="68"/>
      <c r="SW100" s="68"/>
      <c r="SX100" s="68"/>
      <c r="SY100" s="68"/>
      <c r="SZ100" s="68"/>
      <c r="TA100" s="68"/>
      <c r="TB100" s="68"/>
      <c r="TC100" s="68"/>
      <c r="TD100" s="68"/>
      <c r="TE100" s="68"/>
      <c r="TF100" s="68"/>
      <c r="TG100" s="68"/>
      <c r="TH100" s="68"/>
      <c r="TI100" s="68"/>
      <c r="TJ100" s="68"/>
      <c r="TK100" s="68"/>
      <c r="TL100" s="68"/>
      <c r="TM100" s="68"/>
      <c r="TN100" s="68"/>
      <c r="TO100" s="68"/>
      <c r="TP100" s="68"/>
      <c r="TQ100" s="68"/>
      <c r="TR100" s="68"/>
      <c r="TS100" s="68"/>
      <c r="TT100" s="68"/>
      <c r="TU100" s="68"/>
      <c r="TV100" s="68"/>
      <c r="TW100" s="68"/>
      <c r="TX100" s="68"/>
      <c r="TY100" s="68"/>
      <c r="TZ100" s="68"/>
      <c r="UA100" s="68"/>
      <c r="UB100" s="68"/>
      <c r="UC100" s="68"/>
      <c r="UD100" s="68"/>
      <c r="UE100" s="68"/>
      <c r="UF100" s="68"/>
      <c r="UG100" s="68"/>
      <c r="UH100" s="68"/>
      <c r="UI100" s="68"/>
      <c r="UJ100" s="68"/>
      <c r="UK100" s="68"/>
      <c r="UL100" s="68"/>
      <c r="UM100" s="68"/>
      <c r="UN100" s="68"/>
      <c r="UO100" s="68"/>
      <c r="UP100" s="68"/>
      <c r="UQ100" s="68"/>
      <c r="UR100" s="68"/>
      <c r="US100" s="68"/>
      <c r="UT100" s="68"/>
      <c r="UU100" s="68"/>
      <c r="UV100" s="68"/>
      <c r="UW100" s="68"/>
      <c r="UX100" s="68"/>
      <c r="UY100" s="68"/>
      <c r="UZ100" s="68"/>
      <c r="VA100" s="68"/>
      <c r="VB100" s="68"/>
      <c r="VC100" s="68"/>
      <c r="VD100" s="68"/>
      <c r="VE100" s="68"/>
      <c r="VF100" s="68"/>
      <c r="VG100" s="68"/>
      <c r="VH100" s="68"/>
      <c r="VI100" s="68"/>
      <c r="VJ100" s="68"/>
      <c r="VK100" s="68"/>
      <c r="VL100" s="68"/>
      <c r="VM100" s="68"/>
      <c r="VN100" s="68"/>
      <c r="VO100" s="68"/>
      <c r="VP100" s="68"/>
      <c r="VQ100" s="68"/>
      <c r="VR100" s="68"/>
      <c r="VS100" s="68"/>
      <c r="VT100" s="68"/>
      <c r="VU100" s="68"/>
      <c r="VV100" s="68"/>
      <c r="VW100" s="68"/>
      <c r="VX100" s="68"/>
      <c r="VY100" s="68"/>
      <c r="VZ100" s="68"/>
      <c r="WA100" s="68"/>
      <c r="WB100" s="68"/>
      <c r="WC100" s="68"/>
      <c r="WD100" s="68"/>
      <c r="WE100" s="68"/>
      <c r="WF100" s="68"/>
      <c r="WG100" s="68"/>
      <c r="WH100" s="68"/>
      <c r="WI100" s="68"/>
      <c r="WJ100" s="68"/>
      <c r="WK100" s="68"/>
      <c r="WL100" s="68"/>
      <c r="WM100" s="68"/>
      <c r="WN100" s="68"/>
      <c r="WO100" s="68"/>
      <c r="WP100" s="68"/>
      <c r="WQ100" s="68"/>
      <c r="WR100" s="68"/>
      <c r="WS100" s="68"/>
      <c r="WT100" s="68"/>
      <c r="WU100" s="68"/>
      <c r="WV100" s="68"/>
      <c r="WW100" s="68"/>
      <c r="WX100" s="68"/>
      <c r="WY100" s="68"/>
      <c r="WZ100" s="68"/>
      <c r="XA100" s="68"/>
      <c r="XB100" s="68"/>
      <c r="XC100" s="68"/>
      <c r="XD100" s="68"/>
      <c r="XE100" s="68"/>
      <c r="XF100" s="68"/>
      <c r="XG100" s="68"/>
      <c r="XH100" s="68"/>
      <c r="XI100" s="68"/>
      <c r="XJ100" s="68"/>
      <c r="XK100" s="68"/>
      <c r="XL100" s="68"/>
      <c r="XM100" s="68"/>
      <c r="XN100" s="68"/>
      <c r="XO100" s="68"/>
      <c r="XP100" s="68"/>
      <c r="XQ100" s="68"/>
      <c r="XR100" s="68"/>
      <c r="XS100" s="68"/>
      <c r="XT100" s="68"/>
      <c r="XU100" s="68"/>
      <c r="XV100" s="68"/>
      <c r="XW100" s="68"/>
      <c r="XX100" s="68"/>
      <c r="XY100" s="68"/>
      <c r="XZ100" s="68"/>
      <c r="YA100" s="68"/>
      <c r="YB100" s="68"/>
      <c r="YC100" s="68"/>
      <c r="YD100" s="68"/>
      <c r="YE100" s="68"/>
      <c r="YF100" s="68"/>
      <c r="YG100" s="68"/>
      <c r="YH100" s="68"/>
      <c r="YI100" s="68"/>
      <c r="YJ100" s="68"/>
      <c r="YK100" s="68"/>
      <c r="YL100" s="68"/>
      <c r="YM100" s="68"/>
      <c r="YN100" s="68"/>
      <c r="YO100" s="68"/>
      <c r="YP100" s="68"/>
      <c r="YQ100" s="68"/>
      <c r="YR100" s="68"/>
      <c r="YS100" s="68"/>
      <c r="YT100" s="68"/>
      <c r="YU100" s="68"/>
      <c r="YV100" s="68"/>
      <c r="YW100" s="68"/>
      <c r="YX100" s="68"/>
      <c r="YY100" s="68"/>
      <c r="YZ100" s="68"/>
      <c r="ZA100" s="68"/>
      <c r="ZB100" s="68"/>
      <c r="ZC100" s="68"/>
      <c r="ZD100" s="68"/>
      <c r="ZE100" s="68"/>
      <c r="ZF100" s="68"/>
      <c r="ZG100" s="68"/>
      <c r="ZH100" s="68"/>
      <c r="ZI100" s="68"/>
      <c r="ZJ100" s="68"/>
      <c r="ZK100" s="68"/>
      <c r="ZL100" s="68"/>
      <c r="ZM100" s="68"/>
      <c r="ZN100" s="68"/>
      <c r="ZO100" s="68"/>
      <c r="ZP100" s="68"/>
      <c r="ZQ100" s="68"/>
      <c r="ZR100" s="68"/>
      <c r="ZS100" s="68"/>
      <c r="ZT100" s="68"/>
      <c r="ZU100" s="68"/>
      <c r="ZV100" s="68"/>
      <c r="ZW100" s="68"/>
      <c r="ZX100" s="68"/>
      <c r="ZY100" s="68"/>
      <c r="ZZ100" s="68"/>
      <c r="AAA100" s="68"/>
      <c r="AAB100" s="68"/>
      <c r="AAC100" s="68"/>
      <c r="AAD100" s="68"/>
      <c r="AAE100" s="68"/>
      <c r="AAF100" s="68"/>
      <c r="AAG100" s="68"/>
      <c r="AAH100" s="68"/>
      <c r="AAI100" s="68"/>
      <c r="AAJ100" s="68"/>
      <c r="AAK100" s="68"/>
      <c r="AAL100" s="68"/>
      <c r="AAM100" s="68"/>
      <c r="AAN100" s="68"/>
      <c r="AAO100" s="68"/>
      <c r="AAP100" s="68"/>
      <c r="AAQ100" s="68"/>
      <c r="AAR100" s="68"/>
      <c r="AAS100" s="68"/>
      <c r="AAT100" s="68"/>
      <c r="AAU100" s="68"/>
      <c r="AAV100" s="68"/>
      <c r="AAW100" s="68"/>
      <c r="AAX100" s="68"/>
      <c r="AAY100" s="68"/>
      <c r="AAZ100" s="68"/>
      <c r="ABA100" s="68"/>
      <c r="ABB100" s="68"/>
      <c r="ABC100" s="68"/>
      <c r="ABD100" s="68"/>
      <c r="ABE100" s="68"/>
      <c r="ABF100" s="68"/>
      <c r="ABG100" s="68"/>
      <c r="ABH100" s="68"/>
      <c r="ABI100" s="68"/>
      <c r="ABJ100" s="68"/>
      <c r="ABK100" s="68"/>
      <c r="ABL100" s="68"/>
      <c r="ABM100" s="68"/>
      <c r="ABN100" s="68"/>
      <c r="ABO100" s="68"/>
      <c r="ABP100" s="68"/>
      <c r="ABQ100" s="68"/>
      <c r="ABR100" s="68"/>
      <c r="ABS100" s="68"/>
      <c r="ABT100" s="68"/>
      <c r="ABU100" s="68"/>
      <c r="ABV100" s="68"/>
      <c r="ABW100" s="68"/>
      <c r="ABX100" s="68"/>
      <c r="ABY100" s="68"/>
      <c r="ABZ100" s="68"/>
      <c r="ACA100" s="68"/>
      <c r="ACB100" s="68"/>
      <c r="ACC100" s="68"/>
      <c r="ACD100" s="68"/>
      <c r="ACE100" s="68"/>
      <c r="ACF100" s="68"/>
      <c r="ACG100" s="68"/>
      <c r="ACH100" s="68"/>
      <c r="ACI100" s="68"/>
      <c r="ACJ100" s="68"/>
      <c r="ACK100" s="68"/>
      <c r="ACL100" s="68"/>
      <c r="ACM100" s="68"/>
      <c r="ACN100" s="68"/>
      <c r="ACO100" s="68"/>
      <c r="ACP100" s="68"/>
      <c r="ACQ100" s="68"/>
      <c r="ACR100" s="68"/>
      <c r="ACS100" s="68"/>
      <c r="ACT100" s="68"/>
      <c r="ACU100" s="68"/>
      <c r="ACV100" s="68"/>
      <c r="ACW100" s="68"/>
      <c r="ACX100" s="68"/>
      <c r="ACY100" s="68"/>
      <c r="ACZ100" s="68"/>
      <c r="ADA100" s="68"/>
      <c r="ADB100" s="68"/>
      <c r="ADC100" s="68"/>
      <c r="ADD100" s="68"/>
      <c r="ADE100" s="68"/>
      <c r="ADF100" s="68"/>
      <c r="ADG100" s="68"/>
      <c r="ADH100" s="68"/>
      <c r="ADI100" s="68"/>
      <c r="ADJ100" s="68"/>
      <c r="ADK100" s="68"/>
      <c r="ADL100" s="68"/>
      <c r="ADM100" s="68"/>
      <c r="ADN100" s="68"/>
      <c r="ADO100" s="68"/>
      <c r="ADP100" s="68"/>
      <c r="ADQ100" s="68"/>
      <c r="ADR100" s="68"/>
      <c r="ADS100" s="68"/>
      <c r="ADT100" s="68"/>
      <c r="ADU100" s="68"/>
      <c r="ADV100" s="68"/>
      <c r="ADW100" s="68"/>
      <c r="ADX100" s="68"/>
      <c r="ADY100" s="68"/>
      <c r="ADZ100" s="68"/>
      <c r="AEA100" s="68"/>
      <c r="AEB100" s="68"/>
      <c r="AEC100" s="68"/>
      <c r="AED100" s="68"/>
      <c r="AEE100" s="68"/>
      <c r="AEF100" s="68"/>
      <c r="AEG100" s="68"/>
      <c r="AEH100" s="68"/>
      <c r="AEI100" s="68"/>
      <c r="AEJ100" s="68"/>
      <c r="AEK100" s="68"/>
      <c r="AEL100" s="68"/>
      <c r="AEM100" s="68"/>
      <c r="AEN100" s="68"/>
      <c r="AEO100" s="68"/>
      <c r="AEP100" s="68"/>
      <c r="AEQ100" s="68"/>
      <c r="AER100" s="68"/>
      <c r="AES100" s="68"/>
      <c r="AET100" s="68"/>
      <c r="AEU100" s="68"/>
      <c r="AEV100" s="68"/>
      <c r="AEW100" s="68"/>
      <c r="AEX100" s="68"/>
      <c r="AEY100" s="68"/>
      <c r="AEZ100" s="68"/>
      <c r="AFA100" s="68"/>
      <c r="AFB100" s="68"/>
      <c r="AFC100" s="68"/>
      <c r="AFD100" s="68"/>
      <c r="AFE100" s="68"/>
      <c r="AFF100" s="68"/>
      <c r="AFG100" s="68"/>
      <c r="AFH100" s="68"/>
      <c r="AFI100" s="68"/>
      <c r="AFJ100" s="68"/>
      <c r="AFK100" s="68"/>
      <c r="AFL100" s="68"/>
      <c r="AFM100" s="68"/>
      <c r="AFN100" s="68"/>
      <c r="AFO100" s="68"/>
      <c r="AFP100" s="68"/>
      <c r="AFQ100" s="68"/>
      <c r="AFR100" s="68"/>
      <c r="AFS100" s="68"/>
      <c r="AFT100" s="68"/>
      <c r="AFU100" s="68"/>
      <c r="AFV100" s="68"/>
      <c r="AFW100" s="68"/>
      <c r="AFX100" s="68"/>
      <c r="AFY100" s="68"/>
      <c r="AFZ100" s="68"/>
      <c r="AGA100" s="68"/>
      <c r="AGB100" s="68"/>
      <c r="AGC100" s="68"/>
      <c r="AGD100" s="68"/>
      <c r="AGE100" s="68"/>
      <c r="AGF100" s="68"/>
      <c r="AGG100" s="68"/>
      <c r="AGH100" s="68"/>
      <c r="AGI100" s="68"/>
      <c r="AGJ100" s="68"/>
      <c r="AGK100" s="68"/>
      <c r="AGL100" s="68"/>
      <c r="AGM100" s="68"/>
      <c r="AGN100" s="68"/>
      <c r="AGO100" s="68"/>
      <c r="AGP100" s="68"/>
      <c r="AGQ100" s="68"/>
      <c r="AGR100" s="68"/>
      <c r="AGS100" s="68"/>
      <c r="AGT100" s="68"/>
      <c r="AGU100" s="68"/>
      <c r="AGV100" s="68"/>
      <c r="AGW100" s="68"/>
      <c r="AGX100" s="68"/>
      <c r="AGY100" s="68"/>
      <c r="AGZ100" s="68"/>
      <c r="AHA100" s="68"/>
      <c r="AHB100" s="68"/>
      <c r="AHC100" s="68"/>
      <c r="AHD100" s="68"/>
      <c r="AHE100" s="68"/>
      <c r="AHF100" s="68"/>
      <c r="AHG100" s="68"/>
      <c r="AHH100" s="68"/>
      <c r="AHI100" s="68"/>
      <c r="AHJ100" s="68"/>
      <c r="AHK100" s="68"/>
      <c r="AHL100" s="68"/>
      <c r="AHM100" s="68"/>
      <c r="AHN100" s="68"/>
      <c r="AHO100" s="68"/>
      <c r="AHP100" s="68"/>
      <c r="AHQ100" s="68"/>
      <c r="AHR100" s="68"/>
      <c r="AHS100" s="68"/>
      <c r="AHT100" s="68"/>
      <c r="AHU100" s="68"/>
      <c r="AHV100" s="68"/>
      <c r="AHW100" s="68"/>
      <c r="AHX100" s="68"/>
      <c r="AHY100" s="68"/>
      <c r="AHZ100" s="68"/>
      <c r="AIA100" s="68"/>
      <c r="AIB100" s="68"/>
      <c r="AIC100" s="68"/>
      <c r="AID100" s="68"/>
      <c r="AIE100" s="68"/>
      <c r="AIF100" s="68"/>
      <c r="AIG100" s="68"/>
      <c r="AIH100" s="68"/>
      <c r="AII100" s="68"/>
      <c r="AIJ100" s="68"/>
      <c r="AIK100" s="68"/>
      <c r="AIL100" s="68"/>
      <c r="AIM100" s="68"/>
      <c r="AIN100" s="68"/>
      <c r="AIO100" s="68"/>
      <c r="AIP100" s="68"/>
      <c r="AIQ100" s="68"/>
      <c r="AIR100" s="68"/>
      <c r="AIS100" s="68"/>
      <c r="AIT100" s="68"/>
      <c r="AIU100" s="68"/>
      <c r="AIV100" s="68"/>
      <c r="AIW100" s="68"/>
      <c r="AIX100" s="68"/>
      <c r="AIY100" s="68"/>
      <c r="AIZ100" s="68"/>
      <c r="AJA100" s="68"/>
      <c r="AJB100" s="68"/>
      <c r="AJC100" s="68"/>
      <c r="AJD100" s="68"/>
      <c r="AJE100" s="68"/>
      <c r="AJF100" s="68"/>
      <c r="AJG100" s="68"/>
      <c r="AJH100" s="68"/>
      <c r="AJI100" s="68"/>
      <c r="AJJ100" s="68"/>
      <c r="AJK100" s="68"/>
      <c r="AJL100" s="68"/>
      <c r="AJM100" s="68"/>
      <c r="AJN100" s="68"/>
      <c r="AJO100" s="68"/>
      <c r="AJP100" s="68"/>
      <c r="AJQ100" s="68"/>
      <c r="AJR100" s="68"/>
      <c r="AJS100" s="68"/>
      <c r="AJT100" s="68"/>
      <c r="AJU100" s="68"/>
      <c r="AJV100" s="68"/>
      <c r="AJW100" s="68"/>
      <c r="AJX100" s="68"/>
      <c r="AJY100" s="68"/>
      <c r="AJZ100" s="68"/>
      <c r="AKA100" s="68"/>
      <c r="AKB100" s="68"/>
      <c r="AKC100" s="68"/>
      <c r="AKD100" s="68"/>
      <c r="AKE100" s="68"/>
      <c r="AKF100" s="68"/>
      <c r="AKG100" s="68"/>
      <c r="AKH100" s="68"/>
      <c r="AKI100" s="68"/>
      <c r="AKJ100" s="68"/>
      <c r="AKK100" s="68"/>
      <c r="AKL100" s="68"/>
      <c r="AKM100" s="68"/>
      <c r="AKN100" s="68"/>
      <c r="AKO100" s="68"/>
      <c r="AKP100" s="68"/>
      <c r="AKQ100" s="68"/>
      <c r="AKR100" s="68"/>
      <c r="AKS100" s="68"/>
      <c r="AKT100" s="68"/>
      <c r="AKU100" s="68"/>
      <c r="AKV100" s="68"/>
      <c r="AKW100" s="68"/>
      <c r="AKX100" s="68"/>
      <c r="AKY100" s="68"/>
      <c r="AKZ100" s="68"/>
      <c r="ALA100" s="68"/>
      <c r="ALB100" s="68"/>
      <c r="ALC100" s="68"/>
      <c r="ALD100" s="68"/>
      <c r="ALE100" s="68"/>
      <c r="ALF100" s="68"/>
      <c r="ALG100" s="68"/>
      <c r="ALH100" s="68"/>
      <c r="ALI100" s="68"/>
      <c r="ALJ100" s="68"/>
      <c r="ALK100" s="68"/>
      <c r="ALL100" s="68"/>
      <c r="ALM100" s="68"/>
      <c r="ALN100" s="68"/>
      <c r="ALO100" s="68"/>
      <c r="ALP100" s="68"/>
      <c r="ALQ100" s="68"/>
      <c r="ALR100" s="68"/>
      <c r="ALS100" s="68"/>
      <c r="ALT100" s="68"/>
      <c r="ALU100" s="68"/>
      <c r="ALV100" s="68"/>
      <c r="ALW100" s="68"/>
      <c r="ALX100" s="68"/>
      <c r="ALY100" s="68"/>
      <c r="ALZ100" s="68"/>
      <c r="AMA100" s="68"/>
      <c r="AMB100" s="68"/>
      <c r="AMC100" s="68"/>
      <c r="AMD100" s="68"/>
      <c r="AME100" s="68"/>
      <c r="AMF100" s="68"/>
      <c r="AMG100" s="68"/>
      <c r="AMH100" s="68"/>
      <c r="AMI100" s="68"/>
      <c r="AMJ100" s="68"/>
      <c r="AMK100" s="68"/>
      <c r="AML100" s="68"/>
      <c r="AMM100" s="68"/>
      <c r="AMN100" s="68"/>
      <c r="AMO100" s="68"/>
      <c r="AMP100" s="68"/>
      <c r="AMQ100" s="68"/>
      <c r="AMR100" s="68"/>
      <c r="AMS100" s="68"/>
      <c r="AMT100" s="68"/>
      <c r="AMU100" s="68"/>
      <c r="AMV100" s="68"/>
      <c r="AMW100" s="68"/>
      <c r="AMX100" s="68"/>
      <c r="AMY100" s="68"/>
      <c r="AMZ100" s="68"/>
      <c r="ANA100" s="68"/>
      <c r="ANB100" s="68"/>
      <c r="ANC100" s="68"/>
      <c r="AND100" s="68"/>
      <c r="ANE100" s="68"/>
      <c r="ANF100" s="68"/>
      <c r="ANG100" s="68"/>
      <c r="ANH100" s="68"/>
      <c r="ANI100" s="68"/>
      <c r="ANJ100" s="68"/>
      <c r="ANK100" s="68"/>
      <c r="ANL100" s="68"/>
      <c r="ANM100" s="68"/>
      <c r="ANN100" s="68"/>
      <c r="ANO100" s="68"/>
      <c r="ANP100" s="68"/>
      <c r="ANQ100" s="68"/>
      <c r="ANR100" s="68"/>
      <c r="ANS100" s="68"/>
      <c r="ANT100" s="68"/>
      <c r="ANU100" s="68"/>
      <c r="ANV100" s="68"/>
      <c r="ANW100" s="68"/>
      <c r="ANX100" s="68"/>
      <c r="ANY100" s="68"/>
      <c r="ANZ100" s="68"/>
      <c r="AOA100" s="68"/>
      <c r="AOB100" s="68"/>
      <c r="AOC100" s="68"/>
      <c r="AOD100" s="68"/>
      <c r="AOE100" s="68"/>
      <c r="AOF100" s="68"/>
      <c r="AOG100" s="68"/>
      <c r="AOH100" s="68"/>
      <c r="AOI100" s="68"/>
      <c r="AOJ100" s="68"/>
      <c r="AOK100" s="68"/>
      <c r="AOL100" s="68"/>
      <c r="AOM100" s="68"/>
      <c r="AON100" s="68"/>
      <c r="AOO100" s="68"/>
      <c r="AOP100" s="68"/>
      <c r="AOQ100" s="68"/>
      <c r="AOR100" s="68"/>
      <c r="AOS100" s="68"/>
      <c r="AOT100" s="68"/>
      <c r="AOU100" s="68"/>
      <c r="AOV100" s="68"/>
      <c r="AOW100" s="68"/>
      <c r="AOX100" s="68"/>
      <c r="AOY100" s="68"/>
      <c r="AOZ100" s="68"/>
      <c r="APA100" s="68"/>
      <c r="APB100" s="68"/>
      <c r="APC100" s="68"/>
      <c r="APD100" s="68"/>
      <c r="APE100" s="68"/>
      <c r="APF100" s="68"/>
      <c r="APG100" s="68"/>
      <c r="APH100" s="68"/>
      <c r="API100" s="68"/>
      <c r="APJ100" s="68"/>
      <c r="APK100" s="68"/>
      <c r="APL100" s="68"/>
      <c r="APM100" s="68"/>
      <c r="APN100" s="68"/>
      <c r="APO100" s="68"/>
      <c r="APP100" s="68"/>
      <c r="APQ100" s="68"/>
      <c r="APR100" s="68"/>
      <c r="APS100" s="68"/>
      <c r="APT100" s="68"/>
      <c r="APU100" s="68"/>
      <c r="APV100" s="68"/>
      <c r="APW100" s="68"/>
      <c r="APX100" s="68"/>
      <c r="APY100" s="68"/>
      <c r="APZ100" s="68"/>
      <c r="AQA100" s="68"/>
      <c r="AQB100" s="68"/>
      <c r="AQC100" s="68"/>
      <c r="AQD100" s="68"/>
      <c r="AQE100" s="68"/>
      <c r="AQF100" s="68"/>
      <c r="AQG100" s="68"/>
      <c r="AQH100" s="68"/>
      <c r="AQI100" s="68"/>
      <c r="AQJ100" s="68"/>
      <c r="AQK100" s="68"/>
      <c r="AQL100" s="68"/>
      <c r="AQM100" s="68"/>
      <c r="AQN100" s="68"/>
      <c r="AQO100" s="68"/>
      <c r="AQP100" s="68"/>
      <c r="AQQ100" s="68"/>
      <c r="AQR100" s="68"/>
      <c r="AQS100" s="68"/>
      <c r="AQT100" s="68"/>
      <c r="AQU100" s="68"/>
      <c r="AQV100" s="68"/>
      <c r="AQW100" s="68"/>
      <c r="AQX100" s="68"/>
      <c r="AQY100" s="68"/>
      <c r="AQZ100" s="68"/>
      <c r="ARA100" s="68"/>
      <c r="ARB100" s="68"/>
      <c r="ARC100" s="68"/>
      <c r="ARD100" s="68"/>
      <c r="ARE100" s="68"/>
      <c r="ARF100" s="68"/>
      <c r="ARG100" s="68"/>
      <c r="ARH100" s="68"/>
      <c r="ARI100" s="68"/>
      <c r="ARJ100" s="68"/>
      <c r="ARK100" s="68"/>
      <c r="ARL100" s="68"/>
      <c r="ARM100" s="68"/>
      <c r="ARN100" s="68"/>
      <c r="ARO100" s="68"/>
      <c r="ARP100" s="68"/>
      <c r="ARQ100" s="68"/>
      <c r="ARR100" s="68"/>
      <c r="ARS100" s="68"/>
      <c r="ART100" s="68"/>
      <c r="ARU100" s="68"/>
      <c r="ARV100" s="68"/>
      <c r="ARW100" s="68"/>
      <c r="ARX100" s="68"/>
      <c r="ARY100" s="68"/>
      <c r="ARZ100" s="68"/>
      <c r="ASA100" s="68"/>
      <c r="ASB100" s="68"/>
      <c r="ASC100" s="68"/>
      <c r="ASD100" s="68"/>
      <c r="ASE100" s="68"/>
      <c r="ASF100" s="68"/>
      <c r="ASG100" s="68"/>
      <c r="ASH100" s="68"/>
      <c r="ASI100" s="68"/>
      <c r="ASJ100" s="68"/>
      <c r="ASK100" s="68"/>
      <c r="ASL100" s="68"/>
      <c r="ASM100" s="68"/>
      <c r="ASN100" s="68"/>
      <c r="ASO100" s="68"/>
      <c r="ASP100" s="68"/>
      <c r="ASQ100" s="68"/>
      <c r="ASR100" s="68"/>
      <c r="ASS100" s="68"/>
      <c r="AST100" s="68"/>
      <c r="ASU100" s="68"/>
      <c r="ASV100" s="68"/>
      <c r="ASW100" s="68"/>
      <c r="ASX100" s="68"/>
      <c r="ASY100" s="68"/>
      <c r="ASZ100" s="68"/>
      <c r="ATA100" s="68"/>
      <c r="ATB100" s="68"/>
      <c r="ATC100" s="68"/>
      <c r="ATD100" s="68"/>
      <c r="ATE100" s="68"/>
      <c r="ATF100" s="68"/>
      <c r="ATG100" s="68"/>
      <c r="ATH100" s="68"/>
      <c r="ATI100" s="68"/>
      <c r="ATJ100" s="68"/>
      <c r="ATK100" s="68"/>
      <c r="ATL100" s="68"/>
      <c r="ATM100" s="68"/>
      <c r="ATN100" s="68"/>
      <c r="ATO100" s="68"/>
      <c r="ATP100" s="68"/>
      <c r="ATQ100" s="68"/>
      <c r="ATR100" s="68"/>
      <c r="ATS100" s="68"/>
      <c r="ATT100" s="68"/>
      <c r="ATU100" s="68"/>
      <c r="ATV100" s="68"/>
      <c r="ATW100" s="68"/>
      <c r="ATX100" s="68"/>
      <c r="ATY100" s="68"/>
      <c r="ATZ100" s="68"/>
      <c r="AUA100" s="68"/>
      <c r="AUB100" s="68"/>
      <c r="AUC100" s="68"/>
      <c r="AUD100" s="68"/>
      <c r="AUE100" s="68"/>
      <c r="AUF100" s="68"/>
      <c r="AUG100" s="68"/>
      <c r="AUH100" s="68"/>
      <c r="AUI100" s="68"/>
      <c r="AUJ100" s="68"/>
      <c r="AUK100" s="68"/>
      <c r="AUL100" s="68"/>
      <c r="AUM100" s="68"/>
      <c r="AUN100" s="68"/>
      <c r="AUO100" s="68"/>
      <c r="AUP100" s="68"/>
      <c r="AUQ100" s="68"/>
      <c r="AUR100" s="68"/>
      <c r="AUS100" s="68"/>
      <c r="AUT100" s="68"/>
      <c r="AUU100" s="68"/>
      <c r="AUV100" s="68"/>
      <c r="AUW100" s="68"/>
      <c r="AUX100" s="68"/>
      <c r="AUY100" s="68"/>
      <c r="AUZ100" s="68"/>
      <c r="AVA100" s="68"/>
      <c r="AVB100" s="68"/>
      <c r="AVC100" s="68"/>
      <c r="AVD100" s="68"/>
      <c r="AVE100" s="68"/>
      <c r="AVF100" s="68"/>
      <c r="AVG100" s="68"/>
      <c r="AVH100" s="68"/>
      <c r="AVI100" s="68"/>
      <c r="AVJ100" s="68"/>
      <c r="AVK100" s="68"/>
      <c r="AVL100" s="68"/>
      <c r="AVM100" s="68"/>
      <c r="AVN100" s="68"/>
      <c r="AVO100" s="68"/>
      <c r="AVP100" s="68"/>
      <c r="AVQ100" s="68"/>
      <c r="AVR100" s="68"/>
      <c r="AVS100" s="68"/>
      <c r="AVT100" s="68"/>
      <c r="AVU100" s="68"/>
      <c r="AVV100" s="68"/>
      <c r="AVW100" s="68"/>
      <c r="AVX100" s="68"/>
      <c r="AVY100" s="68"/>
      <c r="AVZ100" s="68"/>
      <c r="AWA100" s="68"/>
      <c r="AWB100" s="68"/>
      <c r="AWC100" s="68"/>
      <c r="AWD100" s="68"/>
      <c r="AWE100" s="68"/>
      <c r="AWF100" s="68"/>
      <c r="AWG100" s="68"/>
      <c r="AWH100" s="68"/>
      <c r="AWI100" s="68"/>
      <c r="AWJ100" s="68"/>
      <c r="AWK100" s="68"/>
      <c r="AWL100" s="68"/>
      <c r="AWM100" s="68"/>
      <c r="AWN100" s="68"/>
      <c r="AWO100" s="68"/>
      <c r="AWP100" s="68"/>
      <c r="AWQ100" s="68"/>
      <c r="AWR100" s="68"/>
      <c r="AWS100" s="68"/>
      <c r="AWT100" s="68"/>
      <c r="AWU100" s="68"/>
      <c r="AWV100" s="68"/>
      <c r="AWW100" s="68"/>
      <c r="AWX100" s="68"/>
      <c r="AWY100" s="68"/>
      <c r="AWZ100" s="68"/>
      <c r="AXA100" s="68"/>
      <c r="AXB100" s="68"/>
      <c r="AXC100" s="68"/>
      <c r="AXD100" s="68"/>
      <c r="AXE100" s="68"/>
      <c r="AXF100" s="68"/>
      <c r="AXG100" s="68"/>
      <c r="AXH100" s="68"/>
      <c r="AXI100" s="68"/>
      <c r="AXJ100" s="68"/>
      <c r="AXK100" s="68"/>
      <c r="AXL100" s="68"/>
      <c r="AXM100" s="68"/>
      <c r="AXN100" s="68"/>
      <c r="AXO100" s="68"/>
      <c r="AXP100" s="68"/>
      <c r="AXQ100" s="68"/>
      <c r="AXR100" s="68"/>
      <c r="AXS100" s="68"/>
      <c r="AXT100" s="68"/>
      <c r="AXU100" s="68"/>
      <c r="AXV100" s="68"/>
      <c r="AXW100" s="68"/>
      <c r="AXX100" s="68"/>
      <c r="AXY100" s="68"/>
      <c r="AXZ100" s="68"/>
      <c r="AYA100" s="68"/>
      <c r="AYB100" s="68"/>
      <c r="AYC100" s="68"/>
      <c r="AYD100" s="68"/>
      <c r="AYE100" s="68"/>
      <c r="AYF100" s="68"/>
      <c r="AYG100" s="68"/>
      <c r="AYH100" s="68"/>
      <c r="AYI100" s="68"/>
      <c r="AYJ100" s="68"/>
      <c r="AYK100" s="68"/>
      <c r="AYL100" s="68"/>
      <c r="AYM100" s="68"/>
      <c r="AYN100" s="68"/>
      <c r="AYO100" s="68"/>
      <c r="AYP100" s="68"/>
      <c r="AYQ100" s="68"/>
      <c r="AYR100" s="68"/>
      <c r="AYS100" s="68"/>
      <c r="AYT100" s="68"/>
      <c r="AYU100" s="68"/>
      <c r="AYV100" s="68"/>
      <c r="AYW100" s="68"/>
      <c r="AYX100" s="68"/>
      <c r="AYY100" s="68"/>
      <c r="AYZ100" s="68"/>
      <c r="AZA100" s="68"/>
      <c r="AZB100" s="68"/>
      <c r="AZC100" s="68"/>
      <c r="AZD100" s="68"/>
      <c r="AZE100" s="68"/>
      <c r="AZF100" s="68"/>
      <c r="AZG100" s="68"/>
      <c r="AZH100" s="68"/>
      <c r="AZI100" s="68"/>
      <c r="AZJ100" s="68"/>
      <c r="AZK100" s="68"/>
      <c r="AZL100" s="68"/>
      <c r="AZM100" s="68"/>
      <c r="AZN100" s="68"/>
      <c r="AZO100" s="68"/>
      <c r="AZP100" s="68"/>
      <c r="AZQ100" s="68"/>
      <c r="AZR100" s="68"/>
      <c r="AZS100" s="68"/>
      <c r="AZT100" s="68"/>
      <c r="AZU100" s="68"/>
      <c r="AZV100" s="68"/>
      <c r="AZW100" s="68"/>
      <c r="AZX100" s="68"/>
      <c r="AZY100" s="68"/>
      <c r="AZZ100" s="68"/>
      <c r="BAA100" s="68"/>
      <c r="BAB100" s="68"/>
      <c r="BAC100" s="68"/>
      <c r="BAD100" s="68"/>
      <c r="BAE100" s="68"/>
      <c r="BAF100" s="68"/>
      <c r="BAG100" s="68"/>
      <c r="BAH100" s="68"/>
      <c r="BAI100" s="68"/>
      <c r="BAJ100" s="68"/>
      <c r="BAK100" s="68"/>
      <c r="BAL100" s="68"/>
      <c r="BAM100" s="68"/>
      <c r="BAN100" s="68"/>
      <c r="BAO100" s="68"/>
      <c r="BAP100" s="68"/>
      <c r="BAQ100" s="68"/>
      <c r="BAR100" s="68"/>
      <c r="BAS100" s="68"/>
      <c r="BAT100" s="68"/>
      <c r="BAU100" s="68"/>
      <c r="BAV100" s="68"/>
      <c r="BAW100" s="68"/>
      <c r="BAX100" s="68"/>
      <c r="BAY100" s="68"/>
      <c r="BAZ100" s="68"/>
      <c r="BBA100" s="68"/>
      <c r="BBB100" s="68"/>
      <c r="BBC100" s="68"/>
      <c r="BBD100" s="68"/>
      <c r="BBE100" s="68"/>
      <c r="BBF100" s="68"/>
      <c r="BBG100" s="68"/>
      <c r="BBH100" s="68"/>
      <c r="BBI100" s="68"/>
      <c r="BBJ100" s="68"/>
      <c r="BBK100" s="68"/>
      <c r="BBL100" s="68"/>
      <c r="BBM100" s="68"/>
      <c r="BBN100" s="68"/>
      <c r="BBO100" s="68"/>
      <c r="BBP100" s="68"/>
      <c r="BBQ100" s="68"/>
      <c r="BBR100" s="68"/>
      <c r="BBS100" s="68"/>
      <c r="BBT100" s="68"/>
      <c r="BBU100" s="68"/>
      <c r="BBV100" s="68"/>
      <c r="BBW100" s="68"/>
      <c r="BBX100" s="68"/>
      <c r="BBY100" s="68"/>
      <c r="BBZ100" s="68"/>
      <c r="BCA100" s="68"/>
      <c r="BCB100" s="68"/>
      <c r="BCC100" s="68"/>
      <c r="BCD100" s="68"/>
      <c r="BCE100" s="68"/>
      <c r="BCF100" s="68"/>
      <c r="BCG100" s="68"/>
      <c r="BCH100" s="68"/>
      <c r="BCI100" s="68"/>
      <c r="BCJ100" s="68"/>
      <c r="BCK100" s="68"/>
      <c r="BCL100" s="68"/>
      <c r="BCM100" s="68"/>
      <c r="BCN100" s="68"/>
      <c r="BCO100" s="68"/>
      <c r="BCP100" s="68"/>
      <c r="BCQ100" s="68"/>
      <c r="BCR100" s="68"/>
      <c r="BCS100" s="68"/>
      <c r="BCT100" s="68"/>
      <c r="BCU100" s="68"/>
      <c r="BCV100" s="68"/>
      <c r="BCW100" s="68"/>
      <c r="BCX100" s="68"/>
      <c r="BCY100" s="68"/>
      <c r="BCZ100" s="68"/>
      <c r="BDA100" s="68"/>
    </row>
    <row r="101" spans="1:1457" s="67" customFormat="1" ht="30.75" customHeight="1" x14ac:dyDescent="0.25">
      <c r="A101" s="49">
        <v>19</v>
      </c>
      <c r="B101" s="71" t="s">
        <v>124</v>
      </c>
      <c r="C101" s="71" t="s">
        <v>125</v>
      </c>
      <c r="D101" s="71" t="s">
        <v>708</v>
      </c>
      <c r="E101" s="71" t="s">
        <v>709</v>
      </c>
      <c r="F101" s="51">
        <v>8167200</v>
      </c>
      <c r="G101" s="70" t="s">
        <v>575</v>
      </c>
      <c r="H101" s="42" t="s">
        <v>667</v>
      </c>
      <c r="I101" s="71" t="s">
        <v>126</v>
      </c>
      <c r="J101" s="71"/>
      <c r="K101" s="69"/>
      <c r="L101" s="69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Q101" s="68"/>
      <c r="BR101" s="68"/>
      <c r="BS101" s="68"/>
      <c r="BT101" s="68"/>
      <c r="BU101" s="68"/>
      <c r="BV101" s="68"/>
      <c r="BW101" s="68"/>
      <c r="BX101" s="68"/>
      <c r="BY101" s="68"/>
      <c r="BZ101" s="68"/>
      <c r="CA101" s="68"/>
      <c r="CB101" s="68"/>
      <c r="CC101" s="68"/>
      <c r="CD101" s="68"/>
      <c r="CE101" s="68"/>
      <c r="CF101" s="68"/>
      <c r="CG101" s="68"/>
      <c r="CH101" s="68"/>
      <c r="CI101" s="68"/>
      <c r="CJ101" s="68"/>
      <c r="CK101" s="68"/>
      <c r="CL101" s="68"/>
      <c r="CM101" s="68"/>
      <c r="CN101" s="68"/>
      <c r="CO101" s="68"/>
      <c r="CP101" s="68"/>
      <c r="CQ101" s="68"/>
      <c r="CR101" s="68"/>
      <c r="CS101" s="68"/>
      <c r="CT101" s="68"/>
      <c r="CU101" s="68"/>
      <c r="CV101" s="68"/>
      <c r="CW101" s="68"/>
      <c r="CX101" s="68"/>
      <c r="CY101" s="68"/>
      <c r="CZ101" s="68"/>
      <c r="DA101" s="68"/>
      <c r="DB101" s="68"/>
      <c r="DC101" s="68"/>
      <c r="DD101" s="68"/>
      <c r="DE101" s="68"/>
      <c r="DF101" s="68"/>
      <c r="DG101" s="68"/>
      <c r="DH101" s="68"/>
      <c r="DI101" s="68"/>
      <c r="DJ101" s="68"/>
      <c r="DK101" s="68"/>
      <c r="DL101" s="68"/>
      <c r="DM101" s="68"/>
      <c r="DN101" s="68"/>
      <c r="DO101" s="68"/>
      <c r="DP101" s="68"/>
      <c r="DQ101" s="68"/>
      <c r="DR101" s="68"/>
      <c r="DS101" s="68"/>
      <c r="DT101" s="68"/>
      <c r="DU101" s="68"/>
      <c r="DV101" s="68"/>
      <c r="DW101" s="68"/>
      <c r="DX101" s="68"/>
      <c r="DY101" s="68"/>
      <c r="DZ101" s="68"/>
      <c r="EA101" s="68"/>
      <c r="EB101" s="68"/>
      <c r="EC101" s="68"/>
      <c r="ED101" s="68"/>
      <c r="EE101" s="68"/>
      <c r="EF101" s="68"/>
      <c r="EG101" s="68"/>
      <c r="EH101" s="68"/>
      <c r="EI101" s="68"/>
      <c r="EJ101" s="68"/>
      <c r="EK101" s="68"/>
      <c r="EL101" s="68"/>
      <c r="EM101" s="68"/>
      <c r="EN101" s="68"/>
      <c r="EO101" s="68"/>
      <c r="EP101" s="68"/>
      <c r="EQ101" s="68"/>
      <c r="ER101" s="68"/>
      <c r="ES101" s="68"/>
      <c r="ET101" s="68"/>
      <c r="EU101" s="68"/>
      <c r="EV101" s="68"/>
      <c r="EW101" s="68"/>
      <c r="EX101" s="68"/>
      <c r="EY101" s="68"/>
      <c r="EZ101" s="68"/>
      <c r="FA101" s="68"/>
      <c r="FB101" s="68"/>
      <c r="FC101" s="68"/>
      <c r="FD101" s="68"/>
      <c r="FE101" s="68"/>
      <c r="FF101" s="68"/>
      <c r="FG101" s="68"/>
      <c r="FH101" s="68"/>
      <c r="FI101" s="68"/>
      <c r="FJ101" s="68"/>
      <c r="FK101" s="68"/>
      <c r="FL101" s="68"/>
      <c r="FM101" s="68"/>
      <c r="FN101" s="68"/>
      <c r="FO101" s="68"/>
      <c r="FP101" s="68"/>
      <c r="FQ101" s="68"/>
      <c r="FR101" s="68"/>
      <c r="FS101" s="68"/>
      <c r="FT101" s="68"/>
      <c r="FU101" s="68"/>
      <c r="FV101" s="68"/>
      <c r="FW101" s="68"/>
      <c r="FX101" s="68"/>
      <c r="FY101" s="68"/>
      <c r="FZ101" s="68"/>
      <c r="GA101" s="68"/>
      <c r="GB101" s="68"/>
      <c r="GC101" s="68"/>
      <c r="GD101" s="68"/>
      <c r="GE101" s="68"/>
      <c r="GF101" s="68"/>
      <c r="GG101" s="68"/>
      <c r="GH101" s="68"/>
      <c r="GI101" s="68"/>
      <c r="GJ101" s="68"/>
      <c r="GK101" s="68"/>
      <c r="GL101" s="68"/>
      <c r="GM101" s="68"/>
      <c r="GN101" s="68"/>
      <c r="GO101" s="68"/>
      <c r="GP101" s="68"/>
      <c r="GQ101" s="68"/>
      <c r="GR101" s="68"/>
      <c r="GS101" s="68"/>
      <c r="GT101" s="68"/>
      <c r="GU101" s="68"/>
      <c r="GV101" s="68"/>
      <c r="GW101" s="68"/>
      <c r="GX101" s="68"/>
      <c r="GY101" s="68"/>
      <c r="GZ101" s="68"/>
      <c r="HA101" s="68"/>
      <c r="HB101" s="68"/>
      <c r="HC101" s="68"/>
      <c r="HD101" s="68"/>
      <c r="HE101" s="68"/>
      <c r="HF101" s="68"/>
      <c r="HG101" s="68"/>
      <c r="HH101" s="68"/>
      <c r="HI101" s="68"/>
      <c r="HJ101" s="68"/>
      <c r="HK101" s="68"/>
      <c r="HL101" s="68"/>
      <c r="HM101" s="68"/>
      <c r="HN101" s="68"/>
      <c r="HO101" s="68"/>
      <c r="HP101" s="68"/>
      <c r="HQ101" s="68"/>
      <c r="HR101" s="68"/>
      <c r="HS101" s="68"/>
      <c r="HT101" s="68"/>
      <c r="HU101" s="68"/>
      <c r="HV101" s="68"/>
      <c r="HW101" s="68"/>
      <c r="HX101" s="68"/>
      <c r="HY101" s="68"/>
      <c r="HZ101" s="68"/>
      <c r="IA101" s="68"/>
      <c r="IB101" s="68"/>
      <c r="IC101" s="68"/>
      <c r="ID101" s="68"/>
      <c r="IE101" s="68"/>
      <c r="IF101" s="68"/>
      <c r="IG101" s="68"/>
      <c r="IH101" s="68"/>
      <c r="II101" s="68"/>
      <c r="IJ101" s="68"/>
      <c r="IK101" s="68"/>
      <c r="IL101" s="68"/>
      <c r="IM101" s="68"/>
      <c r="IN101" s="68"/>
      <c r="IO101" s="68"/>
      <c r="IP101" s="68"/>
      <c r="IQ101" s="68"/>
      <c r="IR101" s="68"/>
      <c r="IS101" s="68"/>
      <c r="IT101" s="68"/>
      <c r="IU101" s="68"/>
      <c r="IV101" s="68"/>
      <c r="IW101" s="68"/>
      <c r="IX101" s="68"/>
      <c r="IY101" s="68"/>
      <c r="IZ101" s="68"/>
      <c r="JA101" s="68"/>
      <c r="JB101" s="68"/>
      <c r="JC101" s="68"/>
      <c r="JD101" s="68"/>
      <c r="JE101" s="68"/>
      <c r="JF101" s="68"/>
      <c r="JG101" s="68"/>
      <c r="JH101" s="68"/>
      <c r="JI101" s="68"/>
      <c r="JJ101" s="68"/>
      <c r="JK101" s="68"/>
      <c r="JL101" s="68"/>
      <c r="JM101" s="68"/>
      <c r="JN101" s="68"/>
      <c r="JO101" s="68"/>
      <c r="JP101" s="68"/>
      <c r="JQ101" s="68"/>
      <c r="JR101" s="68"/>
      <c r="JS101" s="68"/>
      <c r="JT101" s="68"/>
      <c r="JU101" s="68"/>
      <c r="JV101" s="68"/>
      <c r="JW101" s="68"/>
      <c r="JX101" s="68"/>
      <c r="JY101" s="68"/>
      <c r="JZ101" s="68"/>
      <c r="KA101" s="68"/>
      <c r="KB101" s="68"/>
      <c r="KC101" s="68"/>
      <c r="KD101" s="68"/>
      <c r="KE101" s="68"/>
      <c r="KF101" s="68"/>
      <c r="KG101" s="68"/>
      <c r="KH101" s="68"/>
      <c r="KI101" s="68"/>
      <c r="KJ101" s="68"/>
      <c r="KK101" s="68"/>
      <c r="KL101" s="68"/>
      <c r="KM101" s="68"/>
      <c r="KN101" s="68"/>
      <c r="KO101" s="68"/>
      <c r="KP101" s="68"/>
      <c r="KQ101" s="68"/>
      <c r="KR101" s="68"/>
      <c r="KS101" s="68"/>
      <c r="KT101" s="68"/>
      <c r="KU101" s="68"/>
      <c r="KV101" s="68"/>
      <c r="KW101" s="68"/>
      <c r="KX101" s="68"/>
      <c r="KY101" s="68"/>
      <c r="KZ101" s="68"/>
      <c r="LA101" s="68"/>
      <c r="LB101" s="68"/>
      <c r="LC101" s="68"/>
      <c r="LD101" s="68"/>
      <c r="LE101" s="68"/>
      <c r="LF101" s="68"/>
      <c r="LG101" s="68"/>
      <c r="LH101" s="68"/>
      <c r="LI101" s="68"/>
      <c r="LJ101" s="68"/>
      <c r="LK101" s="68"/>
      <c r="LL101" s="68"/>
      <c r="LM101" s="68"/>
      <c r="LN101" s="68"/>
      <c r="LO101" s="68"/>
      <c r="LP101" s="68"/>
      <c r="LQ101" s="68"/>
      <c r="LR101" s="68"/>
      <c r="LS101" s="68"/>
      <c r="LT101" s="68"/>
      <c r="LU101" s="68"/>
      <c r="LV101" s="68"/>
      <c r="LW101" s="68"/>
      <c r="LX101" s="68"/>
      <c r="LY101" s="68"/>
      <c r="LZ101" s="68"/>
      <c r="MA101" s="68"/>
      <c r="MB101" s="68"/>
      <c r="MC101" s="68"/>
      <c r="MD101" s="68"/>
      <c r="ME101" s="68"/>
      <c r="MF101" s="68"/>
      <c r="MG101" s="68"/>
      <c r="MH101" s="68"/>
      <c r="MI101" s="68"/>
      <c r="MJ101" s="68"/>
      <c r="MK101" s="68"/>
      <c r="ML101" s="68"/>
      <c r="MM101" s="68"/>
      <c r="MN101" s="68"/>
      <c r="MO101" s="68"/>
      <c r="MP101" s="68"/>
      <c r="MQ101" s="68"/>
      <c r="MR101" s="68"/>
      <c r="MS101" s="68"/>
      <c r="MT101" s="68"/>
      <c r="MU101" s="68"/>
      <c r="MV101" s="68"/>
      <c r="MW101" s="68"/>
      <c r="MX101" s="68"/>
      <c r="MY101" s="68"/>
      <c r="MZ101" s="68"/>
      <c r="NA101" s="68"/>
      <c r="NB101" s="68"/>
      <c r="NC101" s="68"/>
      <c r="ND101" s="68"/>
      <c r="NE101" s="68"/>
      <c r="NF101" s="68"/>
      <c r="NG101" s="68"/>
      <c r="NH101" s="68"/>
      <c r="NI101" s="68"/>
      <c r="NJ101" s="68"/>
      <c r="NK101" s="68"/>
      <c r="NL101" s="68"/>
      <c r="NM101" s="68"/>
      <c r="NN101" s="68"/>
      <c r="NO101" s="68"/>
      <c r="NP101" s="68"/>
      <c r="NQ101" s="68"/>
      <c r="NR101" s="68"/>
      <c r="NS101" s="68"/>
      <c r="NT101" s="68"/>
      <c r="NU101" s="68"/>
      <c r="NV101" s="68"/>
      <c r="NW101" s="68"/>
      <c r="NX101" s="68"/>
      <c r="NY101" s="68"/>
      <c r="NZ101" s="68"/>
      <c r="OA101" s="68"/>
      <c r="OB101" s="68"/>
      <c r="OC101" s="68"/>
      <c r="OD101" s="68"/>
      <c r="OE101" s="68"/>
      <c r="OF101" s="68"/>
      <c r="OG101" s="68"/>
      <c r="OH101" s="68"/>
      <c r="OI101" s="68"/>
      <c r="OJ101" s="68"/>
      <c r="OK101" s="68"/>
      <c r="OL101" s="68"/>
      <c r="OM101" s="68"/>
      <c r="ON101" s="68"/>
      <c r="OO101" s="68"/>
      <c r="OP101" s="68"/>
      <c r="OQ101" s="68"/>
      <c r="OR101" s="68"/>
      <c r="OS101" s="68"/>
      <c r="OT101" s="68"/>
      <c r="OU101" s="68"/>
      <c r="OV101" s="68"/>
      <c r="OW101" s="68"/>
      <c r="OX101" s="68"/>
      <c r="OY101" s="68"/>
      <c r="OZ101" s="68"/>
      <c r="PA101" s="68"/>
      <c r="PB101" s="68"/>
      <c r="PC101" s="68"/>
      <c r="PD101" s="68"/>
      <c r="PE101" s="68"/>
      <c r="PF101" s="68"/>
      <c r="PG101" s="68"/>
      <c r="PH101" s="68"/>
      <c r="PI101" s="68"/>
      <c r="PJ101" s="68"/>
      <c r="PK101" s="68"/>
      <c r="PL101" s="68"/>
      <c r="PM101" s="68"/>
      <c r="PN101" s="68"/>
      <c r="PO101" s="68"/>
      <c r="PP101" s="68"/>
      <c r="PQ101" s="68"/>
      <c r="PR101" s="68"/>
      <c r="PS101" s="68"/>
      <c r="PT101" s="68"/>
      <c r="PU101" s="68"/>
      <c r="PV101" s="68"/>
      <c r="PW101" s="68"/>
      <c r="PX101" s="68"/>
      <c r="PY101" s="68"/>
      <c r="PZ101" s="68"/>
      <c r="QA101" s="68"/>
      <c r="QB101" s="68"/>
      <c r="QC101" s="68"/>
      <c r="QD101" s="68"/>
      <c r="QE101" s="68"/>
      <c r="QF101" s="68"/>
      <c r="QG101" s="68"/>
      <c r="QH101" s="68"/>
      <c r="QI101" s="68"/>
      <c r="QJ101" s="68"/>
      <c r="QK101" s="68"/>
      <c r="QL101" s="68"/>
      <c r="QM101" s="68"/>
      <c r="QN101" s="68"/>
      <c r="QO101" s="68"/>
      <c r="QP101" s="68"/>
      <c r="QQ101" s="68"/>
      <c r="QR101" s="68"/>
      <c r="QS101" s="68"/>
      <c r="QT101" s="68"/>
      <c r="QU101" s="68"/>
      <c r="QV101" s="68"/>
      <c r="QW101" s="68"/>
      <c r="QX101" s="68"/>
      <c r="QY101" s="68"/>
      <c r="QZ101" s="68"/>
      <c r="RA101" s="68"/>
      <c r="RB101" s="68"/>
      <c r="RC101" s="68"/>
      <c r="RD101" s="68"/>
      <c r="RE101" s="68"/>
      <c r="RF101" s="68"/>
      <c r="RG101" s="68"/>
      <c r="RH101" s="68"/>
      <c r="RI101" s="68"/>
      <c r="RJ101" s="68"/>
      <c r="RK101" s="68"/>
      <c r="RL101" s="68"/>
      <c r="RM101" s="68"/>
      <c r="RN101" s="68"/>
      <c r="RO101" s="68"/>
      <c r="RP101" s="68"/>
      <c r="RQ101" s="68"/>
      <c r="RR101" s="68"/>
      <c r="RS101" s="68"/>
      <c r="RT101" s="68"/>
      <c r="RU101" s="68"/>
      <c r="RV101" s="68"/>
      <c r="RW101" s="68"/>
      <c r="RX101" s="68"/>
      <c r="RY101" s="68"/>
      <c r="RZ101" s="68"/>
      <c r="SA101" s="68"/>
      <c r="SB101" s="68"/>
      <c r="SC101" s="68"/>
      <c r="SD101" s="68"/>
      <c r="SE101" s="68"/>
      <c r="SF101" s="68"/>
      <c r="SG101" s="68"/>
      <c r="SH101" s="68"/>
      <c r="SI101" s="68"/>
      <c r="SJ101" s="68"/>
      <c r="SK101" s="68"/>
      <c r="SL101" s="68"/>
      <c r="SM101" s="68"/>
      <c r="SN101" s="68"/>
      <c r="SO101" s="68"/>
      <c r="SP101" s="68"/>
      <c r="SQ101" s="68"/>
      <c r="SR101" s="68"/>
      <c r="SS101" s="68"/>
      <c r="ST101" s="68"/>
      <c r="SU101" s="68"/>
      <c r="SV101" s="68"/>
      <c r="SW101" s="68"/>
      <c r="SX101" s="68"/>
      <c r="SY101" s="68"/>
      <c r="SZ101" s="68"/>
      <c r="TA101" s="68"/>
      <c r="TB101" s="68"/>
      <c r="TC101" s="68"/>
      <c r="TD101" s="68"/>
      <c r="TE101" s="68"/>
      <c r="TF101" s="68"/>
      <c r="TG101" s="68"/>
      <c r="TH101" s="68"/>
      <c r="TI101" s="68"/>
      <c r="TJ101" s="68"/>
      <c r="TK101" s="68"/>
      <c r="TL101" s="68"/>
      <c r="TM101" s="68"/>
      <c r="TN101" s="68"/>
      <c r="TO101" s="68"/>
      <c r="TP101" s="68"/>
      <c r="TQ101" s="68"/>
      <c r="TR101" s="68"/>
      <c r="TS101" s="68"/>
      <c r="TT101" s="68"/>
      <c r="TU101" s="68"/>
      <c r="TV101" s="68"/>
      <c r="TW101" s="68"/>
      <c r="TX101" s="68"/>
      <c r="TY101" s="68"/>
      <c r="TZ101" s="68"/>
      <c r="UA101" s="68"/>
      <c r="UB101" s="68"/>
      <c r="UC101" s="68"/>
      <c r="UD101" s="68"/>
      <c r="UE101" s="68"/>
      <c r="UF101" s="68"/>
      <c r="UG101" s="68"/>
      <c r="UH101" s="68"/>
      <c r="UI101" s="68"/>
      <c r="UJ101" s="68"/>
      <c r="UK101" s="68"/>
      <c r="UL101" s="68"/>
      <c r="UM101" s="68"/>
      <c r="UN101" s="68"/>
      <c r="UO101" s="68"/>
      <c r="UP101" s="68"/>
      <c r="UQ101" s="68"/>
      <c r="UR101" s="68"/>
      <c r="US101" s="68"/>
      <c r="UT101" s="68"/>
      <c r="UU101" s="68"/>
      <c r="UV101" s="68"/>
      <c r="UW101" s="68"/>
      <c r="UX101" s="68"/>
      <c r="UY101" s="68"/>
      <c r="UZ101" s="68"/>
      <c r="VA101" s="68"/>
      <c r="VB101" s="68"/>
      <c r="VC101" s="68"/>
      <c r="VD101" s="68"/>
      <c r="VE101" s="68"/>
      <c r="VF101" s="68"/>
      <c r="VG101" s="68"/>
      <c r="VH101" s="68"/>
      <c r="VI101" s="68"/>
      <c r="VJ101" s="68"/>
      <c r="VK101" s="68"/>
      <c r="VL101" s="68"/>
      <c r="VM101" s="68"/>
      <c r="VN101" s="68"/>
      <c r="VO101" s="68"/>
      <c r="VP101" s="68"/>
      <c r="VQ101" s="68"/>
      <c r="VR101" s="68"/>
      <c r="VS101" s="68"/>
      <c r="VT101" s="68"/>
      <c r="VU101" s="68"/>
      <c r="VV101" s="68"/>
      <c r="VW101" s="68"/>
      <c r="VX101" s="68"/>
      <c r="VY101" s="68"/>
      <c r="VZ101" s="68"/>
      <c r="WA101" s="68"/>
      <c r="WB101" s="68"/>
      <c r="WC101" s="68"/>
      <c r="WD101" s="68"/>
      <c r="WE101" s="68"/>
      <c r="WF101" s="68"/>
      <c r="WG101" s="68"/>
      <c r="WH101" s="68"/>
      <c r="WI101" s="68"/>
      <c r="WJ101" s="68"/>
      <c r="WK101" s="68"/>
      <c r="WL101" s="68"/>
      <c r="WM101" s="68"/>
      <c r="WN101" s="68"/>
      <c r="WO101" s="68"/>
      <c r="WP101" s="68"/>
      <c r="WQ101" s="68"/>
      <c r="WR101" s="68"/>
      <c r="WS101" s="68"/>
      <c r="WT101" s="68"/>
      <c r="WU101" s="68"/>
      <c r="WV101" s="68"/>
      <c r="WW101" s="68"/>
      <c r="WX101" s="68"/>
      <c r="WY101" s="68"/>
      <c r="WZ101" s="68"/>
      <c r="XA101" s="68"/>
      <c r="XB101" s="68"/>
      <c r="XC101" s="68"/>
      <c r="XD101" s="68"/>
      <c r="XE101" s="68"/>
      <c r="XF101" s="68"/>
      <c r="XG101" s="68"/>
      <c r="XH101" s="68"/>
      <c r="XI101" s="68"/>
      <c r="XJ101" s="68"/>
      <c r="XK101" s="68"/>
      <c r="XL101" s="68"/>
      <c r="XM101" s="68"/>
      <c r="XN101" s="68"/>
      <c r="XO101" s="68"/>
      <c r="XP101" s="68"/>
      <c r="XQ101" s="68"/>
      <c r="XR101" s="68"/>
      <c r="XS101" s="68"/>
      <c r="XT101" s="68"/>
      <c r="XU101" s="68"/>
      <c r="XV101" s="68"/>
      <c r="XW101" s="68"/>
      <c r="XX101" s="68"/>
      <c r="XY101" s="68"/>
      <c r="XZ101" s="68"/>
      <c r="YA101" s="68"/>
      <c r="YB101" s="68"/>
      <c r="YC101" s="68"/>
      <c r="YD101" s="68"/>
      <c r="YE101" s="68"/>
      <c r="YF101" s="68"/>
      <c r="YG101" s="68"/>
      <c r="YH101" s="68"/>
      <c r="YI101" s="68"/>
      <c r="YJ101" s="68"/>
      <c r="YK101" s="68"/>
      <c r="YL101" s="68"/>
      <c r="YM101" s="68"/>
      <c r="YN101" s="68"/>
      <c r="YO101" s="68"/>
      <c r="YP101" s="68"/>
      <c r="YQ101" s="68"/>
      <c r="YR101" s="68"/>
      <c r="YS101" s="68"/>
      <c r="YT101" s="68"/>
      <c r="YU101" s="68"/>
      <c r="YV101" s="68"/>
      <c r="YW101" s="68"/>
      <c r="YX101" s="68"/>
      <c r="YY101" s="68"/>
      <c r="YZ101" s="68"/>
      <c r="ZA101" s="68"/>
      <c r="ZB101" s="68"/>
      <c r="ZC101" s="68"/>
      <c r="ZD101" s="68"/>
      <c r="ZE101" s="68"/>
      <c r="ZF101" s="68"/>
      <c r="ZG101" s="68"/>
      <c r="ZH101" s="68"/>
      <c r="ZI101" s="68"/>
      <c r="ZJ101" s="68"/>
      <c r="ZK101" s="68"/>
      <c r="ZL101" s="68"/>
      <c r="ZM101" s="68"/>
      <c r="ZN101" s="68"/>
      <c r="ZO101" s="68"/>
      <c r="ZP101" s="68"/>
      <c r="ZQ101" s="68"/>
      <c r="ZR101" s="68"/>
      <c r="ZS101" s="68"/>
      <c r="ZT101" s="68"/>
      <c r="ZU101" s="68"/>
      <c r="ZV101" s="68"/>
      <c r="ZW101" s="68"/>
      <c r="ZX101" s="68"/>
      <c r="ZY101" s="68"/>
      <c r="ZZ101" s="68"/>
      <c r="AAA101" s="68"/>
      <c r="AAB101" s="68"/>
      <c r="AAC101" s="68"/>
      <c r="AAD101" s="68"/>
      <c r="AAE101" s="68"/>
      <c r="AAF101" s="68"/>
      <c r="AAG101" s="68"/>
      <c r="AAH101" s="68"/>
      <c r="AAI101" s="68"/>
      <c r="AAJ101" s="68"/>
      <c r="AAK101" s="68"/>
      <c r="AAL101" s="68"/>
      <c r="AAM101" s="68"/>
      <c r="AAN101" s="68"/>
      <c r="AAO101" s="68"/>
      <c r="AAP101" s="68"/>
      <c r="AAQ101" s="68"/>
      <c r="AAR101" s="68"/>
      <c r="AAS101" s="68"/>
      <c r="AAT101" s="68"/>
      <c r="AAU101" s="68"/>
      <c r="AAV101" s="68"/>
      <c r="AAW101" s="68"/>
      <c r="AAX101" s="68"/>
      <c r="AAY101" s="68"/>
      <c r="AAZ101" s="68"/>
      <c r="ABA101" s="68"/>
      <c r="ABB101" s="68"/>
      <c r="ABC101" s="68"/>
      <c r="ABD101" s="68"/>
      <c r="ABE101" s="68"/>
      <c r="ABF101" s="68"/>
      <c r="ABG101" s="68"/>
      <c r="ABH101" s="68"/>
      <c r="ABI101" s="68"/>
      <c r="ABJ101" s="68"/>
      <c r="ABK101" s="68"/>
      <c r="ABL101" s="68"/>
      <c r="ABM101" s="68"/>
      <c r="ABN101" s="68"/>
      <c r="ABO101" s="68"/>
      <c r="ABP101" s="68"/>
      <c r="ABQ101" s="68"/>
      <c r="ABR101" s="68"/>
      <c r="ABS101" s="68"/>
      <c r="ABT101" s="68"/>
      <c r="ABU101" s="68"/>
      <c r="ABV101" s="68"/>
      <c r="ABW101" s="68"/>
      <c r="ABX101" s="68"/>
      <c r="ABY101" s="68"/>
      <c r="ABZ101" s="68"/>
      <c r="ACA101" s="68"/>
      <c r="ACB101" s="68"/>
      <c r="ACC101" s="68"/>
      <c r="ACD101" s="68"/>
      <c r="ACE101" s="68"/>
      <c r="ACF101" s="68"/>
      <c r="ACG101" s="68"/>
      <c r="ACH101" s="68"/>
      <c r="ACI101" s="68"/>
      <c r="ACJ101" s="68"/>
      <c r="ACK101" s="68"/>
      <c r="ACL101" s="68"/>
      <c r="ACM101" s="68"/>
      <c r="ACN101" s="68"/>
      <c r="ACO101" s="68"/>
      <c r="ACP101" s="68"/>
      <c r="ACQ101" s="68"/>
      <c r="ACR101" s="68"/>
      <c r="ACS101" s="68"/>
      <c r="ACT101" s="68"/>
      <c r="ACU101" s="68"/>
      <c r="ACV101" s="68"/>
      <c r="ACW101" s="68"/>
      <c r="ACX101" s="68"/>
      <c r="ACY101" s="68"/>
      <c r="ACZ101" s="68"/>
      <c r="ADA101" s="68"/>
      <c r="ADB101" s="68"/>
      <c r="ADC101" s="68"/>
      <c r="ADD101" s="68"/>
      <c r="ADE101" s="68"/>
      <c r="ADF101" s="68"/>
      <c r="ADG101" s="68"/>
      <c r="ADH101" s="68"/>
      <c r="ADI101" s="68"/>
      <c r="ADJ101" s="68"/>
      <c r="ADK101" s="68"/>
      <c r="ADL101" s="68"/>
      <c r="ADM101" s="68"/>
      <c r="ADN101" s="68"/>
      <c r="ADO101" s="68"/>
      <c r="ADP101" s="68"/>
      <c r="ADQ101" s="68"/>
      <c r="ADR101" s="68"/>
      <c r="ADS101" s="68"/>
      <c r="ADT101" s="68"/>
      <c r="ADU101" s="68"/>
      <c r="ADV101" s="68"/>
      <c r="ADW101" s="68"/>
      <c r="ADX101" s="68"/>
      <c r="ADY101" s="68"/>
      <c r="ADZ101" s="68"/>
      <c r="AEA101" s="68"/>
      <c r="AEB101" s="68"/>
      <c r="AEC101" s="68"/>
      <c r="AED101" s="68"/>
      <c r="AEE101" s="68"/>
      <c r="AEF101" s="68"/>
      <c r="AEG101" s="68"/>
      <c r="AEH101" s="68"/>
      <c r="AEI101" s="68"/>
      <c r="AEJ101" s="68"/>
      <c r="AEK101" s="68"/>
      <c r="AEL101" s="68"/>
      <c r="AEM101" s="68"/>
      <c r="AEN101" s="68"/>
      <c r="AEO101" s="68"/>
      <c r="AEP101" s="68"/>
      <c r="AEQ101" s="68"/>
      <c r="AER101" s="68"/>
      <c r="AES101" s="68"/>
      <c r="AET101" s="68"/>
      <c r="AEU101" s="68"/>
      <c r="AEV101" s="68"/>
      <c r="AEW101" s="68"/>
      <c r="AEX101" s="68"/>
      <c r="AEY101" s="68"/>
      <c r="AEZ101" s="68"/>
      <c r="AFA101" s="68"/>
      <c r="AFB101" s="68"/>
      <c r="AFC101" s="68"/>
      <c r="AFD101" s="68"/>
      <c r="AFE101" s="68"/>
      <c r="AFF101" s="68"/>
      <c r="AFG101" s="68"/>
      <c r="AFH101" s="68"/>
      <c r="AFI101" s="68"/>
      <c r="AFJ101" s="68"/>
      <c r="AFK101" s="68"/>
      <c r="AFL101" s="68"/>
      <c r="AFM101" s="68"/>
      <c r="AFN101" s="68"/>
      <c r="AFO101" s="68"/>
      <c r="AFP101" s="68"/>
      <c r="AFQ101" s="68"/>
      <c r="AFR101" s="68"/>
      <c r="AFS101" s="68"/>
      <c r="AFT101" s="68"/>
      <c r="AFU101" s="68"/>
      <c r="AFV101" s="68"/>
      <c r="AFW101" s="68"/>
      <c r="AFX101" s="68"/>
      <c r="AFY101" s="68"/>
      <c r="AFZ101" s="68"/>
      <c r="AGA101" s="68"/>
      <c r="AGB101" s="68"/>
      <c r="AGC101" s="68"/>
      <c r="AGD101" s="68"/>
      <c r="AGE101" s="68"/>
      <c r="AGF101" s="68"/>
      <c r="AGG101" s="68"/>
      <c r="AGH101" s="68"/>
      <c r="AGI101" s="68"/>
      <c r="AGJ101" s="68"/>
      <c r="AGK101" s="68"/>
      <c r="AGL101" s="68"/>
      <c r="AGM101" s="68"/>
      <c r="AGN101" s="68"/>
      <c r="AGO101" s="68"/>
      <c r="AGP101" s="68"/>
      <c r="AGQ101" s="68"/>
      <c r="AGR101" s="68"/>
      <c r="AGS101" s="68"/>
      <c r="AGT101" s="68"/>
      <c r="AGU101" s="68"/>
      <c r="AGV101" s="68"/>
      <c r="AGW101" s="68"/>
      <c r="AGX101" s="68"/>
      <c r="AGY101" s="68"/>
      <c r="AGZ101" s="68"/>
      <c r="AHA101" s="68"/>
      <c r="AHB101" s="68"/>
      <c r="AHC101" s="68"/>
      <c r="AHD101" s="68"/>
      <c r="AHE101" s="68"/>
      <c r="AHF101" s="68"/>
      <c r="AHG101" s="68"/>
      <c r="AHH101" s="68"/>
      <c r="AHI101" s="68"/>
      <c r="AHJ101" s="68"/>
      <c r="AHK101" s="68"/>
      <c r="AHL101" s="68"/>
      <c r="AHM101" s="68"/>
      <c r="AHN101" s="68"/>
      <c r="AHO101" s="68"/>
      <c r="AHP101" s="68"/>
      <c r="AHQ101" s="68"/>
      <c r="AHR101" s="68"/>
      <c r="AHS101" s="68"/>
      <c r="AHT101" s="68"/>
      <c r="AHU101" s="68"/>
      <c r="AHV101" s="68"/>
      <c r="AHW101" s="68"/>
      <c r="AHX101" s="68"/>
      <c r="AHY101" s="68"/>
      <c r="AHZ101" s="68"/>
      <c r="AIA101" s="68"/>
      <c r="AIB101" s="68"/>
      <c r="AIC101" s="68"/>
      <c r="AID101" s="68"/>
      <c r="AIE101" s="68"/>
      <c r="AIF101" s="68"/>
      <c r="AIG101" s="68"/>
      <c r="AIH101" s="68"/>
      <c r="AII101" s="68"/>
      <c r="AIJ101" s="68"/>
      <c r="AIK101" s="68"/>
      <c r="AIL101" s="68"/>
      <c r="AIM101" s="68"/>
      <c r="AIN101" s="68"/>
      <c r="AIO101" s="68"/>
      <c r="AIP101" s="68"/>
      <c r="AIQ101" s="68"/>
      <c r="AIR101" s="68"/>
      <c r="AIS101" s="68"/>
      <c r="AIT101" s="68"/>
      <c r="AIU101" s="68"/>
      <c r="AIV101" s="68"/>
      <c r="AIW101" s="68"/>
      <c r="AIX101" s="68"/>
      <c r="AIY101" s="68"/>
      <c r="AIZ101" s="68"/>
      <c r="AJA101" s="68"/>
      <c r="AJB101" s="68"/>
      <c r="AJC101" s="68"/>
      <c r="AJD101" s="68"/>
      <c r="AJE101" s="68"/>
      <c r="AJF101" s="68"/>
      <c r="AJG101" s="68"/>
      <c r="AJH101" s="68"/>
      <c r="AJI101" s="68"/>
      <c r="AJJ101" s="68"/>
      <c r="AJK101" s="68"/>
      <c r="AJL101" s="68"/>
      <c r="AJM101" s="68"/>
      <c r="AJN101" s="68"/>
      <c r="AJO101" s="68"/>
      <c r="AJP101" s="68"/>
      <c r="AJQ101" s="68"/>
      <c r="AJR101" s="68"/>
      <c r="AJS101" s="68"/>
      <c r="AJT101" s="68"/>
      <c r="AJU101" s="68"/>
      <c r="AJV101" s="68"/>
      <c r="AJW101" s="68"/>
      <c r="AJX101" s="68"/>
      <c r="AJY101" s="68"/>
      <c r="AJZ101" s="68"/>
      <c r="AKA101" s="68"/>
      <c r="AKB101" s="68"/>
      <c r="AKC101" s="68"/>
      <c r="AKD101" s="68"/>
      <c r="AKE101" s="68"/>
      <c r="AKF101" s="68"/>
      <c r="AKG101" s="68"/>
      <c r="AKH101" s="68"/>
      <c r="AKI101" s="68"/>
      <c r="AKJ101" s="68"/>
      <c r="AKK101" s="68"/>
      <c r="AKL101" s="68"/>
      <c r="AKM101" s="68"/>
      <c r="AKN101" s="68"/>
      <c r="AKO101" s="68"/>
      <c r="AKP101" s="68"/>
      <c r="AKQ101" s="68"/>
      <c r="AKR101" s="68"/>
      <c r="AKS101" s="68"/>
      <c r="AKT101" s="68"/>
      <c r="AKU101" s="68"/>
      <c r="AKV101" s="68"/>
      <c r="AKW101" s="68"/>
      <c r="AKX101" s="68"/>
      <c r="AKY101" s="68"/>
      <c r="AKZ101" s="68"/>
      <c r="ALA101" s="68"/>
      <c r="ALB101" s="68"/>
      <c r="ALC101" s="68"/>
      <c r="ALD101" s="68"/>
      <c r="ALE101" s="68"/>
      <c r="ALF101" s="68"/>
      <c r="ALG101" s="68"/>
      <c r="ALH101" s="68"/>
      <c r="ALI101" s="68"/>
      <c r="ALJ101" s="68"/>
      <c r="ALK101" s="68"/>
      <c r="ALL101" s="68"/>
      <c r="ALM101" s="68"/>
      <c r="ALN101" s="68"/>
      <c r="ALO101" s="68"/>
      <c r="ALP101" s="68"/>
      <c r="ALQ101" s="68"/>
      <c r="ALR101" s="68"/>
      <c r="ALS101" s="68"/>
      <c r="ALT101" s="68"/>
      <c r="ALU101" s="68"/>
      <c r="ALV101" s="68"/>
      <c r="ALW101" s="68"/>
      <c r="ALX101" s="68"/>
      <c r="ALY101" s="68"/>
      <c r="ALZ101" s="68"/>
      <c r="AMA101" s="68"/>
      <c r="AMB101" s="68"/>
      <c r="AMC101" s="68"/>
      <c r="AMD101" s="68"/>
      <c r="AME101" s="68"/>
      <c r="AMF101" s="68"/>
      <c r="AMG101" s="68"/>
      <c r="AMH101" s="68"/>
      <c r="AMI101" s="68"/>
      <c r="AMJ101" s="68"/>
      <c r="AMK101" s="68"/>
      <c r="AML101" s="68"/>
      <c r="AMM101" s="68"/>
      <c r="AMN101" s="68"/>
      <c r="AMO101" s="68"/>
      <c r="AMP101" s="68"/>
      <c r="AMQ101" s="68"/>
      <c r="AMR101" s="68"/>
      <c r="AMS101" s="68"/>
      <c r="AMT101" s="68"/>
      <c r="AMU101" s="68"/>
      <c r="AMV101" s="68"/>
      <c r="AMW101" s="68"/>
      <c r="AMX101" s="68"/>
      <c r="AMY101" s="68"/>
      <c r="AMZ101" s="68"/>
      <c r="ANA101" s="68"/>
      <c r="ANB101" s="68"/>
      <c r="ANC101" s="68"/>
      <c r="AND101" s="68"/>
      <c r="ANE101" s="68"/>
      <c r="ANF101" s="68"/>
      <c r="ANG101" s="68"/>
      <c r="ANH101" s="68"/>
      <c r="ANI101" s="68"/>
      <c r="ANJ101" s="68"/>
      <c r="ANK101" s="68"/>
      <c r="ANL101" s="68"/>
      <c r="ANM101" s="68"/>
      <c r="ANN101" s="68"/>
      <c r="ANO101" s="68"/>
      <c r="ANP101" s="68"/>
      <c r="ANQ101" s="68"/>
      <c r="ANR101" s="68"/>
      <c r="ANS101" s="68"/>
      <c r="ANT101" s="68"/>
      <c r="ANU101" s="68"/>
      <c r="ANV101" s="68"/>
      <c r="ANW101" s="68"/>
      <c r="ANX101" s="68"/>
      <c r="ANY101" s="68"/>
      <c r="ANZ101" s="68"/>
      <c r="AOA101" s="68"/>
      <c r="AOB101" s="68"/>
      <c r="AOC101" s="68"/>
      <c r="AOD101" s="68"/>
      <c r="AOE101" s="68"/>
      <c r="AOF101" s="68"/>
      <c r="AOG101" s="68"/>
      <c r="AOH101" s="68"/>
      <c r="AOI101" s="68"/>
      <c r="AOJ101" s="68"/>
      <c r="AOK101" s="68"/>
      <c r="AOL101" s="68"/>
      <c r="AOM101" s="68"/>
      <c r="AON101" s="68"/>
      <c r="AOO101" s="68"/>
      <c r="AOP101" s="68"/>
      <c r="AOQ101" s="68"/>
      <c r="AOR101" s="68"/>
      <c r="AOS101" s="68"/>
      <c r="AOT101" s="68"/>
      <c r="AOU101" s="68"/>
      <c r="AOV101" s="68"/>
      <c r="AOW101" s="68"/>
      <c r="AOX101" s="68"/>
      <c r="AOY101" s="68"/>
      <c r="AOZ101" s="68"/>
      <c r="APA101" s="68"/>
      <c r="APB101" s="68"/>
      <c r="APC101" s="68"/>
      <c r="APD101" s="68"/>
      <c r="APE101" s="68"/>
      <c r="APF101" s="68"/>
      <c r="APG101" s="68"/>
      <c r="APH101" s="68"/>
      <c r="API101" s="68"/>
      <c r="APJ101" s="68"/>
      <c r="APK101" s="68"/>
      <c r="APL101" s="68"/>
      <c r="APM101" s="68"/>
      <c r="APN101" s="68"/>
      <c r="APO101" s="68"/>
      <c r="APP101" s="68"/>
      <c r="APQ101" s="68"/>
      <c r="APR101" s="68"/>
      <c r="APS101" s="68"/>
      <c r="APT101" s="68"/>
      <c r="APU101" s="68"/>
      <c r="APV101" s="68"/>
      <c r="APW101" s="68"/>
      <c r="APX101" s="68"/>
      <c r="APY101" s="68"/>
      <c r="APZ101" s="68"/>
      <c r="AQA101" s="68"/>
      <c r="AQB101" s="68"/>
      <c r="AQC101" s="68"/>
      <c r="AQD101" s="68"/>
      <c r="AQE101" s="68"/>
      <c r="AQF101" s="68"/>
      <c r="AQG101" s="68"/>
      <c r="AQH101" s="68"/>
      <c r="AQI101" s="68"/>
      <c r="AQJ101" s="68"/>
      <c r="AQK101" s="68"/>
      <c r="AQL101" s="68"/>
      <c r="AQM101" s="68"/>
      <c r="AQN101" s="68"/>
      <c r="AQO101" s="68"/>
      <c r="AQP101" s="68"/>
      <c r="AQQ101" s="68"/>
      <c r="AQR101" s="68"/>
      <c r="AQS101" s="68"/>
      <c r="AQT101" s="68"/>
      <c r="AQU101" s="68"/>
      <c r="AQV101" s="68"/>
      <c r="AQW101" s="68"/>
      <c r="AQX101" s="68"/>
      <c r="AQY101" s="68"/>
      <c r="AQZ101" s="68"/>
      <c r="ARA101" s="68"/>
      <c r="ARB101" s="68"/>
      <c r="ARC101" s="68"/>
      <c r="ARD101" s="68"/>
      <c r="ARE101" s="68"/>
      <c r="ARF101" s="68"/>
      <c r="ARG101" s="68"/>
      <c r="ARH101" s="68"/>
      <c r="ARI101" s="68"/>
      <c r="ARJ101" s="68"/>
      <c r="ARK101" s="68"/>
      <c r="ARL101" s="68"/>
      <c r="ARM101" s="68"/>
      <c r="ARN101" s="68"/>
      <c r="ARO101" s="68"/>
      <c r="ARP101" s="68"/>
      <c r="ARQ101" s="68"/>
      <c r="ARR101" s="68"/>
      <c r="ARS101" s="68"/>
      <c r="ART101" s="68"/>
      <c r="ARU101" s="68"/>
      <c r="ARV101" s="68"/>
      <c r="ARW101" s="68"/>
      <c r="ARX101" s="68"/>
      <c r="ARY101" s="68"/>
      <c r="ARZ101" s="68"/>
      <c r="ASA101" s="68"/>
      <c r="ASB101" s="68"/>
      <c r="ASC101" s="68"/>
      <c r="ASD101" s="68"/>
      <c r="ASE101" s="68"/>
      <c r="ASF101" s="68"/>
      <c r="ASG101" s="68"/>
      <c r="ASH101" s="68"/>
      <c r="ASI101" s="68"/>
      <c r="ASJ101" s="68"/>
      <c r="ASK101" s="68"/>
      <c r="ASL101" s="68"/>
      <c r="ASM101" s="68"/>
      <c r="ASN101" s="68"/>
      <c r="ASO101" s="68"/>
      <c r="ASP101" s="68"/>
      <c r="ASQ101" s="68"/>
      <c r="ASR101" s="68"/>
      <c r="ASS101" s="68"/>
      <c r="AST101" s="68"/>
      <c r="ASU101" s="68"/>
      <c r="ASV101" s="68"/>
      <c r="ASW101" s="68"/>
      <c r="ASX101" s="68"/>
      <c r="ASY101" s="68"/>
      <c r="ASZ101" s="68"/>
      <c r="ATA101" s="68"/>
      <c r="ATB101" s="68"/>
      <c r="ATC101" s="68"/>
      <c r="ATD101" s="68"/>
      <c r="ATE101" s="68"/>
      <c r="ATF101" s="68"/>
      <c r="ATG101" s="68"/>
      <c r="ATH101" s="68"/>
      <c r="ATI101" s="68"/>
      <c r="ATJ101" s="68"/>
      <c r="ATK101" s="68"/>
      <c r="ATL101" s="68"/>
      <c r="ATM101" s="68"/>
      <c r="ATN101" s="68"/>
      <c r="ATO101" s="68"/>
      <c r="ATP101" s="68"/>
      <c r="ATQ101" s="68"/>
      <c r="ATR101" s="68"/>
      <c r="ATS101" s="68"/>
      <c r="ATT101" s="68"/>
      <c r="ATU101" s="68"/>
      <c r="ATV101" s="68"/>
      <c r="ATW101" s="68"/>
      <c r="ATX101" s="68"/>
      <c r="ATY101" s="68"/>
      <c r="ATZ101" s="68"/>
      <c r="AUA101" s="68"/>
      <c r="AUB101" s="68"/>
      <c r="AUC101" s="68"/>
      <c r="AUD101" s="68"/>
      <c r="AUE101" s="68"/>
      <c r="AUF101" s="68"/>
      <c r="AUG101" s="68"/>
      <c r="AUH101" s="68"/>
      <c r="AUI101" s="68"/>
      <c r="AUJ101" s="68"/>
      <c r="AUK101" s="68"/>
      <c r="AUL101" s="68"/>
      <c r="AUM101" s="68"/>
      <c r="AUN101" s="68"/>
      <c r="AUO101" s="68"/>
      <c r="AUP101" s="68"/>
      <c r="AUQ101" s="68"/>
      <c r="AUR101" s="68"/>
      <c r="AUS101" s="68"/>
      <c r="AUT101" s="68"/>
      <c r="AUU101" s="68"/>
      <c r="AUV101" s="68"/>
      <c r="AUW101" s="68"/>
      <c r="AUX101" s="68"/>
      <c r="AUY101" s="68"/>
      <c r="AUZ101" s="68"/>
      <c r="AVA101" s="68"/>
      <c r="AVB101" s="68"/>
      <c r="AVC101" s="68"/>
      <c r="AVD101" s="68"/>
      <c r="AVE101" s="68"/>
      <c r="AVF101" s="68"/>
      <c r="AVG101" s="68"/>
      <c r="AVH101" s="68"/>
      <c r="AVI101" s="68"/>
      <c r="AVJ101" s="68"/>
      <c r="AVK101" s="68"/>
      <c r="AVL101" s="68"/>
      <c r="AVM101" s="68"/>
      <c r="AVN101" s="68"/>
      <c r="AVO101" s="68"/>
      <c r="AVP101" s="68"/>
      <c r="AVQ101" s="68"/>
      <c r="AVR101" s="68"/>
      <c r="AVS101" s="68"/>
      <c r="AVT101" s="68"/>
      <c r="AVU101" s="68"/>
      <c r="AVV101" s="68"/>
      <c r="AVW101" s="68"/>
      <c r="AVX101" s="68"/>
      <c r="AVY101" s="68"/>
      <c r="AVZ101" s="68"/>
      <c r="AWA101" s="68"/>
      <c r="AWB101" s="68"/>
      <c r="AWC101" s="68"/>
      <c r="AWD101" s="68"/>
      <c r="AWE101" s="68"/>
      <c r="AWF101" s="68"/>
      <c r="AWG101" s="68"/>
      <c r="AWH101" s="68"/>
      <c r="AWI101" s="68"/>
      <c r="AWJ101" s="68"/>
      <c r="AWK101" s="68"/>
      <c r="AWL101" s="68"/>
      <c r="AWM101" s="68"/>
      <c r="AWN101" s="68"/>
      <c r="AWO101" s="68"/>
      <c r="AWP101" s="68"/>
      <c r="AWQ101" s="68"/>
      <c r="AWR101" s="68"/>
      <c r="AWS101" s="68"/>
      <c r="AWT101" s="68"/>
      <c r="AWU101" s="68"/>
      <c r="AWV101" s="68"/>
      <c r="AWW101" s="68"/>
      <c r="AWX101" s="68"/>
      <c r="AWY101" s="68"/>
      <c r="AWZ101" s="68"/>
      <c r="AXA101" s="68"/>
      <c r="AXB101" s="68"/>
      <c r="AXC101" s="68"/>
      <c r="AXD101" s="68"/>
      <c r="AXE101" s="68"/>
      <c r="AXF101" s="68"/>
      <c r="AXG101" s="68"/>
      <c r="AXH101" s="68"/>
      <c r="AXI101" s="68"/>
      <c r="AXJ101" s="68"/>
      <c r="AXK101" s="68"/>
      <c r="AXL101" s="68"/>
      <c r="AXM101" s="68"/>
      <c r="AXN101" s="68"/>
      <c r="AXO101" s="68"/>
      <c r="AXP101" s="68"/>
      <c r="AXQ101" s="68"/>
      <c r="AXR101" s="68"/>
      <c r="AXS101" s="68"/>
      <c r="AXT101" s="68"/>
      <c r="AXU101" s="68"/>
      <c r="AXV101" s="68"/>
      <c r="AXW101" s="68"/>
      <c r="AXX101" s="68"/>
      <c r="AXY101" s="68"/>
      <c r="AXZ101" s="68"/>
      <c r="AYA101" s="68"/>
      <c r="AYB101" s="68"/>
      <c r="AYC101" s="68"/>
      <c r="AYD101" s="68"/>
      <c r="AYE101" s="68"/>
      <c r="AYF101" s="68"/>
      <c r="AYG101" s="68"/>
      <c r="AYH101" s="68"/>
      <c r="AYI101" s="68"/>
      <c r="AYJ101" s="68"/>
      <c r="AYK101" s="68"/>
      <c r="AYL101" s="68"/>
      <c r="AYM101" s="68"/>
      <c r="AYN101" s="68"/>
      <c r="AYO101" s="68"/>
      <c r="AYP101" s="68"/>
      <c r="AYQ101" s="68"/>
      <c r="AYR101" s="68"/>
      <c r="AYS101" s="68"/>
      <c r="AYT101" s="68"/>
      <c r="AYU101" s="68"/>
      <c r="AYV101" s="68"/>
      <c r="AYW101" s="68"/>
      <c r="AYX101" s="68"/>
      <c r="AYY101" s="68"/>
      <c r="AYZ101" s="68"/>
      <c r="AZA101" s="68"/>
      <c r="AZB101" s="68"/>
      <c r="AZC101" s="68"/>
      <c r="AZD101" s="68"/>
      <c r="AZE101" s="68"/>
      <c r="AZF101" s="68"/>
      <c r="AZG101" s="68"/>
      <c r="AZH101" s="68"/>
      <c r="AZI101" s="68"/>
      <c r="AZJ101" s="68"/>
      <c r="AZK101" s="68"/>
      <c r="AZL101" s="68"/>
      <c r="AZM101" s="68"/>
      <c r="AZN101" s="68"/>
      <c r="AZO101" s="68"/>
      <c r="AZP101" s="68"/>
      <c r="AZQ101" s="68"/>
      <c r="AZR101" s="68"/>
      <c r="AZS101" s="68"/>
      <c r="AZT101" s="68"/>
      <c r="AZU101" s="68"/>
      <c r="AZV101" s="68"/>
      <c r="AZW101" s="68"/>
      <c r="AZX101" s="68"/>
      <c r="AZY101" s="68"/>
      <c r="AZZ101" s="68"/>
      <c r="BAA101" s="68"/>
      <c r="BAB101" s="68"/>
      <c r="BAC101" s="68"/>
      <c r="BAD101" s="68"/>
      <c r="BAE101" s="68"/>
      <c r="BAF101" s="68"/>
      <c r="BAG101" s="68"/>
      <c r="BAH101" s="68"/>
      <c r="BAI101" s="68"/>
      <c r="BAJ101" s="68"/>
      <c r="BAK101" s="68"/>
      <c r="BAL101" s="68"/>
      <c r="BAM101" s="68"/>
      <c r="BAN101" s="68"/>
      <c r="BAO101" s="68"/>
      <c r="BAP101" s="68"/>
      <c r="BAQ101" s="68"/>
      <c r="BAR101" s="68"/>
      <c r="BAS101" s="68"/>
      <c r="BAT101" s="68"/>
      <c r="BAU101" s="68"/>
      <c r="BAV101" s="68"/>
      <c r="BAW101" s="68"/>
      <c r="BAX101" s="68"/>
      <c r="BAY101" s="68"/>
      <c r="BAZ101" s="68"/>
      <c r="BBA101" s="68"/>
      <c r="BBB101" s="68"/>
      <c r="BBC101" s="68"/>
      <c r="BBD101" s="68"/>
      <c r="BBE101" s="68"/>
      <c r="BBF101" s="68"/>
      <c r="BBG101" s="68"/>
      <c r="BBH101" s="68"/>
      <c r="BBI101" s="68"/>
      <c r="BBJ101" s="68"/>
      <c r="BBK101" s="68"/>
      <c r="BBL101" s="68"/>
      <c r="BBM101" s="68"/>
      <c r="BBN101" s="68"/>
      <c r="BBO101" s="68"/>
      <c r="BBP101" s="68"/>
      <c r="BBQ101" s="68"/>
      <c r="BBR101" s="68"/>
      <c r="BBS101" s="68"/>
      <c r="BBT101" s="68"/>
      <c r="BBU101" s="68"/>
      <c r="BBV101" s="68"/>
      <c r="BBW101" s="68"/>
      <c r="BBX101" s="68"/>
      <c r="BBY101" s="68"/>
      <c r="BBZ101" s="68"/>
      <c r="BCA101" s="68"/>
      <c r="BCB101" s="68"/>
      <c r="BCC101" s="68"/>
      <c r="BCD101" s="68"/>
      <c r="BCE101" s="68"/>
      <c r="BCF101" s="68"/>
      <c r="BCG101" s="68"/>
      <c r="BCH101" s="68"/>
      <c r="BCI101" s="68"/>
      <c r="BCJ101" s="68"/>
      <c r="BCK101" s="68"/>
      <c r="BCL101" s="68"/>
      <c r="BCM101" s="68"/>
      <c r="BCN101" s="68"/>
      <c r="BCO101" s="68"/>
      <c r="BCP101" s="68"/>
      <c r="BCQ101" s="68"/>
      <c r="BCR101" s="68"/>
      <c r="BCS101" s="68"/>
      <c r="BCT101" s="68"/>
      <c r="BCU101" s="68"/>
      <c r="BCV101" s="68"/>
      <c r="BCW101" s="68"/>
      <c r="BCX101" s="68"/>
      <c r="BCY101" s="68"/>
      <c r="BCZ101" s="68"/>
      <c r="BDA101" s="68"/>
    </row>
    <row r="102" spans="1:1457" s="67" customFormat="1" ht="24.75" customHeight="1" x14ac:dyDescent="0.25">
      <c r="A102" s="49">
        <v>20</v>
      </c>
      <c r="B102" s="71" t="s">
        <v>743</v>
      </c>
      <c r="C102" s="69" t="s">
        <v>745</v>
      </c>
      <c r="D102" s="69" t="s">
        <v>708</v>
      </c>
      <c r="E102" s="69" t="s">
        <v>709</v>
      </c>
      <c r="F102" s="51">
        <v>11566100</v>
      </c>
      <c r="G102" s="72" t="s">
        <v>575</v>
      </c>
      <c r="H102" s="42" t="s">
        <v>667</v>
      </c>
      <c r="I102" s="71" t="s">
        <v>126</v>
      </c>
      <c r="J102" s="71"/>
      <c r="K102" s="69"/>
      <c r="L102" s="69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Q102" s="68"/>
      <c r="BR102" s="68"/>
      <c r="BS102" s="68"/>
      <c r="BT102" s="68"/>
      <c r="BU102" s="68"/>
      <c r="BV102" s="68"/>
      <c r="BW102" s="68"/>
      <c r="BX102" s="68"/>
      <c r="BY102" s="68"/>
      <c r="BZ102" s="68"/>
      <c r="CA102" s="68"/>
      <c r="CB102" s="68"/>
      <c r="CC102" s="68"/>
      <c r="CD102" s="68"/>
      <c r="CE102" s="68"/>
      <c r="CF102" s="68"/>
      <c r="CG102" s="68"/>
      <c r="CH102" s="68"/>
      <c r="CI102" s="68"/>
      <c r="CJ102" s="68"/>
      <c r="CK102" s="68"/>
      <c r="CL102" s="68"/>
      <c r="CM102" s="68"/>
      <c r="CN102" s="68"/>
      <c r="CO102" s="68"/>
      <c r="CP102" s="68"/>
      <c r="CQ102" s="68"/>
      <c r="CR102" s="68"/>
      <c r="CS102" s="68"/>
      <c r="CT102" s="68"/>
      <c r="CU102" s="68"/>
      <c r="CV102" s="68"/>
      <c r="CW102" s="68"/>
      <c r="CX102" s="68"/>
      <c r="CY102" s="68"/>
      <c r="CZ102" s="68"/>
      <c r="DA102" s="68"/>
      <c r="DB102" s="68"/>
      <c r="DC102" s="68"/>
      <c r="DD102" s="68"/>
      <c r="DE102" s="68"/>
      <c r="DF102" s="68"/>
      <c r="DG102" s="68"/>
      <c r="DH102" s="68"/>
      <c r="DI102" s="68"/>
      <c r="DJ102" s="68"/>
      <c r="DK102" s="68"/>
      <c r="DL102" s="68"/>
      <c r="DM102" s="68"/>
      <c r="DN102" s="68"/>
      <c r="DO102" s="68"/>
      <c r="DP102" s="68"/>
      <c r="DQ102" s="68"/>
      <c r="DR102" s="68"/>
      <c r="DS102" s="68"/>
      <c r="DT102" s="68"/>
      <c r="DU102" s="68"/>
      <c r="DV102" s="68"/>
      <c r="DW102" s="68"/>
      <c r="DX102" s="68"/>
      <c r="DY102" s="68"/>
      <c r="DZ102" s="68"/>
      <c r="EA102" s="68"/>
      <c r="EB102" s="68"/>
      <c r="EC102" s="68"/>
      <c r="ED102" s="68"/>
      <c r="EE102" s="68"/>
      <c r="EF102" s="68"/>
      <c r="EG102" s="68"/>
      <c r="EH102" s="68"/>
      <c r="EI102" s="68"/>
      <c r="EJ102" s="68"/>
      <c r="EK102" s="68"/>
      <c r="EL102" s="68"/>
      <c r="EM102" s="68"/>
      <c r="EN102" s="68"/>
      <c r="EO102" s="68"/>
      <c r="EP102" s="68"/>
      <c r="EQ102" s="68"/>
      <c r="ER102" s="68"/>
      <c r="ES102" s="68"/>
      <c r="ET102" s="68"/>
      <c r="EU102" s="68"/>
      <c r="EV102" s="68"/>
      <c r="EW102" s="68"/>
      <c r="EX102" s="68"/>
      <c r="EY102" s="68"/>
      <c r="EZ102" s="68"/>
      <c r="FA102" s="68"/>
      <c r="FB102" s="68"/>
      <c r="FC102" s="68"/>
      <c r="FD102" s="68"/>
      <c r="FE102" s="68"/>
      <c r="FF102" s="68"/>
      <c r="FG102" s="68"/>
      <c r="FH102" s="68"/>
      <c r="FI102" s="68"/>
      <c r="FJ102" s="68"/>
      <c r="FK102" s="68"/>
      <c r="FL102" s="68"/>
      <c r="FM102" s="68"/>
      <c r="FN102" s="68"/>
      <c r="FO102" s="68"/>
      <c r="FP102" s="68"/>
      <c r="FQ102" s="68"/>
      <c r="FR102" s="68"/>
      <c r="FS102" s="68"/>
      <c r="FT102" s="68"/>
      <c r="FU102" s="68"/>
      <c r="FV102" s="68"/>
      <c r="FW102" s="68"/>
      <c r="FX102" s="68"/>
      <c r="FY102" s="68"/>
      <c r="FZ102" s="68"/>
      <c r="GA102" s="68"/>
      <c r="GB102" s="68"/>
      <c r="GC102" s="68"/>
      <c r="GD102" s="68"/>
      <c r="GE102" s="68"/>
      <c r="GF102" s="68"/>
      <c r="GG102" s="68"/>
      <c r="GH102" s="68"/>
      <c r="GI102" s="68"/>
      <c r="GJ102" s="68"/>
      <c r="GK102" s="68"/>
      <c r="GL102" s="68"/>
      <c r="GM102" s="68"/>
      <c r="GN102" s="68"/>
      <c r="GO102" s="68"/>
      <c r="GP102" s="68"/>
      <c r="GQ102" s="68"/>
      <c r="GR102" s="68"/>
      <c r="GS102" s="68"/>
      <c r="GT102" s="68"/>
      <c r="GU102" s="68"/>
      <c r="GV102" s="68"/>
      <c r="GW102" s="68"/>
      <c r="GX102" s="68"/>
      <c r="GY102" s="68"/>
      <c r="GZ102" s="68"/>
      <c r="HA102" s="68"/>
      <c r="HB102" s="68"/>
      <c r="HC102" s="68"/>
      <c r="HD102" s="68"/>
      <c r="HE102" s="68"/>
      <c r="HF102" s="68"/>
      <c r="HG102" s="68"/>
      <c r="HH102" s="68"/>
      <c r="HI102" s="68"/>
      <c r="HJ102" s="68"/>
      <c r="HK102" s="68"/>
      <c r="HL102" s="68"/>
      <c r="HM102" s="68"/>
      <c r="HN102" s="68"/>
      <c r="HO102" s="68"/>
      <c r="HP102" s="68"/>
      <c r="HQ102" s="68"/>
      <c r="HR102" s="68"/>
      <c r="HS102" s="68"/>
      <c r="HT102" s="68"/>
      <c r="HU102" s="68"/>
      <c r="HV102" s="68"/>
      <c r="HW102" s="68"/>
      <c r="HX102" s="68"/>
      <c r="HY102" s="68"/>
      <c r="HZ102" s="68"/>
      <c r="IA102" s="68"/>
      <c r="IB102" s="68"/>
      <c r="IC102" s="68"/>
      <c r="ID102" s="68"/>
      <c r="IE102" s="68"/>
      <c r="IF102" s="68"/>
      <c r="IG102" s="68"/>
      <c r="IH102" s="68"/>
      <c r="II102" s="68"/>
      <c r="IJ102" s="68"/>
      <c r="IK102" s="68"/>
      <c r="IL102" s="68"/>
      <c r="IM102" s="68"/>
      <c r="IN102" s="68"/>
      <c r="IO102" s="68"/>
      <c r="IP102" s="68"/>
      <c r="IQ102" s="68"/>
      <c r="IR102" s="68"/>
      <c r="IS102" s="68"/>
      <c r="IT102" s="68"/>
      <c r="IU102" s="68"/>
      <c r="IV102" s="68"/>
      <c r="IW102" s="68"/>
      <c r="IX102" s="68"/>
      <c r="IY102" s="68"/>
      <c r="IZ102" s="68"/>
      <c r="JA102" s="68"/>
      <c r="JB102" s="68"/>
      <c r="JC102" s="68"/>
      <c r="JD102" s="68"/>
      <c r="JE102" s="68"/>
      <c r="JF102" s="68"/>
      <c r="JG102" s="68"/>
      <c r="JH102" s="68"/>
      <c r="JI102" s="68"/>
      <c r="JJ102" s="68"/>
      <c r="JK102" s="68"/>
      <c r="JL102" s="68"/>
      <c r="JM102" s="68"/>
      <c r="JN102" s="68"/>
      <c r="JO102" s="68"/>
      <c r="JP102" s="68"/>
      <c r="JQ102" s="68"/>
      <c r="JR102" s="68"/>
      <c r="JS102" s="68"/>
      <c r="JT102" s="68"/>
      <c r="JU102" s="68"/>
      <c r="JV102" s="68"/>
      <c r="JW102" s="68"/>
      <c r="JX102" s="68"/>
      <c r="JY102" s="68"/>
      <c r="JZ102" s="68"/>
      <c r="KA102" s="68"/>
      <c r="KB102" s="68"/>
      <c r="KC102" s="68"/>
      <c r="KD102" s="68"/>
      <c r="KE102" s="68"/>
      <c r="KF102" s="68"/>
      <c r="KG102" s="68"/>
      <c r="KH102" s="68"/>
      <c r="KI102" s="68"/>
      <c r="KJ102" s="68"/>
      <c r="KK102" s="68"/>
      <c r="KL102" s="68"/>
      <c r="KM102" s="68"/>
      <c r="KN102" s="68"/>
      <c r="KO102" s="68"/>
      <c r="KP102" s="68"/>
      <c r="KQ102" s="68"/>
      <c r="KR102" s="68"/>
      <c r="KS102" s="68"/>
      <c r="KT102" s="68"/>
      <c r="KU102" s="68"/>
      <c r="KV102" s="68"/>
      <c r="KW102" s="68"/>
      <c r="KX102" s="68"/>
      <c r="KY102" s="68"/>
      <c r="KZ102" s="68"/>
      <c r="LA102" s="68"/>
      <c r="LB102" s="68"/>
      <c r="LC102" s="68"/>
      <c r="LD102" s="68"/>
      <c r="LE102" s="68"/>
      <c r="LF102" s="68"/>
      <c r="LG102" s="68"/>
      <c r="LH102" s="68"/>
      <c r="LI102" s="68"/>
      <c r="LJ102" s="68"/>
      <c r="LK102" s="68"/>
      <c r="LL102" s="68"/>
      <c r="LM102" s="68"/>
      <c r="LN102" s="68"/>
      <c r="LO102" s="68"/>
      <c r="LP102" s="68"/>
      <c r="LQ102" s="68"/>
      <c r="LR102" s="68"/>
      <c r="LS102" s="68"/>
      <c r="LT102" s="68"/>
      <c r="LU102" s="68"/>
      <c r="LV102" s="68"/>
      <c r="LW102" s="68"/>
      <c r="LX102" s="68"/>
      <c r="LY102" s="68"/>
      <c r="LZ102" s="68"/>
      <c r="MA102" s="68"/>
      <c r="MB102" s="68"/>
      <c r="MC102" s="68"/>
      <c r="MD102" s="68"/>
      <c r="ME102" s="68"/>
      <c r="MF102" s="68"/>
      <c r="MG102" s="68"/>
      <c r="MH102" s="68"/>
      <c r="MI102" s="68"/>
      <c r="MJ102" s="68"/>
      <c r="MK102" s="68"/>
      <c r="ML102" s="68"/>
      <c r="MM102" s="68"/>
      <c r="MN102" s="68"/>
      <c r="MO102" s="68"/>
      <c r="MP102" s="68"/>
      <c r="MQ102" s="68"/>
      <c r="MR102" s="68"/>
      <c r="MS102" s="68"/>
      <c r="MT102" s="68"/>
      <c r="MU102" s="68"/>
      <c r="MV102" s="68"/>
      <c r="MW102" s="68"/>
      <c r="MX102" s="68"/>
      <c r="MY102" s="68"/>
      <c r="MZ102" s="68"/>
      <c r="NA102" s="68"/>
      <c r="NB102" s="68"/>
      <c r="NC102" s="68"/>
      <c r="ND102" s="68"/>
      <c r="NE102" s="68"/>
      <c r="NF102" s="68"/>
      <c r="NG102" s="68"/>
      <c r="NH102" s="68"/>
      <c r="NI102" s="68"/>
      <c r="NJ102" s="68"/>
      <c r="NK102" s="68"/>
      <c r="NL102" s="68"/>
      <c r="NM102" s="68"/>
      <c r="NN102" s="68"/>
      <c r="NO102" s="68"/>
      <c r="NP102" s="68"/>
      <c r="NQ102" s="68"/>
      <c r="NR102" s="68"/>
      <c r="NS102" s="68"/>
      <c r="NT102" s="68"/>
      <c r="NU102" s="68"/>
      <c r="NV102" s="68"/>
      <c r="NW102" s="68"/>
      <c r="NX102" s="68"/>
      <c r="NY102" s="68"/>
      <c r="NZ102" s="68"/>
      <c r="OA102" s="68"/>
      <c r="OB102" s="68"/>
      <c r="OC102" s="68"/>
      <c r="OD102" s="68"/>
      <c r="OE102" s="68"/>
      <c r="OF102" s="68"/>
      <c r="OG102" s="68"/>
      <c r="OH102" s="68"/>
      <c r="OI102" s="68"/>
      <c r="OJ102" s="68"/>
      <c r="OK102" s="68"/>
      <c r="OL102" s="68"/>
      <c r="OM102" s="68"/>
      <c r="ON102" s="68"/>
      <c r="OO102" s="68"/>
      <c r="OP102" s="68"/>
      <c r="OQ102" s="68"/>
      <c r="OR102" s="68"/>
      <c r="OS102" s="68"/>
      <c r="OT102" s="68"/>
      <c r="OU102" s="68"/>
      <c r="OV102" s="68"/>
      <c r="OW102" s="68"/>
      <c r="OX102" s="68"/>
      <c r="OY102" s="68"/>
      <c r="OZ102" s="68"/>
      <c r="PA102" s="68"/>
      <c r="PB102" s="68"/>
      <c r="PC102" s="68"/>
      <c r="PD102" s="68"/>
      <c r="PE102" s="68"/>
      <c r="PF102" s="68"/>
      <c r="PG102" s="68"/>
      <c r="PH102" s="68"/>
      <c r="PI102" s="68"/>
      <c r="PJ102" s="68"/>
      <c r="PK102" s="68"/>
      <c r="PL102" s="68"/>
      <c r="PM102" s="68"/>
      <c r="PN102" s="68"/>
      <c r="PO102" s="68"/>
      <c r="PP102" s="68"/>
      <c r="PQ102" s="68"/>
      <c r="PR102" s="68"/>
      <c r="PS102" s="68"/>
      <c r="PT102" s="68"/>
      <c r="PU102" s="68"/>
      <c r="PV102" s="68"/>
      <c r="PW102" s="68"/>
      <c r="PX102" s="68"/>
      <c r="PY102" s="68"/>
      <c r="PZ102" s="68"/>
      <c r="QA102" s="68"/>
      <c r="QB102" s="68"/>
      <c r="QC102" s="68"/>
      <c r="QD102" s="68"/>
      <c r="QE102" s="68"/>
      <c r="QF102" s="68"/>
      <c r="QG102" s="68"/>
      <c r="QH102" s="68"/>
      <c r="QI102" s="68"/>
      <c r="QJ102" s="68"/>
      <c r="QK102" s="68"/>
      <c r="QL102" s="68"/>
      <c r="QM102" s="68"/>
      <c r="QN102" s="68"/>
      <c r="QO102" s="68"/>
      <c r="QP102" s="68"/>
      <c r="QQ102" s="68"/>
      <c r="QR102" s="68"/>
      <c r="QS102" s="68"/>
      <c r="QT102" s="68"/>
      <c r="QU102" s="68"/>
      <c r="QV102" s="68"/>
      <c r="QW102" s="68"/>
      <c r="QX102" s="68"/>
      <c r="QY102" s="68"/>
      <c r="QZ102" s="68"/>
      <c r="RA102" s="68"/>
      <c r="RB102" s="68"/>
      <c r="RC102" s="68"/>
      <c r="RD102" s="68"/>
      <c r="RE102" s="68"/>
      <c r="RF102" s="68"/>
      <c r="RG102" s="68"/>
      <c r="RH102" s="68"/>
      <c r="RI102" s="68"/>
      <c r="RJ102" s="68"/>
      <c r="RK102" s="68"/>
      <c r="RL102" s="68"/>
      <c r="RM102" s="68"/>
      <c r="RN102" s="68"/>
      <c r="RO102" s="68"/>
      <c r="RP102" s="68"/>
      <c r="RQ102" s="68"/>
      <c r="RR102" s="68"/>
      <c r="RS102" s="68"/>
      <c r="RT102" s="68"/>
      <c r="RU102" s="68"/>
      <c r="RV102" s="68"/>
      <c r="RW102" s="68"/>
      <c r="RX102" s="68"/>
      <c r="RY102" s="68"/>
      <c r="RZ102" s="68"/>
      <c r="SA102" s="68"/>
      <c r="SB102" s="68"/>
      <c r="SC102" s="68"/>
      <c r="SD102" s="68"/>
      <c r="SE102" s="68"/>
      <c r="SF102" s="68"/>
      <c r="SG102" s="68"/>
      <c r="SH102" s="68"/>
      <c r="SI102" s="68"/>
      <c r="SJ102" s="68"/>
      <c r="SK102" s="68"/>
      <c r="SL102" s="68"/>
      <c r="SM102" s="68"/>
      <c r="SN102" s="68"/>
      <c r="SO102" s="68"/>
      <c r="SP102" s="68"/>
      <c r="SQ102" s="68"/>
      <c r="SR102" s="68"/>
      <c r="SS102" s="68"/>
      <c r="ST102" s="68"/>
      <c r="SU102" s="68"/>
      <c r="SV102" s="68"/>
      <c r="SW102" s="68"/>
      <c r="SX102" s="68"/>
      <c r="SY102" s="68"/>
      <c r="SZ102" s="68"/>
      <c r="TA102" s="68"/>
      <c r="TB102" s="68"/>
      <c r="TC102" s="68"/>
      <c r="TD102" s="68"/>
      <c r="TE102" s="68"/>
      <c r="TF102" s="68"/>
      <c r="TG102" s="68"/>
      <c r="TH102" s="68"/>
      <c r="TI102" s="68"/>
      <c r="TJ102" s="68"/>
      <c r="TK102" s="68"/>
      <c r="TL102" s="68"/>
      <c r="TM102" s="68"/>
      <c r="TN102" s="68"/>
      <c r="TO102" s="68"/>
      <c r="TP102" s="68"/>
      <c r="TQ102" s="68"/>
      <c r="TR102" s="68"/>
      <c r="TS102" s="68"/>
      <c r="TT102" s="68"/>
      <c r="TU102" s="68"/>
      <c r="TV102" s="68"/>
      <c r="TW102" s="68"/>
      <c r="TX102" s="68"/>
      <c r="TY102" s="68"/>
      <c r="TZ102" s="68"/>
      <c r="UA102" s="68"/>
      <c r="UB102" s="68"/>
      <c r="UC102" s="68"/>
      <c r="UD102" s="68"/>
      <c r="UE102" s="68"/>
      <c r="UF102" s="68"/>
      <c r="UG102" s="68"/>
      <c r="UH102" s="68"/>
      <c r="UI102" s="68"/>
      <c r="UJ102" s="68"/>
      <c r="UK102" s="68"/>
      <c r="UL102" s="68"/>
      <c r="UM102" s="68"/>
      <c r="UN102" s="68"/>
      <c r="UO102" s="68"/>
      <c r="UP102" s="68"/>
      <c r="UQ102" s="68"/>
      <c r="UR102" s="68"/>
      <c r="US102" s="68"/>
      <c r="UT102" s="68"/>
      <c r="UU102" s="68"/>
      <c r="UV102" s="68"/>
      <c r="UW102" s="68"/>
      <c r="UX102" s="68"/>
      <c r="UY102" s="68"/>
      <c r="UZ102" s="68"/>
      <c r="VA102" s="68"/>
      <c r="VB102" s="68"/>
      <c r="VC102" s="68"/>
      <c r="VD102" s="68"/>
      <c r="VE102" s="68"/>
      <c r="VF102" s="68"/>
      <c r="VG102" s="68"/>
      <c r="VH102" s="68"/>
      <c r="VI102" s="68"/>
      <c r="VJ102" s="68"/>
      <c r="VK102" s="68"/>
      <c r="VL102" s="68"/>
      <c r="VM102" s="68"/>
      <c r="VN102" s="68"/>
      <c r="VO102" s="68"/>
      <c r="VP102" s="68"/>
      <c r="VQ102" s="68"/>
      <c r="VR102" s="68"/>
      <c r="VS102" s="68"/>
      <c r="VT102" s="68"/>
      <c r="VU102" s="68"/>
      <c r="VV102" s="68"/>
      <c r="VW102" s="68"/>
      <c r="VX102" s="68"/>
      <c r="VY102" s="68"/>
      <c r="VZ102" s="68"/>
      <c r="WA102" s="68"/>
      <c r="WB102" s="68"/>
      <c r="WC102" s="68"/>
      <c r="WD102" s="68"/>
      <c r="WE102" s="68"/>
      <c r="WF102" s="68"/>
      <c r="WG102" s="68"/>
      <c r="WH102" s="68"/>
      <c r="WI102" s="68"/>
      <c r="WJ102" s="68"/>
      <c r="WK102" s="68"/>
      <c r="WL102" s="68"/>
      <c r="WM102" s="68"/>
      <c r="WN102" s="68"/>
      <c r="WO102" s="68"/>
      <c r="WP102" s="68"/>
      <c r="WQ102" s="68"/>
      <c r="WR102" s="68"/>
      <c r="WS102" s="68"/>
      <c r="WT102" s="68"/>
      <c r="WU102" s="68"/>
      <c r="WV102" s="68"/>
      <c r="WW102" s="68"/>
      <c r="WX102" s="68"/>
      <c r="WY102" s="68"/>
      <c r="WZ102" s="68"/>
      <c r="XA102" s="68"/>
      <c r="XB102" s="68"/>
      <c r="XC102" s="68"/>
      <c r="XD102" s="68"/>
      <c r="XE102" s="68"/>
      <c r="XF102" s="68"/>
      <c r="XG102" s="68"/>
      <c r="XH102" s="68"/>
      <c r="XI102" s="68"/>
      <c r="XJ102" s="68"/>
      <c r="XK102" s="68"/>
      <c r="XL102" s="68"/>
      <c r="XM102" s="68"/>
      <c r="XN102" s="68"/>
      <c r="XO102" s="68"/>
      <c r="XP102" s="68"/>
      <c r="XQ102" s="68"/>
      <c r="XR102" s="68"/>
      <c r="XS102" s="68"/>
      <c r="XT102" s="68"/>
      <c r="XU102" s="68"/>
      <c r="XV102" s="68"/>
      <c r="XW102" s="68"/>
      <c r="XX102" s="68"/>
      <c r="XY102" s="68"/>
      <c r="XZ102" s="68"/>
      <c r="YA102" s="68"/>
      <c r="YB102" s="68"/>
      <c r="YC102" s="68"/>
      <c r="YD102" s="68"/>
      <c r="YE102" s="68"/>
      <c r="YF102" s="68"/>
      <c r="YG102" s="68"/>
      <c r="YH102" s="68"/>
      <c r="YI102" s="68"/>
      <c r="YJ102" s="68"/>
      <c r="YK102" s="68"/>
      <c r="YL102" s="68"/>
      <c r="YM102" s="68"/>
      <c r="YN102" s="68"/>
      <c r="YO102" s="68"/>
      <c r="YP102" s="68"/>
      <c r="YQ102" s="68"/>
      <c r="YR102" s="68"/>
      <c r="YS102" s="68"/>
      <c r="YT102" s="68"/>
      <c r="YU102" s="68"/>
      <c r="YV102" s="68"/>
      <c r="YW102" s="68"/>
      <c r="YX102" s="68"/>
      <c r="YY102" s="68"/>
      <c r="YZ102" s="68"/>
      <c r="ZA102" s="68"/>
      <c r="ZB102" s="68"/>
      <c r="ZC102" s="68"/>
      <c r="ZD102" s="68"/>
      <c r="ZE102" s="68"/>
      <c r="ZF102" s="68"/>
      <c r="ZG102" s="68"/>
      <c r="ZH102" s="68"/>
      <c r="ZI102" s="68"/>
      <c r="ZJ102" s="68"/>
      <c r="ZK102" s="68"/>
      <c r="ZL102" s="68"/>
      <c r="ZM102" s="68"/>
      <c r="ZN102" s="68"/>
      <c r="ZO102" s="68"/>
      <c r="ZP102" s="68"/>
      <c r="ZQ102" s="68"/>
      <c r="ZR102" s="68"/>
      <c r="ZS102" s="68"/>
      <c r="ZT102" s="68"/>
      <c r="ZU102" s="68"/>
      <c r="ZV102" s="68"/>
      <c r="ZW102" s="68"/>
      <c r="ZX102" s="68"/>
      <c r="ZY102" s="68"/>
      <c r="ZZ102" s="68"/>
      <c r="AAA102" s="68"/>
      <c r="AAB102" s="68"/>
      <c r="AAC102" s="68"/>
      <c r="AAD102" s="68"/>
      <c r="AAE102" s="68"/>
      <c r="AAF102" s="68"/>
      <c r="AAG102" s="68"/>
      <c r="AAH102" s="68"/>
      <c r="AAI102" s="68"/>
      <c r="AAJ102" s="68"/>
      <c r="AAK102" s="68"/>
      <c r="AAL102" s="68"/>
      <c r="AAM102" s="68"/>
      <c r="AAN102" s="68"/>
      <c r="AAO102" s="68"/>
      <c r="AAP102" s="68"/>
      <c r="AAQ102" s="68"/>
      <c r="AAR102" s="68"/>
      <c r="AAS102" s="68"/>
      <c r="AAT102" s="68"/>
      <c r="AAU102" s="68"/>
      <c r="AAV102" s="68"/>
      <c r="AAW102" s="68"/>
      <c r="AAX102" s="68"/>
      <c r="AAY102" s="68"/>
      <c r="AAZ102" s="68"/>
      <c r="ABA102" s="68"/>
      <c r="ABB102" s="68"/>
      <c r="ABC102" s="68"/>
      <c r="ABD102" s="68"/>
      <c r="ABE102" s="68"/>
      <c r="ABF102" s="68"/>
      <c r="ABG102" s="68"/>
      <c r="ABH102" s="68"/>
      <c r="ABI102" s="68"/>
      <c r="ABJ102" s="68"/>
      <c r="ABK102" s="68"/>
      <c r="ABL102" s="68"/>
      <c r="ABM102" s="68"/>
      <c r="ABN102" s="68"/>
      <c r="ABO102" s="68"/>
      <c r="ABP102" s="68"/>
      <c r="ABQ102" s="68"/>
      <c r="ABR102" s="68"/>
      <c r="ABS102" s="68"/>
      <c r="ABT102" s="68"/>
      <c r="ABU102" s="68"/>
      <c r="ABV102" s="68"/>
      <c r="ABW102" s="68"/>
      <c r="ABX102" s="68"/>
      <c r="ABY102" s="68"/>
      <c r="ABZ102" s="68"/>
      <c r="ACA102" s="68"/>
      <c r="ACB102" s="68"/>
      <c r="ACC102" s="68"/>
      <c r="ACD102" s="68"/>
      <c r="ACE102" s="68"/>
      <c r="ACF102" s="68"/>
      <c r="ACG102" s="68"/>
      <c r="ACH102" s="68"/>
      <c r="ACI102" s="68"/>
      <c r="ACJ102" s="68"/>
      <c r="ACK102" s="68"/>
      <c r="ACL102" s="68"/>
      <c r="ACM102" s="68"/>
      <c r="ACN102" s="68"/>
      <c r="ACO102" s="68"/>
      <c r="ACP102" s="68"/>
      <c r="ACQ102" s="68"/>
      <c r="ACR102" s="68"/>
      <c r="ACS102" s="68"/>
      <c r="ACT102" s="68"/>
      <c r="ACU102" s="68"/>
      <c r="ACV102" s="68"/>
      <c r="ACW102" s="68"/>
      <c r="ACX102" s="68"/>
      <c r="ACY102" s="68"/>
      <c r="ACZ102" s="68"/>
      <c r="ADA102" s="68"/>
      <c r="ADB102" s="68"/>
      <c r="ADC102" s="68"/>
      <c r="ADD102" s="68"/>
      <c r="ADE102" s="68"/>
      <c r="ADF102" s="68"/>
      <c r="ADG102" s="68"/>
      <c r="ADH102" s="68"/>
      <c r="ADI102" s="68"/>
      <c r="ADJ102" s="68"/>
      <c r="ADK102" s="68"/>
      <c r="ADL102" s="68"/>
      <c r="ADM102" s="68"/>
      <c r="ADN102" s="68"/>
      <c r="ADO102" s="68"/>
      <c r="ADP102" s="68"/>
      <c r="ADQ102" s="68"/>
      <c r="ADR102" s="68"/>
      <c r="ADS102" s="68"/>
      <c r="ADT102" s="68"/>
      <c r="ADU102" s="68"/>
      <c r="ADV102" s="68"/>
      <c r="ADW102" s="68"/>
      <c r="ADX102" s="68"/>
      <c r="ADY102" s="68"/>
      <c r="ADZ102" s="68"/>
      <c r="AEA102" s="68"/>
      <c r="AEB102" s="68"/>
      <c r="AEC102" s="68"/>
      <c r="AED102" s="68"/>
      <c r="AEE102" s="68"/>
      <c r="AEF102" s="68"/>
      <c r="AEG102" s="68"/>
      <c r="AEH102" s="68"/>
      <c r="AEI102" s="68"/>
      <c r="AEJ102" s="68"/>
      <c r="AEK102" s="68"/>
      <c r="AEL102" s="68"/>
      <c r="AEM102" s="68"/>
      <c r="AEN102" s="68"/>
      <c r="AEO102" s="68"/>
      <c r="AEP102" s="68"/>
      <c r="AEQ102" s="68"/>
      <c r="AER102" s="68"/>
      <c r="AES102" s="68"/>
      <c r="AET102" s="68"/>
      <c r="AEU102" s="68"/>
      <c r="AEV102" s="68"/>
      <c r="AEW102" s="68"/>
      <c r="AEX102" s="68"/>
      <c r="AEY102" s="68"/>
      <c r="AEZ102" s="68"/>
      <c r="AFA102" s="68"/>
      <c r="AFB102" s="68"/>
      <c r="AFC102" s="68"/>
      <c r="AFD102" s="68"/>
      <c r="AFE102" s="68"/>
      <c r="AFF102" s="68"/>
      <c r="AFG102" s="68"/>
      <c r="AFH102" s="68"/>
      <c r="AFI102" s="68"/>
      <c r="AFJ102" s="68"/>
      <c r="AFK102" s="68"/>
      <c r="AFL102" s="68"/>
      <c r="AFM102" s="68"/>
      <c r="AFN102" s="68"/>
      <c r="AFO102" s="68"/>
      <c r="AFP102" s="68"/>
      <c r="AFQ102" s="68"/>
      <c r="AFR102" s="68"/>
      <c r="AFS102" s="68"/>
      <c r="AFT102" s="68"/>
      <c r="AFU102" s="68"/>
      <c r="AFV102" s="68"/>
      <c r="AFW102" s="68"/>
      <c r="AFX102" s="68"/>
      <c r="AFY102" s="68"/>
      <c r="AFZ102" s="68"/>
      <c r="AGA102" s="68"/>
      <c r="AGB102" s="68"/>
      <c r="AGC102" s="68"/>
      <c r="AGD102" s="68"/>
      <c r="AGE102" s="68"/>
      <c r="AGF102" s="68"/>
      <c r="AGG102" s="68"/>
      <c r="AGH102" s="68"/>
      <c r="AGI102" s="68"/>
      <c r="AGJ102" s="68"/>
      <c r="AGK102" s="68"/>
      <c r="AGL102" s="68"/>
      <c r="AGM102" s="68"/>
      <c r="AGN102" s="68"/>
      <c r="AGO102" s="68"/>
      <c r="AGP102" s="68"/>
      <c r="AGQ102" s="68"/>
      <c r="AGR102" s="68"/>
      <c r="AGS102" s="68"/>
      <c r="AGT102" s="68"/>
      <c r="AGU102" s="68"/>
      <c r="AGV102" s="68"/>
      <c r="AGW102" s="68"/>
      <c r="AGX102" s="68"/>
      <c r="AGY102" s="68"/>
      <c r="AGZ102" s="68"/>
      <c r="AHA102" s="68"/>
      <c r="AHB102" s="68"/>
      <c r="AHC102" s="68"/>
      <c r="AHD102" s="68"/>
      <c r="AHE102" s="68"/>
      <c r="AHF102" s="68"/>
      <c r="AHG102" s="68"/>
      <c r="AHH102" s="68"/>
      <c r="AHI102" s="68"/>
      <c r="AHJ102" s="68"/>
      <c r="AHK102" s="68"/>
      <c r="AHL102" s="68"/>
      <c r="AHM102" s="68"/>
      <c r="AHN102" s="68"/>
      <c r="AHO102" s="68"/>
      <c r="AHP102" s="68"/>
      <c r="AHQ102" s="68"/>
      <c r="AHR102" s="68"/>
      <c r="AHS102" s="68"/>
      <c r="AHT102" s="68"/>
      <c r="AHU102" s="68"/>
      <c r="AHV102" s="68"/>
      <c r="AHW102" s="68"/>
      <c r="AHX102" s="68"/>
      <c r="AHY102" s="68"/>
      <c r="AHZ102" s="68"/>
      <c r="AIA102" s="68"/>
      <c r="AIB102" s="68"/>
      <c r="AIC102" s="68"/>
      <c r="AID102" s="68"/>
      <c r="AIE102" s="68"/>
      <c r="AIF102" s="68"/>
      <c r="AIG102" s="68"/>
      <c r="AIH102" s="68"/>
      <c r="AII102" s="68"/>
      <c r="AIJ102" s="68"/>
      <c r="AIK102" s="68"/>
      <c r="AIL102" s="68"/>
      <c r="AIM102" s="68"/>
      <c r="AIN102" s="68"/>
      <c r="AIO102" s="68"/>
      <c r="AIP102" s="68"/>
      <c r="AIQ102" s="68"/>
      <c r="AIR102" s="68"/>
      <c r="AIS102" s="68"/>
      <c r="AIT102" s="68"/>
      <c r="AIU102" s="68"/>
      <c r="AIV102" s="68"/>
      <c r="AIW102" s="68"/>
      <c r="AIX102" s="68"/>
      <c r="AIY102" s="68"/>
      <c r="AIZ102" s="68"/>
      <c r="AJA102" s="68"/>
      <c r="AJB102" s="68"/>
      <c r="AJC102" s="68"/>
      <c r="AJD102" s="68"/>
      <c r="AJE102" s="68"/>
      <c r="AJF102" s="68"/>
      <c r="AJG102" s="68"/>
      <c r="AJH102" s="68"/>
      <c r="AJI102" s="68"/>
      <c r="AJJ102" s="68"/>
      <c r="AJK102" s="68"/>
      <c r="AJL102" s="68"/>
      <c r="AJM102" s="68"/>
      <c r="AJN102" s="68"/>
      <c r="AJO102" s="68"/>
      <c r="AJP102" s="68"/>
      <c r="AJQ102" s="68"/>
      <c r="AJR102" s="68"/>
      <c r="AJS102" s="68"/>
      <c r="AJT102" s="68"/>
      <c r="AJU102" s="68"/>
      <c r="AJV102" s="68"/>
      <c r="AJW102" s="68"/>
      <c r="AJX102" s="68"/>
      <c r="AJY102" s="68"/>
      <c r="AJZ102" s="68"/>
      <c r="AKA102" s="68"/>
      <c r="AKB102" s="68"/>
      <c r="AKC102" s="68"/>
      <c r="AKD102" s="68"/>
      <c r="AKE102" s="68"/>
      <c r="AKF102" s="68"/>
      <c r="AKG102" s="68"/>
      <c r="AKH102" s="68"/>
      <c r="AKI102" s="68"/>
      <c r="AKJ102" s="68"/>
      <c r="AKK102" s="68"/>
      <c r="AKL102" s="68"/>
      <c r="AKM102" s="68"/>
      <c r="AKN102" s="68"/>
      <c r="AKO102" s="68"/>
      <c r="AKP102" s="68"/>
      <c r="AKQ102" s="68"/>
      <c r="AKR102" s="68"/>
      <c r="AKS102" s="68"/>
      <c r="AKT102" s="68"/>
      <c r="AKU102" s="68"/>
      <c r="AKV102" s="68"/>
      <c r="AKW102" s="68"/>
      <c r="AKX102" s="68"/>
      <c r="AKY102" s="68"/>
      <c r="AKZ102" s="68"/>
      <c r="ALA102" s="68"/>
      <c r="ALB102" s="68"/>
      <c r="ALC102" s="68"/>
      <c r="ALD102" s="68"/>
      <c r="ALE102" s="68"/>
      <c r="ALF102" s="68"/>
      <c r="ALG102" s="68"/>
      <c r="ALH102" s="68"/>
      <c r="ALI102" s="68"/>
      <c r="ALJ102" s="68"/>
      <c r="ALK102" s="68"/>
      <c r="ALL102" s="68"/>
      <c r="ALM102" s="68"/>
      <c r="ALN102" s="68"/>
      <c r="ALO102" s="68"/>
      <c r="ALP102" s="68"/>
      <c r="ALQ102" s="68"/>
      <c r="ALR102" s="68"/>
      <c r="ALS102" s="68"/>
      <c r="ALT102" s="68"/>
      <c r="ALU102" s="68"/>
      <c r="ALV102" s="68"/>
      <c r="ALW102" s="68"/>
      <c r="ALX102" s="68"/>
      <c r="ALY102" s="68"/>
      <c r="ALZ102" s="68"/>
      <c r="AMA102" s="68"/>
      <c r="AMB102" s="68"/>
      <c r="AMC102" s="68"/>
      <c r="AMD102" s="68"/>
      <c r="AME102" s="68"/>
      <c r="AMF102" s="68"/>
      <c r="AMG102" s="68"/>
      <c r="AMH102" s="68"/>
      <c r="AMI102" s="68"/>
      <c r="AMJ102" s="68"/>
      <c r="AMK102" s="68"/>
      <c r="AML102" s="68"/>
      <c r="AMM102" s="68"/>
      <c r="AMN102" s="68"/>
      <c r="AMO102" s="68"/>
      <c r="AMP102" s="68"/>
      <c r="AMQ102" s="68"/>
      <c r="AMR102" s="68"/>
      <c r="AMS102" s="68"/>
      <c r="AMT102" s="68"/>
      <c r="AMU102" s="68"/>
      <c r="AMV102" s="68"/>
      <c r="AMW102" s="68"/>
      <c r="AMX102" s="68"/>
      <c r="AMY102" s="68"/>
      <c r="AMZ102" s="68"/>
      <c r="ANA102" s="68"/>
      <c r="ANB102" s="68"/>
      <c r="ANC102" s="68"/>
      <c r="AND102" s="68"/>
      <c r="ANE102" s="68"/>
      <c r="ANF102" s="68"/>
      <c r="ANG102" s="68"/>
      <c r="ANH102" s="68"/>
      <c r="ANI102" s="68"/>
      <c r="ANJ102" s="68"/>
      <c r="ANK102" s="68"/>
      <c r="ANL102" s="68"/>
      <c r="ANM102" s="68"/>
      <c r="ANN102" s="68"/>
      <c r="ANO102" s="68"/>
      <c r="ANP102" s="68"/>
      <c r="ANQ102" s="68"/>
      <c r="ANR102" s="68"/>
      <c r="ANS102" s="68"/>
      <c r="ANT102" s="68"/>
      <c r="ANU102" s="68"/>
      <c r="ANV102" s="68"/>
      <c r="ANW102" s="68"/>
      <c r="ANX102" s="68"/>
      <c r="ANY102" s="68"/>
      <c r="ANZ102" s="68"/>
      <c r="AOA102" s="68"/>
      <c r="AOB102" s="68"/>
      <c r="AOC102" s="68"/>
      <c r="AOD102" s="68"/>
      <c r="AOE102" s="68"/>
      <c r="AOF102" s="68"/>
      <c r="AOG102" s="68"/>
      <c r="AOH102" s="68"/>
      <c r="AOI102" s="68"/>
      <c r="AOJ102" s="68"/>
      <c r="AOK102" s="68"/>
      <c r="AOL102" s="68"/>
      <c r="AOM102" s="68"/>
      <c r="AON102" s="68"/>
      <c r="AOO102" s="68"/>
      <c r="AOP102" s="68"/>
      <c r="AOQ102" s="68"/>
      <c r="AOR102" s="68"/>
      <c r="AOS102" s="68"/>
      <c r="AOT102" s="68"/>
      <c r="AOU102" s="68"/>
      <c r="AOV102" s="68"/>
      <c r="AOW102" s="68"/>
      <c r="AOX102" s="68"/>
      <c r="AOY102" s="68"/>
      <c r="AOZ102" s="68"/>
      <c r="APA102" s="68"/>
      <c r="APB102" s="68"/>
      <c r="APC102" s="68"/>
      <c r="APD102" s="68"/>
      <c r="APE102" s="68"/>
      <c r="APF102" s="68"/>
      <c r="APG102" s="68"/>
      <c r="APH102" s="68"/>
      <c r="API102" s="68"/>
      <c r="APJ102" s="68"/>
      <c r="APK102" s="68"/>
      <c r="APL102" s="68"/>
      <c r="APM102" s="68"/>
      <c r="APN102" s="68"/>
      <c r="APO102" s="68"/>
      <c r="APP102" s="68"/>
      <c r="APQ102" s="68"/>
      <c r="APR102" s="68"/>
      <c r="APS102" s="68"/>
      <c r="APT102" s="68"/>
      <c r="APU102" s="68"/>
      <c r="APV102" s="68"/>
      <c r="APW102" s="68"/>
      <c r="APX102" s="68"/>
      <c r="APY102" s="68"/>
      <c r="APZ102" s="68"/>
      <c r="AQA102" s="68"/>
      <c r="AQB102" s="68"/>
      <c r="AQC102" s="68"/>
      <c r="AQD102" s="68"/>
      <c r="AQE102" s="68"/>
      <c r="AQF102" s="68"/>
      <c r="AQG102" s="68"/>
      <c r="AQH102" s="68"/>
      <c r="AQI102" s="68"/>
      <c r="AQJ102" s="68"/>
      <c r="AQK102" s="68"/>
      <c r="AQL102" s="68"/>
      <c r="AQM102" s="68"/>
      <c r="AQN102" s="68"/>
      <c r="AQO102" s="68"/>
      <c r="AQP102" s="68"/>
      <c r="AQQ102" s="68"/>
      <c r="AQR102" s="68"/>
      <c r="AQS102" s="68"/>
      <c r="AQT102" s="68"/>
      <c r="AQU102" s="68"/>
      <c r="AQV102" s="68"/>
      <c r="AQW102" s="68"/>
      <c r="AQX102" s="68"/>
      <c r="AQY102" s="68"/>
      <c r="AQZ102" s="68"/>
      <c r="ARA102" s="68"/>
      <c r="ARB102" s="68"/>
      <c r="ARC102" s="68"/>
      <c r="ARD102" s="68"/>
      <c r="ARE102" s="68"/>
      <c r="ARF102" s="68"/>
      <c r="ARG102" s="68"/>
      <c r="ARH102" s="68"/>
      <c r="ARI102" s="68"/>
      <c r="ARJ102" s="68"/>
      <c r="ARK102" s="68"/>
      <c r="ARL102" s="68"/>
      <c r="ARM102" s="68"/>
      <c r="ARN102" s="68"/>
      <c r="ARO102" s="68"/>
      <c r="ARP102" s="68"/>
      <c r="ARQ102" s="68"/>
      <c r="ARR102" s="68"/>
      <c r="ARS102" s="68"/>
      <c r="ART102" s="68"/>
      <c r="ARU102" s="68"/>
      <c r="ARV102" s="68"/>
      <c r="ARW102" s="68"/>
      <c r="ARX102" s="68"/>
      <c r="ARY102" s="68"/>
      <c r="ARZ102" s="68"/>
      <c r="ASA102" s="68"/>
      <c r="ASB102" s="68"/>
      <c r="ASC102" s="68"/>
      <c r="ASD102" s="68"/>
      <c r="ASE102" s="68"/>
      <c r="ASF102" s="68"/>
      <c r="ASG102" s="68"/>
      <c r="ASH102" s="68"/>
      <c r="ASI102" s="68"/>
      <c r="ASJ102" s="68"/>
      <c r="ASK102" s="68"/>
      <c r="ASL102" s="68"/>
      <c r="ASM102" s="68"/>
      <c r="ASN102" s="68"/>
      <c r="ASO102" s="68"/>
      <c r="ASP102" s="68"/>
      <c r="ASQ102" s="68"/>
      <c r="ASR102" s="68"/>
      <c r="ASS102" s="68"/>
      <c r="AST102" s="68"/>
      <c r="ASU102" s="68"/>
      <c r="ASV102" s="68"/>
      <c r="ASW102" s="68"/>
      <c r="ASX102" s="68"/>
      <c r="ASY102" s="68"/>
      <c r="ASZ102" s="68"/>
      <c r="ATA102" s="68"/>
      <c r="ATB102" s="68"/>
      <c r="ATC102" s="68"/>
      <c r="ATD102" s="68"/>
      <c r="ATE102" s="68"/>
      <c r="ATF102" s="68"/>
      <c r="ATG102" s="68"/>
      <c r="ATH102" s="68"/>
      <c r="ATI102" s="68"/>
      <c r="ATJ102" s="68"/>
      <c r="ATK102" s="68"/>
      <c r="ATL102" s="68"/>
      <c r="ATM102" s="68"/>
      <c r="ATN102" s="68"/>
      <c r="ATO102" s="68"/>
      <c r="ATP102" s="68"/>
      <c r="ATQ102" s="68"/>
      <c r="ATR102" s="68"/>
      <c r="ATS102" s="68"/>
      <c r="ATT102" s="68"/>
      <c r="ATU102" s="68"/>
      <c r="ATV102" s="68"/>
      <c r="ATW102" s="68"/>
      <c r="ATX102" s="68"/>
      <c r="ATY102" s="68"/>
      <c r="ATZ102" s="68"/>
      <c r="AUA102" s="68"/>
      <c r="AUB102" s="68"/>
      <c r="AUC102" s="68"/>
      <c r="AUD102" s="68"/>
      <c r="AUE102" s="68"/>
      <c r="AUF102" s="68"/>
      <c r="AUG102" s="68"/>
      <c r="AUH102" s="68"/>
      <c r="AUI102" s="68"/>
      <c r="AUJ102" s="68"/>
      <c r="AUK102" s="68"/>
      <c r="AUL102" s="68"/>
      <c r="AUM102" s="68"/>
      <c r="AUN102" s="68"/>
      <c r="AUO102" s="68"/>
      <c r="AUP102" s="68"/>
      <c r="AUQ102" s="68"/>
      <c r="AUR102" s="68"/>
      <c r="AUS102" s="68"/>
      <c r="AUT102" s="68"/>
      <c r="AUU102" s="68"/>
      <c r="AUV102" s="68"/>
      <c r="AUW102" s="68"/>
      <c r="AUX102" s="68"/>
      <c r="AUY102" s="68"/>
      <c r="AUZ102" s="68"/>
      <c r="AVA102" s="68"/>
      <c r="AVB102" s="68"/>
      <c r="AVC102" s="68"/>
      <c r="AVD102" s="68"/>
      <c r="AVE102" s="68"/>
      <c r="AVF102" s="68"/>
      <c r="AVG102" s="68"/>
      <c r="AVH102" s="68"/>
      <c r="AVI102" s="68"/>
      <c r="AVJ102" s="68"/>
      <c r="AVK102" s="68"/>
      <c r="AVL102" s="68"/>
      <c r="AVM102" s="68"/>
      <c r="AVN102" s="68"/>
      <c r="AVO102" s="68"/>
      <c r="AVP102" s="68"/>
      <c r="AVQ102" s="68"/>
      <c r="AVR102" s="68"/>
      <c r="AVS102" s="68"/>
      <c r="AVT102" s="68"/>
      <c r="AVU102" s="68"/>
      <c r="AVV102" s="68"/>
      <c r="AVW102" s="68"/>
      <c r="AVX102" s="68"/>
      <c r="AVY102" s="68"/>
      <c r="AVZ102" s="68"/>
      <c r="AWA102" s="68"/>
      <c r="AWB102" s="68"/>
      <c r="AWC102" s="68"/>
      <c r="AWD102" s="68"/>
      <c r="AWE102" s="68"/>
      <c r="AWF102" s="68"/>
      <c r="AWG102" s="68"/>
      <c r="AWH102" s="68"/>
      <c r="AWI102" s="68"/>
      <c r="AWJ102" s="68"/>
      <c r="AWK102" s="68"/>
      <c r="AWL102" s="68"/>
      <c r="AWM102" s="68"/>
      <c r="AWN102" s="68"/>
      <c r="AWO102" s="68"/>
      <c r="AWP102" s="68"/>
      <c r="AWQ102" s="68"/>
      <c r="AWR102" s="68"/>
      <c r="AWS102" s="68"/>
      <c r="AWT102" s="68"/>
      <c r="AWU102" s="68"/>
      <c r="AWV102" s="68"/>
      <c r="AWW102" s="68"/>
      <c r="AWX102" s="68"/>
      <c r="AWY102" s="68"/>
      <c r="AWZ102" s="68"/>
      <c r="AXA102" s="68"/>
      <c r="AXB102" s="68"/>
      <c r="AXC102" s="68"/>
      <c r="AXD102" s="68"/>
      <c r="AXE102" s="68"/>
      <c r="AXF102" s="68"/>
      <c r="AXG102" s="68"/>
      <c r="AXH102" s="68"/>
      <c r="AXI102" s="68"/>
      <c r="AXJ102" s="68"/>
      <c r="AXK102" s="68"/>
      <c r="AXL102" s="68"/>
      <c r="AXM102" s="68"/>
      <c r="AXN102" s="68"/>
      <c r="AXO102" s="68"/>
      <c r="AXP102" s="68"/>
      <c r="AXQ102" s="68"/>
      <c r="AXR102" s="68"/>
      <c r="AXS102" s="68"/>
      <c r="AXT102" s="68"/>
      <c r="AXU102" s="68"/>
      <c r="AXV102" s="68"/>
      <c r="AXW102" s="68"/>
      <c r="AXX102" s="68"/>
      <c r="AXY102" s="68"/>
      <c r="AXZ102" s="68"/>
      <c r="AYA102" s="68"/>
      <c r="AYB102" s="68"/>
      <c r="AYC102" s="68"/>
      <c r="AYD102" s="68"/>
      <c r="AYE102" s="68"/>
      <c r="AYF102" s="68"/>
      <c r="AYG102" s="68"/>
      <c r="AYH102" s="68"/>
      <c r="AYI102" s="68"/>
      <c r="AYJ102" s="68"/>
      <c r="AYK102" s="68"/>
      <c r="AYL102" s="68"/>
      <c r="AYM102" s="68"/>
      <c r="AYN102" s="68"/>
      <c r="AYO102" s="68"/>
      <c r="AYP102" s="68"/>
      <c r="AYQ102" s="68"/>
      <c r="AYR102" s="68"/>
      <c r="AYS102" s="68"/>
      <c r="AYT102" s="68"/>
      <c r="AYU102" s="68"/>
      <c r="AYV102" s="68"/>
      <c r="AYW102" s="68"/>
      <c r="AYX102" s="68"/>
      <c r="AYY102" s="68"/>
      <c r="AYZ102" s="68"/>
      <c r="AZA102" s="68"/>
      <c r="AZB102" s="68"/>
      <c r="AZC102" s="68"/>
      <c r="AZD102" s="68"/>
      <c r="AZE102" s="68"/>
      <c r="AZF102" s="68"/>
      <c r="AZG102" s="68"/>
      <c r="AZH102" s="68"/>
      <c r="AZI102" s="68"/>
      <c r="AZJ102" s="68"/>
      <c r="AZK102" s="68"/>
      <c r="AZL102" s="68"/>
      <c r="AZM102" s="68"/>
      <c r="AZN102" s="68"/>
      <c r="AZO102" s="68"/>
      <c r="AZP102" s="68"/>
      <c r="AZQ102" s="68"/>
      <c r="AZR102" s="68"/>
      <c r="AZS102" s="68"/>
      <c r="AZT102" s="68"/>
      <c r="AZU102" s="68"/>
      <c r="AZV102" s="68"/>
      <c r="AZW102" s="68"/>
      <c r="AZX102" s="68"/>
      <c r="AZY102" s="68"/>
      <c r="AZZ102" s="68"/>
      <c r="BAA102" s="68"/>
      <c r="BAB102" s="68"/>
      <c r="BAC102" s="68"/>
      <c r="BAD102" s="68"/>
      <c r="BAE102" s="68"/>
      <c r="BAF102" s="68"/>
      <c r="BAG102" s="68"/>
      <c r="BAH102" s="68"/>
      <c r="BAI102" s="68"/>
      <c r="BAJ102" s="68"/>
      <c r="BAK102" s="68"/>
      <c r="BAL102" s="68"/>
      <c r="BAM102" s="68"/>
      <c r="BAN102" s="68"/>
      <c r="BAO102" s="68"/>
      <c r="BAP102" s="68"/>
      <c r="BAQ102" s="68"/>
      <c r="BAR102" s="68"/>
      <c r="BAS102" s="68"/>
      <c r="BAT102" s="68"/>
      <c r="BAU102" s="68"/>
      <c r="BAV102" s="68"/>
      <c r="BAW102" s="68"/>
      <c r="BAX102" s="68"/>
      <c r="BAY102" s="68"/>
      <c r="BAZ102" s="68"/>
      <c r="BBA102" s="68"/>
      <c r="BBB102" s="68"/>
      <c r="BBC102" s="68"/>
      <c r="BBD102" s="68"/>
      <c r="BBE102" s="68"/>
      <c r="BBF102" s="68"/>
      <c r="BBG102" s="68"/>
      <c r="BBH102" s="68"/>
      <c r="BBI102" s="68"/>
      <c r="BBJ102" s="68"/>
      <c r="BBK102" s="68"/>
      <c r="BBL102" s="68"/>
      <c r="BBM102" s="68"/>
      <c r="BBN102" s="68"/>
      <c r="BBO102" s="68"/>
      <c r="BBP102" s="68"/>
      <c r="BBQ102" s="68"/>
      <c r="BBR102" s="68"/>
      <c r="BBS102" s="68"/>
      <c r="BBT102" s="68"/>
      <c r="BBU102" s="68"/>
      <c r="BBV102" s="68"/>
      <c r="BBW102" s="68"/>
      <c r="BBX102" s="68"/>
      <c r="BBY102" s="68"/>
      <c r="BBZ102" s="68"/>
      <c r="BCA102" s="68"/>
      <c r="BCB102" s="68"/>
      <c r="BCC102" s="68"/>
      <c r="BCD102" s="68"/>
      <c r="BCE102" s="68"/>
      <c r="BCF102" s="68"/>
      <c r="BCG102" s="68"/>
      <c r="BCH102" s="68"/>
      <c r="BCI102" s="68"/>
      <c r="BCJ102" s="68"/>
      <c r="BCK102" s="68"/>
      <c r="BCL102" s="68"/>
      <c r="BCM102" s="68"/>
      <c r="BCN102" s="68"/>
      <c r="BCO102" s="68"/>
      <c r="BCP102" s="68"/>
      <c r="BCQ102" s="68"/>
      <c r="BCR102" s="68"/>
      <c r="BCS102" s="68"/>
      <c r="BCT102" s="68"/>
      <c r="BCU102" s="68"/>
      <c r="BCV102" s="68"/>
      <c r="BCW102" s="68"/>
      <c r="BCX102" s="68"/>
      <c r="BCY102" s="68"/>
      <c r="BCZ102" s="68"/>
      <c r="BDA102" s="68"/>
    </row>
    <row r="103" spans="1:1457" s="67" customFormat="1" ht="45" customHeight="1" x14ac:dyDescent="0.25">
      <c r="A103" s="49">
        <v>21</v>
      </c>
      <c r="B103" s="71" t="s">
        <v>744</v>
      </c>
      <c r="C103" s="69" t="s">
        <v>746</v>
      </c>
      <c r="D103" s="69" t="s">
        <v>708</v>
      </c>
      <c r="E103" s="69" t="s">
        <v>709</v>
      </c>
      <c r="F103" s="51">
        <v>11471800</v>
      </c>
      <c r="G103" s="72" t="s">
        <v>575</v>
      </c>
      <c r="H103" s="42" t="s">
        <v>667</v>
      </c>
      <c r="I103" s="71" t="s">
        <v>17</v>
      </c>
      <c r="J103" s="71"/>
      <c r="K103" s="69" t="s">
        <v>521</v>
      </c>
      <c r="L103" s="69" t="s">
        <v>520</v>
      </c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  <c r="BW103" s="68"/>
      <c r="BX103" s="68"/>
      <c r="BY103" s="68"/>
      <c r="BZ103" s="68"/>
      <c r="CA103" s="68"/>
      <c r="CB103" s="68"/>
      <c r="CC103" s="68"/>
      <c r="CD103" s="68"/>
      <c r="CE103" s="68"/>
      <c r="CF103" s="68"/>
      <c r="CG103" s="68"/>
      <c r="CH103" s="68"/>
      <c r="CI103" s="68"/>
      <c r="CJ103" s="68"/>
      <c r="CK103" s="68"/>
      <c r="CL103" s="68"/>
      <c r="CM103" s="68"/>
      <c r="CN103" s="68"/>
      <c r="CO103" s="68"/>
      <c r="CP103" s="68"/>
      <c r="CQ103" s="68"/>
      <c r="CR103" s="68"/>
      <c r="CS103" s="68"/>
      <c r="CT103" s="68"/>
      <c r="CU103" s="68"/>
      <c r="CV103" s="68"/>
      <c r="CW103" s="68"/>
      <c r="CX103" s="68"/>
      <c r="CY103" s="68"/>
      <c r="CZ103" s="68"/>
      <c r="DA103" s="68"/>
      <c r="DB103" s="68"/>
      <c r="DC103" s="68"/>
      <c r="DD103" s="68"/>
      <c r="DE103" s="68"/>
      <c r="DF103" s="68"/>
      <c r="DG103" s="68"/>
      <c r="DH103" s="68"/>
      <c r="DI103" s="68"/>
      <c r="DJ103" s="68"/>
      <c r="DK103" s="68"/>
      <c r="DL103" s="68"/>
      <c r="DM103" s="68"/>
      <c r="DN103" s="68"/>
      <c r="DO103" s="68"/>
      <c r="DP103" s="68"/>
      <c r="DQ103" s="68"/>
      <c r="DR103" s="68"/>
      <c r="DS103" s="68"/>
      <c r="DT103" s="68"/>
      <c r="DU103" s="68"/>
      <c r="DV103" s="68"/>
      <c r="DW103" s="68"/>
      <c r="DX103" s="68"/>
      <c r="DY103" s="68"/>
      <c r="DZ103" s="68"/>
      <c r="EA103" s="68"/>
      <c r="EB103" s="68"/>
      <c r="EC103" s="68"/>
      <c r="ED103" s="68"/>
      <c r="EE103" s="68"/>
      <c r="EF103" s="68"/>
      <c r="EG103" s="68"/>
      <c r="EH103" s="68"/>
      <c r="EI103" s="68"/>
      <c r="EJ103" s="68"/>
      <c r="EK103" s="68"/>
      <c r="EL103" s="68"/>
      <c r="EM103" s="68"/>
      <c r="EN103" s="68"/>
      <c r="EO103" s="68"/>
      <c r="EP103" s="68"/>
      <c r="EQ103" s="68"/>
      <c r="ER103" s="68"/>
      <c r="ES103" s="68"/>
      <c r="ET103" s="68"/>
      <c r="EU103" s="68"/>
      <c r="EV103" s="68"/>
      <c r="EW103" s="68"/>
      <c r="EX103" s="68"/>
      <c r="EY103" s="68"/>
      <c r="EZ103" s="68"/>
      <c r="FA103" s="68"/>
      <c r="FB103" s="68"/>
      <c r="FC103" s="68"/>
      <c r="FD103" s="68"/>
      <c r="FE103" s="68"/>
      <c r="FF103" s="68"/>
      <c r="FG103" s="68"/>
      <c r="FH103" s="68"/>
      <c r="FI103" s="68"/>
      <c r="FJ103" s="68"/>
      <c r="FK103" s="68"/>
      <c r="FL103" s="68"/>
      <c r="FM103" s="68"/>
      <c r="FN103" s="68"/>
      <c r="FO103" s="68"/>
      <c r="FP103" s="68"/>
      <c r="FQ103" s="68"/>
      <c r="FR103" s="68"/>
      <c r="FS103" s="68"/>
      <c r="FT103" s="68"/>
      <c r="FU103" s="68"/>
      <c r="FV103" s="68"/>
      <c r="FW103" s="68"/>
      <c r="FX103" s="68"/>
      <c r="FY103" s="68"/>
      <c r="FZ103" s="68"/>
      <c r="GA103" s="68"/>
      <c r="GB103" s="68"/>
      <c r="GC103" s="68"/>
      <c r="GD103" s="68"/>
      <c r="GE103" s="68"/>
      <c r="GF103" s="68"/>
      <c r="GG103" s="68"/>
      <c r="GH103" s="68"/>
      <c r="GI103" s="68"/>
      <c r="GJ103" s="68"/>
      <c r="GK103" s="68"/>
      <c r="GL103" s="68"/>
      <c r="GM103" s="68"/>
      <c r="GN103" s="68"/>
      <c r="GO103" s="68"/>
      <c r="GP103" s="68"/>
      <c r="GQ103" s="68"/>
      <c r="GR103" s="68"/>
      <c r="GS103" s="68"/>
      <c r="GT103" s="68"/>
      <c r="GU103" s="68"/>
      <c r="GV103" s="68"/>
      <c r="GW103" s="68"/>
      <c r="GX103" s="68"/>
      <c r="GY103" s="68"/>
      <c r="GZ103" s="68"/>
      <c r="HA103" s="68"/>
      <c r="HB103" s="68"/>
      <c r="HC103" s="68"/>
      <c r="HD103" s="68"/>
      <c r="HE103" s="68"/>
      <c r="HF103" s="68"/>
      <c r="HG103" s="68"/>
      <c r="HH103" s="68"/>
      <c r="HI103" s="68"/>
      <c r="HJ103" s="68"/>
      <c r="HK103" s="68"/>
      <c r="HL103" s="68"/>
      <c r="HM103" s="68"/>
      <c r="HN103" s="68"/>
      <c r="HO103" s="68"/>
      <c r="HP103" s="68"/>
      <c r="HQ103" s="68"/>
      <c r="HR103" s="68"/>
      <c r="HS103" s="68"/>
      <c r="HT103" s="68"/>
      <c r="HU103" s="68"/>
      <c r="HV103" s="68"/>
      <c r="HW103" s="68"/>
      <c r="HX103" s="68"/>
      <c r="HY103" s="68"/>
      <c r="HZ103" s="68"/>
      <c r="IA103" s="68"/>
      <c r="IB103" s="68"/>
      <c r="IC103" s="68"/>
      <c r="ID103" s="68"/>
      <c r="IE103" s="68"/>
      <c r="IF103" s="68"/>
      <c r="IG103" s="68"/>
      <c r="IH103" s="68"/>
      <c r="II103" s="68"/>
      <c r="IJ103" s="68"/>
      <c r="IK103" s="68"/>
      <c r="IL103" s="68"/>
      <c r="IM103" s="68"/>
      <c r="IN103" s="68"/>
      <c r="IO103" s="68"/>
      <c r="IP103" s="68"/>
      <c r="IQ103" s="68"/>
      <c r="IR103" s="68"/>
      <c r="IS103" s="68"/>
      <c r="IT103" s="68"/>
      <c r="IU103" s="68"/>
      <c r="IV103" s="68"/>
      <c r="IW103" s="68"/>
      <c r="IX103" s="68"/>
      <c r="IY103" s="68"/>
      <c r="IZ103" s="68"/>
      <c r="JA103" s="68"/>
      <c r="JB103" s="68"/>
      <c r="JC103" s="68"/>
      <c r="JD103" s="68"/>
      <c r="JE103" s="68"/>
      <c r="JF103" s="68"/>
      <c r="JG103" s="68"/>
      <c r="JH103" s="68"/>
      <c r="JI103" s="68"/>
      <c r="JJ103" s="68"/>
      <c r="JK103" s="68"/>
      <c r="JL103" s="68"/>
      <c r="JM103" s="68"/>
      <c r="JN103" s="68"/>
      <c r="JO103" s="68"/>
      <c r="JP103" s="68"/>
      <c r="JQ103" s="68"/>
      <c r="JR103" s="68"/>
      <c r="JS103" s="68"/>
      <c r="JT103" s="68"/>
      <c r="JU103" s="68"/>
      <c r="JV103" s="68"/>
      <c r="JW103" s="68"/>
      <c r="JX103" s="68"/>
      <c r="JY103" s="68"/>
      <c r="JZ103" s="68"/>
      <c r="KA103" s="68"/>
      <c r="KB103" s="68"/>
      <c r="KC103" s="68"/>
      <c r="KD103" s="68"/>
      <c r="KE103" s="68"/>
      <c r="KF103" s="68"/>
      <c r="KG103" s="68"/>
      <c r="KH103" s="68"/>
      <c r="KI103" s="68"/>
      <c r="KJ103" s="68"/>
      <c r="KK103" s="68"/>
      <c r="KL103" s="68"/>
      <c r="KM103" s="68"/>
      <c r="KN103" s="68"/>
      <c r="KO103" s="68"/>
      <c r="KP103" s="68"/>
      <c r="KQ103" s="68"/>
      <c r="KR103" s="68"/>
      <c r="KS103" s="68"/>
      <c r="KT103" s="68"/>
      <c r="KU103" s="68"/>
      <c r="KV103" s="68"/>
      <c r="KW103" s="68"/>
      <c r="KX103" s="68"/>
      <c r="KY103" s="68"/>
      <c r="KZ103" s="68"/>
      <c r="LA103" s="68"/>
      <c r="LB103" s="68"/>
      <c r="LC103" s="68"/>
      <c r="LD103" s="68"/>
      <c r="LE103" s="68"/>
      <c r="LF103" s="68"/>
      <c r="LG103" s="68"/>
      <c r="LH103" s="68"/>
      <c r="LI103" s="68"/>
      <c r="LJ103" s="68"/>
      <c r="LK103" s="68"/>
      <c r="LL103" s="68"/>
      <c r="LM103" s="68"/>
      <c r="LN103" s="68"/>
      <c r="LO103" s="68"/>
      <c r="LP103" s="68"/>
      <c r="LQ103" s="68"/>
      <c r="LR103" s="68"/>
      <c r="LS103" s="68"/>
      <c r="LT103" s="68"/>
      <c r="LU103" s="68"/>
      <c r="LV103" s="68"/>
      <c r="LW103" s="68"/>
      <c r="LX103" s="68"/>
      <c r="LY103" s="68"/>
      <c r="LZ103" s="68"/>
      <c r="MA103" s="68"/>
      <c r="MB103" s="68"/>
      <c r="MC103" s="68"/>
      <c r="MD103" s="68"/>
      <c r="ME103" s="68"/>
      <c r="MF103" s="68"/>
      <c r="MG103" s="68"/>
      <c r="MH103" s="68"/>
      <c r="MI103" s="68"/>
      <c r="MJ103" s="68"/>
      <c r="MK103" s="68"/>
      <c r="ML103" s="68"/>
      <c r="MM103" s="68"/>
      <c r="MN103" s="68"/>
      <c r="MO103" s="68"/>
      <c r="MP103" s="68"/>
      <c r="MQ103" s="68"/>
      <c r="MR103" s="68"/>
      <c r="MS103" s="68"/>
      <c r="MT103" s="68"/>
      <c r="MU103" s="68"/>
      <c r="MV103" s="68"/>
      <c r="MW103" s="68"/>
      <c r="MX103" s="68"/>
      <c r="MY103" s="68"/>
      <c r="MZ103" s="68"/>
      <c r="NA103" s="68"/>
      <c r="NB103" s="68"/>
      <c r="NC103" s="68"/>
      <c r="ND103" s="68"/>
      <c r="NE103" s="68"/>
      <c r="NF103" s="68"/>
      <c r="NG103" s="68"/>
      <c r="NH103" s="68"/>
      <c r="NI103" s="68"/>
      <c r="NJ103" s="68"/>
      <c r="NK103" s="68"/>
      <c r="NL103" s="68"/>
      <c r="NM103" s="68"/>
      <c r="NN103" s="68"/>
      <c r="NO103" s="68"/>
      <c r="NP103" s="68"/>
      <c r="NQ103" s="68"/>
      <c r="NR103" s="68"/>
      <c r="NS103" s="68"/>
      <c r="NT103" s="68"/>
      <c r="NU103" s="68"/>
      <c r="NV103" s="68"/>
      <c r="NW103" s="68"/>
      <c r="NX103" s="68"/>
      <c r="NY103" s="68"/>
      <c r="NZ103" s="68"/>
      <c r="OA103" s="68"/>
      <c r="OB103" s="68"/>
      <c r="OC103" s="68"/>
      <c r="OD103" s="68"/>
      <c r="OE103" s="68"/>
      <c r="OF103" s="68"/>
      <c r="OG103" s="68"/>
      <c r="OH103" s="68"/>
      <c r="OI103" s="68"/>
      <c r="OJ103" s="68"/>
      <c r="OK103" s="68"/>
      <c r="OL103" s="68"/>
      <c r="OM103" s="68"/>
      <c r="ON103" s="68"/>
      <c r="OO103" s="68"/>
      <c r="OP103" s="68"/>
      <c r="OQ103" s="68"/>
      <c r="OR103" s="68"/>
      <c r="OS103" s="68"/>
      <c r="OT103" s="68"/>
      <c r="OU103" s="68"/>
      <c r="OV103" s="68"/>
      <c r="OW103" s="68"/>
      <c r="OX103" s="68"/>
      <c r="OY103" s="68"/>
      <c r="OZ103" s="68"/>
      <c r="PA103" s="68"/>
      <c r="PB103" s="68"/>
      <c r="PC103" s="68"/>
      <c r="PD103" s="68"/>
      <c r="PE103" s="68"/>
      <c r="PF103" s="68"/>
      <c r="PG103" s="68"/>
      <c r="PH103" s="68"/>
      <c r="PI103" s="68"/>
      <c r="PJ103" s="68"/>
      <c r="PK103" s="68"/>
      <c r="PL103" s="68"/>
      <c r="PM103" s="68"/>
      <c r="PN103" s="68"/>
      <c r="PO103" s="68"/>
      <c r="PP103" s="68"/>
      <c r="PQ103" s="68"/>
      <c r="PR103" s="68"/>
      <c r="PS103" s="68"/>
      <c r="PT103" s="68"/>
      <c r="PU103" s="68"/>
      <c r="PV103" s="68"/>
      <c r="PW103" s="68"/>
      <c r="PX103" s="68"/>
      <c r="PY103" s="68"/>
      <c r="PZ103" s="68"/>
      <c r="QA103" s="68"/>
      <c r="QB103" s="68"/>
      <c r="QC103" s="68"/>
      <c r="QD103" s="68"/>
      <c r="QE103" s="68"/>
      <c r="QF103" s="68"/>
      <c r="QG103" s="68"/>
      <c r="QH103" s="68"/>
      <c r="QI103" s="68"/>
      <c r="QJ103" s="68"/>
      <c r="QK103" s="68"/>
      <c r="QL103" s="68"/>
      <c r="QM103" s="68"/>
      <c r="QN103" s="68"/>
      <c r="QO103" s="68"/>
      <c r="QP103" s="68"/>
      <c r="QQ103" s="68"/>
      <c r="QR103" s="68"/>
      <c r="QS103" s="68"/>
      <c r="QT103" s="68"/>
      <c r="QU103" s="68"/>
      <c r="QV103" s="68"/>
      <c r="QW103" s="68"/>
      <c r="QX103" s="68"/>
      <c r="QY103" s="68"/>
      <c r="QZ103" s="68"/>
      <c r="RA103" s="68"/>
      <c r="RB103" s="68"/>
      <c r="RC103" s="68"/>
      <c r="RD103" s="68"/>
      <c r="RE103" s="68"/>
      <c r="RF103" s="68"/>
      <c r="RG103" s="68"/>
      <c r="RH103" s="68"/>
      <c r="RI103" s="68"/>
      <c r="RJ103" s="68"/>
      <c r="RK103" s="68"/>
      <c r="RL103" s="68"/>
      <c r="RM103" s="68"/>
      <c r="RN103" s="68"/>
      <c r="RO103" s="68"/>
      <c r="RP103" s="68"/>
      <c r="RQ103" s="68"/>
      <c r="RR103" s="68"/>
      <c r="RS103" s="68"/>
      <c r="RT103" s="68"/>
      <c r="RU103" s="68"/>
      <c r="RV103" s="68"/>
      <c r="RW103" s="68"/>
      <c r="RX103" s="68"/>
      <c r="RY103" s="68"/>
      <c r="RZ103" s="68"/>
      <c r="SA103" s="68"/>
      <c r="SB103" s="68"/>
      <c r="SC103" s="68"/>
      <c r="SD103" s="68"/>
      <c r="SE103" s="68"/>
      <c r="SF103" s="68"/>
      <c r="SG103" s="68"/>
      <c r="SH103" s="68"/>
      <c r="SI103" s="68"/>
      <c r="SJ103" s="68"/>
      <c r="SK103" s="68"/>
      <c r="SL103" s="68"/>
      <c r="SM103" s="68"/>
      <c r="SN103" s="68"/>
      <c r="SO103" s="68"/>
      <c r="SP103" s="68"/>
      <c r="SQ103" s="68"/>
      <c r="SR103" s="68"/>
      <c r="SS103" s="68"/>
      <c r="ST103" s="68"/>
      <c r="SU103" s="68"/>
      <c r="SV103" s="68"/>
      <c r="SW103" s="68"/>
      <c r="SX103" s="68"/>
      <c r="SY103" s="68"/>
      <c r="SZ103" s="68"/>
      <c r="TA103" s="68"/>
      <c r="TB103" s="68"/>
      <c r="TC103" s="68"/>
      <c r="TD103" s="68"/>
      <c r="TE103" s="68"/>
      <c r="TF103" s="68"/>
      <c r="TG103" s="68"/>
      <c r="TH103" s="68"/>
      <c r="TI103" s="68"/>
      <c r="TJ103" s="68"/>
      <c r="TK103" s="68"/>
      <c r="TL103" s="68"/>
      <c r="TM103" s="68"/>
      <c r="TN103" s="68"/>
      <c r="TO103" s="68"/>
      <c r="TP103" s="68"/>
      <c r="TQ103" s="68"/>
      <c r="TR103" s="68"/>
      <c r="TS103" s="68"/>
      <c r="TT103" s="68"/>
      <c r="TU103" s="68"/>
      <c r="TV103" s="68"/>
      <c r="TW103" s="68"/>
      <c r="TX103" s="68"/>
      <c r="TY103" s="68"/>
      <c r="TZ103" s="68"/>
      <c r="UA103" s="68"/>
      <c r="UB103" s="68"/>
      <c r="UC103" s="68"/>
      <c r="UD103" s="68"/>
      <c r="UE103" s="68"/>
      <c r="UF103" s="68"/>
      <c r="UG103" s="68"/>
      <c r="UH103" s="68"/>
      <c r="UI103" s="68"/>
      <c r="UJ103" s="68"/>
      <c r="UK103" s="68"/>
      <c r="UL103" s="68"/>
      <c r="UM103" s="68"/>
      <c r="UN103" s="68"/>
      <c r="UO103" s="68"/>
      <c r="UP103" s="68"/>
      <c r="UQ103" s="68"/>
      <c r="UR103" s="68"/>
      <c r="US103" s="68"/>
      <c r="UT103" s="68"/>
      <c r="UU103" s="68"/>
      <c r="UV103" s="68"/>
      <c r="UW103" s="68"/>
      <c r="UX103" s="68"/>
      <c r="UY103" s="68"/>
      <c r="UZ103" s="68"/>
      <c r="VA103" s="68"/>
      <c r="VB103" s="68"/>
      <c r="VC103" s="68"/>
      <c r="VD103" s="68"/>
      <c r="VE103" s="68"/>
      <c r="VF103" s="68"/>
      <c r="VG103" s="68"/>
      <c r="VH103" s="68"/>
      <c r="VI103" s="68"/>
      <c r="VJ103" s="68"/>
      <c r="VK103" s="68"/>
      <c r="VL103" s="68"/>
      <c r="VM103" s="68"/>
      <c r="VN103" s="68"/>
      <c r="VO103" s="68"/>
      <c r="VP103" s="68"/>
      <c r="VQ103" s="68"/>
      <c r="VR103" s="68"/>
      <c r="VS103" s="68"/>
      <c r="VT103" s="68"/>
      <c r="VU103" s="68"/>
      <c r="VV103" s="68"/>
      <c r="VW103" s="68"/>
      <c r="VX103" s="68"/>
      <c r="VY103" s="68"/>
      <c r="VZ103" s="68"/>
      <c r="WA103" s="68"/>
      <c r="WB103" s="68"/>
      <c r="WC103" s="68"/>
      <c r="WD103" s="68"/>
      <c r="WE103" s="68"/>
      <c r="WF103" s="68"/>
      <c r="WG103" s="68"/>
      <c r="WH103" s="68"/>
      <c r="WI103" s="68"/>
      <c r="WJ103" s="68"/>
      <c r="WK103" s="68"/>
      <c r="WL103" s="68"/>
      <c r="WM103" s="68"/>
      <c r="WN103" s="68"/>
      <c r="WO103" s="68"/>
      <c r="WP103" s="68"/>
      <c r="WQ103" s="68"/>
      <c r="WR103" s="68"/>
      <c r="WS103" s="68"/>
      <c r="WT103" s="68"/>
      <c r="WU103" s="68"/>
      <c r="WV103" s="68"/>
      <c r="WW103" s="68"/>
      <c r="WX103" s="68"/>
      <c r="WY103" s="68"/>
      <c r="WZ103" s="68"/>
      <c r="XA103" s="68"/>
      <c r="XB103" s="68"/>
      <c r="XC103" s="68"/>
      <c r="XD103" s="68"/>
      <c r="XE103" s="68"/>
      <c r="XF103" s="68"/>
      <c r="XG103" s="68"/>
      <c r="XH103" s="68"/>
      <c r="XI103" s="68"/>
      <c r="XJ103" s="68"/>
      <c r="XK103" s="68"/>
      <c r="XL103" s="68"/>
      <c r="XM103" s="68"/>
      <c r="XN103" s="68"/>
      <c r="XO103" s="68"/>
      <c r="XP103" s="68"/>
      <c r="XQ103" s="68"/>
      <c r="XR103" s="68"/>
      <c r="XS103" s="68"/>
      <c r="XT103" s="68"/>
      <c r="XU103" s="68"/>
      <c r="XV103" s="68"/>
      <c r="XW103" s="68"/>
      <c r="XX103" s="68"/>
      <c r="XY103" s="68"/>
      <c r="XZ103" s="68"/>
      <c r="YA103" s="68"/>
      <c r="YB103" s="68"/>
      <c r="YC103" s="68"/>
      <c r="YD103" s="68"/>
      <c r="YE103" s="68"/>
      <c r="YF103" s="68"/>
      <c r="YG103" s="68"/>
      <c r="YH103" s="68"/>
      <c r="YI103" s="68"/>
      <c r="YJ103" s="68"/>
      <c r="YK103" s="68"/>
      <c r="YL103" s="68"/>
      <c r="YM103" s="68"/>
      <c r="YN103" s="68"/>
      <c r="YO103" s="68"/>
      <c r="YP103" s="68"/>
      <c r="YQ103" s="68"/>
      <c r="YR103" s="68"/>
      <c r="YS103" s="68"/>
      <c r="YT103" s="68"/>
      <c r="YU103" s="68"/>
      <c r="YV103" s="68"/>
      <c r="YW103" s="68"/>
      <c r="YX103" s="68"/>
      <c r="YY103" s="68"/>
      <c r="YZ103" s="68"/>
      <c r="ZA103" s="68"/>
      <c r="ZB103" s="68"/>
      <c r="ZC103" s="68"/>
      <c r="ZD103" s="68"/>
      <c r="ZE103" s="68"/>
      <c r="ZF103" s="68"/>
      <c r="ZG103" s="68"/>
      <c r="ZH103" s="68"/>
      <c r="ZI103" s="68"/>
      <c r="ZJ103" s="68"/>
      <c r="ZK103" s="68"/>
      <c r="ZL103" s="68"/>
      <c r="ZM103" s="68"/>
      <c r="ZN103" s="68"/>
      <c r="ZO103" s="68"/>
      <c r="ZP103" s="68"/>
      <c r="ZQ103" s="68"/>
      <c r="ZR103" s="68"/>
      <c r="ZS103" s="68"/>
      <c r="ZT103" s="68"/>
      <c r="ZU103" s="68"/>
      <c r="ZV103" s="68"/>
      <c r="ZW103" s="68"/>
      <c r="ZX103" s="68"/>
      <c r="ZY103" s="68"/>
      <c r="ZZ103" s="68"/>
      <c r="AAA103" s="68"/>
      <c r="AAB103" s="68"/>
      <c r="AAC103" s="68"/>
      <c r="AAD103" s="68"/>
      <c r="AAE103" s="68"/>
      <c r="AAF103" s="68"/>
      <c r="AAG103" s="68"/>
      <c r="AAH103" s="68"/>
      <c r="AAI103" s="68"/>
      <c r="AAJ103" s="68"/>
      <c r="AAK103" s="68"/>
      <c r="AAL103" s="68"/>
      <c r="AAM103" s="68"/>
      <c r="AAN103" s="68"/>
      <c r="AAO103" s="68"/>
      <c r="AAP103" s="68"/>
      <c r="AAQ103" s="68"/>
      <c r="AAR103" s="68"/>
      <c r="AAS103" s="68"/>
      <c r="AAT103" s="68"/>
      <c r="AAU103" s="68"/>
      <c r="AAV103" s="68"/>
      <c r="AAW103" s="68"/>
      <c r="AAX103" s="68"/>
      <c r="AAY103" s="68"/>
      <c r="AAZ103" s="68"/>
      <c r="ABA103" s="68"/>
      <c r="ABB103" s="68"/>
      <c r="ABC103" s="68"/>
      <c r="ABD103" s="68"/>
      <c r="ABE103" s="68"/>
      <c r="ABF103" s="68"/>
      <c r="ABG103" s="68"/>
      <c r="ABH103" s="68"/>
      <c r="ABI103" s="68"/>
      <c r="ABJ103" s="68"/>
      <c r="ABK103" s="68"/>
      <c r="ABL103" s="68"/>
      <c r="ABM103" s="68"/>
      <c r="ABN103" s="68"/>
      <c r="ABO103" s="68"/>
      <c r="ABP103" s="68"/>
      <c r="ABQ103" s="68"/>
      <c r="ABR103" s="68"/>
      <c r="ABS103" s="68"/>
      <c r="ABT103" s="68"/>
      <c r="ABU103" s="68"/>
      <c r="ABV103" s="68"/>
      <c r="ABW103" s="68"/>
      <c r="ABX103" s="68"/>
      <c r="ABY103" s="68"/>
      <c r="ABZ103" s="68"/>
      <c r="ACA103" s="68"/>
      <c r="ACB103" s="68"/>
      <c r="ACC103" s="68"/>
      <c r="ACD103" s="68"/>
      <c r="ACE103" s="68"/>
      <c r="ACF103" s="68"/>
      <c r="ACG103" s="68"/>
      <c r="ACH103" s="68"/>
      <c r="ACI103" s="68"/>
      <c r="ACJ103" s="68"/>
      <c r="ACK103" s="68"/>
      <c r="ACL103" s="68"/>
      <c r="ACM103" s="68"/>
      <c r="ACN103" s="68"/>
      <c r="ACO103" s="68"/>
      <c r="ACP103" s="68"/>
      <c r="ACQ103" s="68"/>
      <c r="ACR103" s="68"/>
      <c r="ACS103" s="68"/>
      <c r="ACT103" s="68"/>
      <c r="ACU103" s="68"/>
      <c r="ACV103" s="68"/>
      <c r="ACW103" s="68"/>
      <c r="ACX103" s="68"/>
      <c r="ACY103" s="68"/>
      <c r="ACZ103" s="68"/>
      <c r="ADA103" s="68"/>
      <c r="ADB103" s="68"/>
      <c r="ADC103" s="68"/>
      <c r="ADD103" s="68"/>
      <c r="ADE103" s="68"/>
      <c r="ADF103" s="68"/>
      <c r="ADG103" s="68"/>
      <c r="ADH103" s="68"/>
      <c r="ADI103" s="68"/>
      <c r="ADJ103" s="68"/>
      <c r="ADK103" s="68"/>
      <c r="ADL103" s="68"/>
      <c r="ADM103" s="68"/>
      <c r="ADN103" s="68"/>
      <c r="ADO103" s="68"/>
      <c r="ADP103" s="68"/>
      <c r="ADQ103" s="68"/>
      <c r="ADR103" s="68"/>
      <c r="ADS103" s="68"/>
      <c r="ADT103" s="68"/>
      <c r="ADU103" s="68"/>
      <c r="ADV103" s="68"/>
      <c r="ADW103" s="68"/>
      <c r="ADX103" s="68"/>
      <c r="ADY103" s="68"/>
      <c r="ADZ103" s="68"/>
      <c r="AEA103" s="68"/>
      <c r="AEB103" s="68"/>
      <c r="AEC103" s="68"/>
      <c r="AED103" s="68"/>
      <c r="AEE103" s="68"/>
      <c r="AEF103" s="68"/>
      <c r="AEG103" s="68"/>
      <c r="AEH103" s="68"/>
      <c r="AEI103" s="68"/>
      <c r="AEJ103" s="68"/>
      <c r="AEK103" s="68"/>
      <c r="AEL103" s="68"/>
      <c r="AEM103" s="68"/>
      <c r="AEN103" s="68"/>
      <c r="AEO103" s="68"/>
      <c r="AEP103" s="68"/>
      <c r="AEQ103" s="68"/>
      <c r="AER103" s="68"/>
      <c r="AES103" s="68"/>
      <c r="AET103" s="68"/>
      <c r="AEU103" s="68"/>
      <c r="AEV103" s="68"/>
      <c r="AEW103" s="68"/>
      <c r="AEX103" s="68"/>
      <c r="AEY103" s="68"/>
      <c r="AEZ103" s="68"/>
      <c r="AFA103" s="68"/>
      <c r="AFB103" s="68"/>
      <c r="AFC103" s="68"/>
      <c r="AFD103" s="68"/>
      <c r="AFE103" s="68"/>
      <c r="AFF103" s="68"/>
      <c r="AFG103" s="68"/>
      <c r="AFH103" s="68"/>
      <c r="AFI103" s="68"/>
      <c r="AFJ103" s="68"/>
      <c r="AFK103" s="68"/>
      <c r="AFL103" s="68"/>
      <c r="AFM103" s="68"/>
      <c r="AFN103" s="68"/>
      <c r="AFO103" s="68"/>
      <c r="AFP103" s="68"/>
      <c r="AFQ103" s="68"/>
      <c r="AFR103" s="68"/>
      <c r="AFS103" s="68"/>
      <c r="AFT103" s="68"/>
      <c r="AFU103" s="68"/>
      <c r="AFV103" s="68"/>
      <c r="AFW103" s="68"/>
      <c r="AFX103" s="68"/>
      <c r="AFY103" s="68"/>
      <c r="AFZ103" s="68"/>
      <c r="AGA103" s="68"/>
      <c r="AGB103" s="68"/>
      <c r="AGC103" s="68"/>
      <c r="AGD103" s="68"/>
      <c r="AGE103" s="68"/>
      <c r="AGF103" s="68"/>
      <c r="AGG103" s="68"/>
      <c r="AGH103" s="68"/>
      <c r="AGI103" s="68"/>
      <c r="AGJ103" s="68"/>
      <c r="AGK103" s="68"/>
      <c r="AGL103" s="68"/>
      <c r="AGM103" s="68"/>
      <c r="AGN103" s="68"/>
      <c r="AGO103" s="68"/>
      <c r="AGP103" s="68"/>
      <c r="AGQ103" s="68"/>
      <c r="AGR103" s="68"/>
      <c r="AGS103" s="68"/>
      <c r="AGT103" s="68"/>
      <c r="AGU103" s="68"/>
      <c r="AGV103" s="68"/>
      <c r="AGW103" s="68"/>
      <c r="AGX103" s="68"/>
      <c r="AGY103" s="68"/>
      <c r="AGZ103" s="68"/>
      <c r="AHA103" s="68"/>
      <c r="AHB103" s="68"/>
      <c r="AHC103" s="68"/>
      <c r="AHD103" s="68"/>
      <c r="AHE103" s="68"/>
      <c r="AHF103" s="68"/>
      <c r="AHG103" s="68"/>
      <c r="AHH103" s="68"/>
      <c r="AHI103" s="68"/>
      <c r="AHJ103" s="68"/>
      <c r="AHK103" s="68"/>
      <c r="AHL103" s="68"/>
      <c r="AHM103" s="68"/>
      <c r="AHN103" s="68"/>
      <c r="AHO103" s="68"/>
      <c r="AHP103" s="68"/>
      <c r="AHQ103" s="68"/>
      <c r="AHR103" s="68"/>
      <c r="AHS103" s="68"/>
      <c r="AHT103" s="68"/>
      <c r="AHU103" s="68"/>
      <c r="AHV103" s="68"/>
      <c r="AHW103" s="68"/>
      <c r="AHX103" s="68"/>
      <c r="AHY103" s="68"/>
      <c r="AHZ103" s="68"/>
      <c r="AIA103" s="68"/>
      <c r="AIB103" s="68"/>
      <c r="AIC103" s="68"/>
      <c r="AID103" s="68"/>
      <c r="AIE103" s="68"/>
      <c r="AIF103" s="68"/>
      <c r="AIG103" s="68"/>
      <c r="AIH103" s="68"/>
      <c r="AII103" s="68"/>
      <c r="AIJ103" s="68"/>
      <c r="AIK103" s="68"/>
      <c r="AIL103" s="68"/>
      <c r="AIM103" s="68"/>
      <c r="AIN103" s="68"/>
      <c r="AIO103" s="68"/>
      <c r="AIP103" s="68"/>
      <c r="AIQ103" s="68"/>
      <c r="AIR103" s="68"/>
      <c r="AIS103" s="68"/>
      <c r="AIT103" s="68"/>
      <c r="AIU103" s="68"/>
      <c r="AIV103" s="68"/>
      <c r="AIW103" s="68"/>
      <c r="AIX103" s="68"/>
      <c r="AIY103" s="68"/>
      <c r="AIZ103" s="68"/>
      <c r="AJA103" s="68"/>
      <c r="AJB103" s="68"/>
      <c r="AJC103" s="68"/>
      <c r="AJD103" s="68"/>
      <c r="AJE103" s="68"/>
      <c r="AJF103" s="68"/>
      <c r="AJG103" s="68"/>
      <c r="AJH103" s="68"/>
      <c r="AJI103" s="68"/>
      <c r="AJJ103" s="68"/>
      <c r="AJK103" s="68"/>
      <c r="AJL103" s="68"/>
      <c r="AJM103" s="68"/>
      <c r="AJN103" s="68"/>
      <c r="AJO103" s="68"/>
      <c r="AJP103" s="68"/>
      <c r="AJQ103" s="68"/>
      <c r="AJR103" s="68"/>
      <c r="AJS103" s="68"/>
      <c r="AJT103" s="68"/>
      <c r="AJU103" s="68"/>
      <c r="AJV103" s="68"/>
      <c r="AJW103" s="68"/>
      <c r="AJX103" s="68"/>
      <c r="AJY103" s="68"/>
      <c r="AJZ103" s="68"/>
      <c r="AKA103" s="68"/>
      <c r="AKB103" s="68"/>
      <c r="AKC103" s="68"/>
      <c r="AKD103" s="68"/>
      <c r="AKE103" s="68"/>
      <c r="AKF103" s="68"/>
      <c r="AKG103" s="68"/>
      <c r="AKH103" s="68"/>
      <c r="AKI103" s="68"/>
      <c r="AKJ103" s="68"/>
      <c r="AKK103" s="68"/>
      <c r="AKL103" s="68"/>
      <c r="AKM103" s="68"/>
      <c r="AKN103" s="68"/>
      <c r="AKO103" s="68"/>
      <c r="AKP103" s="68"/>
      <c r="AKQ103" s="68"/>
      <c r="AKR103" s="68"/>
      <c r="AKS103" s="68"/>
      <c r="AKT103" s="68"/>
      <c r="AKU103" s="68"/>
      <c r="AKV103" s="68"/>
      <c r="AKW103" s="68"/>
      <c r="AKX103" s="68"/>
      <c r="AKY103" s="68"/>
      <c r="AKZ103" s="68"/>
      <c r="ALA103" s="68"/>
      <c r="ALB103" s="68"/>
      <c r="ALC103" s="68"/>
      <c r="ALD103" s="68"/>
      <c r="ALE103" s="68"/>
      <c r="ALF103" s="68"/>
      <c r="ALG103" s="68"/>
      <c r="ALH103" s="68"/>
      <c r="ALI103" s="68"/>
      <c r="ALJ103" s="68"/>
      <c r="ALK103" s="68"/>
      <c r="ALL103" s="68"/>
      <c r="ALM103" s="68"/>
      <c r="ALN103" s="68"/>
      <c r="ALO103" s="68"/>
      <c r="ALP103" s="68"/>
      <c r="ALQ103" s="68"/>
      <c r="ALR103" s="68"/>
      <c r="ALS103" s="68"/>
      <c r="ALT103" s="68"/>
      <c r="ALU103" s="68"/>
      <c r="ALV103" s="68"/>
      <c r="ALW103" s="68"/>
      <c r="ALX103" s="68"/>
      <c r="ALY103" s="68"/>
      <c r="ALZ103" s="68"/>
      <c r="AMA103" s="68"/>
      <c r="AMB103" s="68"/>
      <c r="AMC103" s="68"/>
      <c r="AMD103" s="68"/>
      <c r="AME103" s="68"/>
      <c r="AMF103" s="68"/>
      <c r="AMG103" s="68"/>
      <c r="AMH103" s="68"/>
      <c r="AMI103" s="68"/>
      <c r="AMJ103" s="68"/>
      <c r="AMK103" s="68"/>
      <c r="AML103" s="68"/>
      <c r="AMM103" s="68"/>
      <c r="AMN103" s="68"/>
      <c r="AMO103" s="68"/>
      <c r="AMP103" s="68"/>
      <c r="AMQ103" s="68"/>
      <c r="AMR103" s="68"/>
      <c r="AMS103" s="68"/>
      <c r="AMT103" s="68"/>
      <c r="AMU103" s="68"/>
      <c r="AMV103" s="68"/>
      <c r="AMW103" s="68"/>
      <c r="AMX103" s="68"/>
      <c r="AMY103" s="68"/>
      <c r="AMZ103" s="68"/>
      <c r="ANA103" s="68"/>
      <c r="ANB103" s="68"/>
      <c r="ANC103" s="68"/>
      <c r="AND103" s="68"/>
      <c r="ANE103" s="68"/>
      <c r="ANF103" s="68"/>
      <c r="ANG103" s="68"/>
      <c r="ANH103" s="68"/>
      <c r="ANI103" s="68"/>
      <c r="ANJ103" s="68"/>
      <c r="ANK103" s="68"/>
      <c r="ANL103" s="68"/>
      <c r="ANM103" s="68"/>
      <c r="ANN103" s="68"/>
      <c r="ANO103" s="68"/>
      <c r="ANP103" s="68"/>
      <c r="ANQ103" s="68"/>
      <c r="ANR103" s="68"/>
      <c r="ANS103" s="68"/>
      <c r="ANT103" s="68"/>
      <c r="ANU103" s="68"/>
      <c r="ANV103" s="68"/>
      <c r="ANW103" s="68"/>
      <c r="ANX103" s="68"/>
      <c r="ANY103" s="68"/>
      <c r="ANZ103" s="68"/>
      <c r="AOA103" s="68"/>
      <c r="AOB103" s="68"/>
      <c r="AOC103" s="68"/>
      <c r="AOD103" s="68"/>
      <c r="AOE103" s="68"/>
      <c r="AOF103" s="68"/>
      <c r="AOG103" s="68"/>
      <c r="AOH103" s="68"/>
      <c r="AOI103" s="68"/>
      <c r="AOJ103" s="68"/>
      <c r="AOK103" s="68"/>
      <c r="AOL103" s="68"/>
      <c r="AOM103" s="68"/>
      <c r="AON103" s="68"/>
      <c r="AOO103" s="68"/>
      <c r="AOP103" s="68"/>
      <c r="AOQ103" s="68"/>
      <c r="AOR103" s="68"/>
      <c r="AOS103" s="68"/>
      <c r="AOT103" s="68"/>
      <c r="AOU103" s="68"/>
      <c r="AOV103" s="68"/>
      <c r="AOW103" s="68"/>
      <c r="AOX103" s="68"/>
      <c r="AOY103" s="68"/>
      <c r="AOZ103" s="68"/>
      <c r="APA103" s="68"/>
      <c r="APB103" s="68"/>
      <c r="APC103" s="68"/>
      <c r="APD103" s="68"/>
      <c r="APE103" s="68"/>
      <c r="APF103" s="68"/>
      <c r="APG103" s="68"/>
      <c r="APH103" s="68"/>
      <c r="API103" s="68"/>
      <c r="APJ103" s="68"/>
      <c r="APK103" s="68"/>
      <c r="APL103" s="68"/>
      <c r="APM103" s="68"/>
      <c r="APN103" s="68"/>
      <c r="APO103" s="68"/>
      <c r="APP103" s="68"/>
      <c r="APQ103" s="68"/>
      <c r="APR103" s="68"/>
      <c r="APS103" s="68"/>
      <c r="APT103" s="68"/>
      <c r="APU103" s="68"/>
      <c r="APV103" s="68"/>
      <c r="APW103" s="68"/>
      <c r="APX103" s="68"/>
      <c r="APY103" s="68"/>
      <c r="APZ103" s="68"/>
      <c r="AQA103" s="68"/>
      <c r="AQB103" s="68"/>
      <c r="AQC103" s="68"/>
      <c r="AQD103" s="68"/>
      <c r="AQE103" s="68"/>
      <c r="AQF103" s="68"/>
      <c r="AQG103" s="68"/>
      <c r="AQH103" s="68"/>
      <c r="AQI103" s="68"/>
      <c r="AQJ103" s="68"/>
      <c r="AQK103" s="68"/>
      <c r="AQL103" s="68"/>
      <c r="AQM103" s="68"/>
      <c r="AQN103" s="68"/>
      <c r="AQO103" s="68"/>
      <c r="AQP103" s="68"/>
      <c r="AQQ103" s="68"/>
      <c r="AQR103" s="68"/>
      <c r="AQS103" s="68"/>
      <c r="AQT103" s="68"/>
      <c r="AQU103" s="68"/>
      <c r="AQV103" s="68"/>
      <c r="AQW103" s="68"/>
      <c r="AQX103" s="68"/>
      <c r="AQY103" s="68"/>
      <c r="AQZ103" s="68"/>
      <c r="ARA103" s="68"/>
      <c r="ARB103" s="68"/>
      <c r="ARC103" s="68"/>
      <c r="ARD103" s="68"/>
      <c r="ARE103" s="68"/>
      <c r="ARF103" s="68"/>
      <c r="ARG103" s="68"/>
      <c r="ARH103" s="68"/>
      <c r="ARI103" s="68"/>
      <c r="ARJ103" s="68"/>
      <c r="ARK103" s="68"/>
      <c r="ARL103" s="68"/>
      <c r="ARM103" s="68"/>
      <c r="ARN103" s="68"/>
      <c r="ARO103" s="68"/>
      <c r="ARP103" s="68"/>
      <c r="ARQ103" s="68"/>
      <c r="ARR103" s="68"/>
      <c r="ARS103" s="68"/>
      <c r="ART103" s="68"/>
      <c r="ARU103" s="68"/>
      <c r="ARV103" s="68"/>
      <c r="ARW103" s="68"/>
      <c r="ARX103" s="68"/>
      <c r="ARY103" s="68"/>
      <c r="ARZ103" s="68"/>
      <c r="ASA103" s="68"/>
      <c r="ASB103" s="68"/>
      <c r="ASC103" s="68"/>
      <c r="ASD103" s="68"/>
      <c r="ASE103" s="68"/>
      <c r="ASF103" s="68"/>
      <c r="ASG103" s="68"/>
      <c r="ASH103" s="68"/>
      <c r="ASI103" s="68"/>
      <c r="ASJ103" s="68"/>
      <c r="ASK103" s="68"/>
      <c r="ASL103" s="68"/>
      <c r="ASM103" s="68"/>
      <c r="ASN103" s="68"/>
      <c r="ASO103" s="68"/>
      <c r="ASP103" s="68"/>
      <c r="ASQ103" s="68"/>
      <c r="ASR103" s="68"/>
      <c r="ASS103" s="68"/>
      <c r="AST103" s="68"/>
      <c r="ASU103" s="68"/>
      <c r="ASV103" s="68"/>
      <c r="ASW103" s="68"/>
      <c r="ASX103" s="68"/>
      <c r="ASY103" s="68"/>
      <c r="ASZ103" s="68"/>
      <c r="ATA103" s="68"/>
      <c r="ATB103" s="68"/>
      <c r="ATC103" s="68"/>
      <c r="ATD103" s="68"/>
      <c r="ATE103" s="68"/>
      <c r="ATF103" s="68"/>
      <c r="ATG103" s="68"/>
      <c r="ATH103" s="68"/>
      <c r="ATI103" s="68"/>
      <c r="ATJ103" s="68"/>
      <c r="ATK103" s="68"/>
      <c r="ATL103" s="68"/>
      <c r="ATM103" s="68"/>
      <c r="ATN103" s="68"/>
      <c r="ATO103" s="68"/>
      <c r="ATP103" s="68"/>
      <c r="ATQ103" s="68"/>
      <c r="ATR103" s="68"/>
      <c r="ATS103" s="68"/>
      <c r="ATT103" s="68"/>
      <c r="ATU103" s="68"/>
      <c r="ATV103" s="68"/>
      <c r="ATW103" s="68"/>
      <c r="ATX103" s="68"/>
      <c r="ATY103" s="68"/>
      <c r="ATZ103" s="68"/>
      <c r="AUA103" s="68"/>
      <c r="AUB103" s="68"/>
      <c r="AUC103" s="68"/>
      <c r="AUD103" s="68"/>
      <c r="AUE103" s="68"/>
      <c r="AUF103" s="68"/>
      <c r="AUG103" s="68"/>
      <c r="AUH103" s="68"/>
      <c r="AUI103" s="68"/>
      <c r="AUJ103" s="68"/>
      <c r="AUK103" s="68"/>
      <c r="AUL103" s="68"/>
      <c r="AUM103" s="68"/>
      <c r="AUN103" s="68"/>
      <c r="AUO103" s="68"/>
      <c r="AUP103" s="68"/>
      <c r="AUQ103" s="68"/>
      <c r="AUR103" s="68"/>
      <c r="AUS103" s="68"/>
      <c r="AUT103" s="68"/>
      <c r="AUU103" s="68"/>
      <c r="AUV103" s="68"/>
      <c r="AUW103" s="68"/>
      <c r="AUX103" s="68"/>
      <c r="AUY103" s="68"/>
      <c r="AUZ103" s="68"/>
      <c r="AVA103" s="68"/>
      <c r="AVB103" s="68"/>
      <c r="AVC103" s="68"/>
      <c r="AVD103" s="68"/>
      <c r="AVE103" s="68"/>
      <c r="AVF103" s="68"/>
      <c r="AVG103" s="68"/>
      <c r="AVH103" s="68"/>
      <c r="AVI103" s="68"/>
      <c r="AVJ103" s="68"/>
      <c r="AVK103" s="68"/>
      <c r="AVL103" s="68"/>
      <c r="AVM103" s="68"/>
      <c r="AVN103" s="68"/>
      <c r="AVO103" s="68"/>
      <c r="AVP103" s="68"/>
      <c r="AVQ103" s="68"/>
      <c r="AVR103" s="68"/>
      <c r="AVS103" s="68"/>
      <c r="AVT103" s="68"/>
      <c r="AVU103" s="68"/>
      <c r="AVV103" s="68"/>
      <c r="AVW103" s="68"/>
      <c r="AVX103" s="68"/>
      <c r="AVY103" s="68"/>
      <c r="AVZ103" s="68"/>
      <c r="AWA103" s="68"/>
      <c r="AWB103" s="68"/>
      <c r="AWC103" s="68"/>
      <c r="AWD103" s="68"/>
      <c r="AWE103" s="68"/>
      <c r="AWF103" s="68"/>
      <c r="AWG103" s="68"/>
      <c r="AWH103" s="68"/>
      <c r="AWI103" s="68"/>
      <c r="AWJ103" s="68"/>
      <c r="AWK103" s="68"/>
      <c r="AWL103" s="68"/>
      <c r="AWM103" s="68"/>
      <c r="AWN103" s="68"/>
      <c r="AWO103" s="68"/>
      <c r="AWP103" s="68"/>
      <c r="AWQ103" s="68"/>
      <c r="AWR103" s="68"/>
      <c r="AWS103" s="68"/>
      <c r="AWT103" s="68"/>
      <c r="AWU103" s="68"/>
      <c r="AWV103" s="68"/>
      <c r="AWW103" s="68"/>
      <c r="AWX103" s="68"/>
      <c r="AWY103" s="68"/>
      <c r="AWZ103" s="68"/>
      <c r="AXA103" s="68"/>
      <c r="AXB103" s="68"/>
      <c r="AXC103" s="68"/>
      <c r="AXD103" s="68"/>
      <c r="AXE103" s="68"/>
      <c r="AXF103" s="68"/>
      <c r="AXG103" s="68"/>
      <c r="AXH103" s="68"/>
      <c r="AXI103" s="68"/>
      <c r="AXJ103" s="68"/>
      <c r="AXK103" s="68"/>
      <c r="AXL103" s="68"/>
      <c r="AXM103" s="68"/>
      <c r="AXN103" s="68"/>
      <c r="AXO103" s="68"/>
      <c r="AXP103" s="68"/>
      <c r="AXQ103" s="68"/>
      <c r="AXR103" s="68"/>
      <c r="AXS103" s="68"/>
      <c r="AXT103" s="68"/>
      <c r="AXU103" s="68"/>
      <c r="AXV103" s="68"/>
      <c r="AXW103" s="68"/>
      <c r="AXX103" s="68"/>
      <c r="AXY103" s="68"/>
      <c r="AXZ103" s="68"/>
      <c r="AYA103" s="68"/>
      <c r="AYB103" s="68"/>
      <c r="AYC103" s="68"/>
      <c r="AYD103" s="68"/>
      <c r="AYE103" s="68"/>
      <c r="AYF103" s="68"/>
      <c r="AYG103" s="68"/>
      <c r="AYH103" s="68"/>
      <c r="AYI103" s="68"/>
      <c r="AYJ103" s="68"/>
      <c r="AYK103" s="68"/>
      <c r="AYL103" s="68"/>
      <c r="AYM103" s="68"/>
      <c r="AYN103" s="68"/>
      <c r="AYO103" s="68"/>
      <c r="AYP103" s="68"/>
      <c r="AYQ103" s="68"/>
      <c r="AYR103" s="68"/>
      <c r="AYS103" s="68"/>
      <c r="AYT103" s="68"/>
      <c r="AYU103" s="68"/>
      <c r="AYV103" s="68"/>
      <c r="AYW103" s="68"/>
      <c r="AYX103" s="68"/>
      <c r="AYY103" s="68"/>
      <c r="AYZ103" s="68"/>
      <c r="AZA103" s="68"/>
      <c r="AZB103" s="68"/>
      <c r="AZC103" s="68"/>
      <c r="AZD103" s="68"/>
      <c r="AZE103" s="68"/>
      <c r="AZF103" s="68"/>
      <c r="AZG103" s="68"/>
      <c r="AZH103" s="68"/>
      <c r="AZI103" s="68"/>
      <c r="AZJ103" s="68"/>
      <c r="AZK103" s="68"/>
      <c r="AZL103" s="68"/>
      <c r="AZM103" s="68"/>
      <c r="AZN103" s="68"/>
      <c r="AZO103" s="68"/>
      <c r="AZP103" s="68"/>
      <c r="AZQ103" s="68"/>
      <c r="AZR103" s="68"/>
      <c r="AZS103" s="68"/>
      <c r="AZT103" s="68"/>
      <c r="AZU103" s="68"/>
      <c r="AZV103" s="68"/>
      <c r="AZW103" s="68"/>
      <c r="AZX103" s="68"/>
      <c r="AZY103" s="68"/>
      <c r="AZZ103" s="68"/>
      <c r="BAA103" s="68"/>
      <c r="BAB103" s="68"/>
      <c r="BAC103" s="68"/>
      <c r="BAD103" s="68"/>
      <c r="BAE103" s="68"/>
      <c r="BAF103" s="68"/>
      <c r="BAG103" s="68"/>
      <c r="BAH103" s="68"/>
      <c r="BAI103" s="68"/>
      <c r="BAJ103" s="68"/>
      <c r="BAK103" s="68"/>
      <c r="BAL103" s="68"/>
      <c r="BAM103" s="68"/>
      <c r="BAN103" s="68"/>
      <c r="BAO103" s="68"/>
      <c r="BAP103" s="68"/>
      <c r="BAQ103" s="68"/>
      <c r="BAR103" s="68"/>
      <c r="BAS103" s="68"/>
      <c r="BAT103" s="68"/>
      <c r="BAU103" s="68"/>
      <c r="BAV103" s="68"/>
      <c r="BAW103" s="68"/>
      <c r="BAX103" s="68"/>
      <c r="BAY103" s="68"/>
      <c r="BAZ103" s="68"/>
      <c r="BBA103" s="68"/>
      <c r="BBB103" s="68"/>
      <c r="BBC103" s="68"/>
      <c r="BBD103" s="68"/>
      <c r="BBE103" s="68"/>
      <c r="BBF103" s="68"/>
      <c r="BBG103" s="68"/>
      <c r="BBH103" s="68"/>
      <c r="BBI103" s="68"/>
      <c r="BBJ103" s="68"/>
      <c r="BBK103" s="68"/>
      <c r="BBL103" s="68"/>
      <c r="BBM103" s="68"/>
      <c r="BBN103" s="68"/>
      <c r="BBO103" s="68"/>
      <c r="BBP103" s="68"/>
      <c r="BBQ103" s="68"/>
      <c r="BBR103" s="68"/>
      <c r="BBS103" s="68"/>
      <c r="BBT103" s="68"/>
      <c r="BBU103" s="68"/>
      <c r="BBV103" s="68"/>
      <c r="BBW103" s="68"/>
      <c r="BBX103" s="68"/>
      <c r="BBY103" s="68"/>
      <c r="BBZ103" s="68"/>
      <c r="BCA103" s="68"/>
      <c r="BCB103" s="68"/>
      <c r="BCC103" s="68"/>
      <c r="BCD103" s="68"/>
      <c r="BCE103" s="68"/>
      <c r="BCF103" s="68"/>
      <c r="BCG103" s="68"/>
      <c r="BCH103" s="68"/>
      <c r="BCI103" s="68"/>
      <c r="BCJ103" s="68"/>
      <c r="BCK103" s="68"/>
      <c r="BCL103" s="68"/>
      <c r="BCM103" s="68"/>
      <c r="BCN103" s="68"/>
      <c r="BCO103" s="68"/>
      <c r="BCP103" s="68"/>
      <c r="BCQ103" s="68"/>
      <c r="BCR103" s="68"/>
      <c r="BCS103" s="68"/>
      <c r="BCT103" s="68"/>
      <c r="BCU103" s="68"/>
      <c r="BCV103" s="68"/>
      <c r="BCW103" s="68"/>
      <c r="BCX103" s="68"/>
      <c r="BCY103" s="68"/>
      <c r="BCZ103" s="68"/>
      <c r="BDA103" s="68"/>
    </row>
    <row r="104" spans="1:1457" s="67" customFormat="1" ht="51" customHeight="1" x14ac:dyDescent="0.25">
      <c r="A104" s="49">
        <v>22</v>
      </c>
      <c r="B104" s="71" t="s">
        <v>140</v>
      </c>
      <c r="C104" s="71" t="s">
        <v>141</v>
      </c>
      <c r="D104" s="71" t="s">
        <v>708</v>
      </c>
      <c r="E104" s="71" t="s">
        <v>709</v>
      </c>
      <c r="F104" s="51">
        <v>18021550</v>
      </c>
      <c r="G104" s="70" t="s">
        <v>575</v>
      </c>
      <c r="H104" s="42" t="s">
        <v>668</v>
      </c>
      <c r="I104" s="71" t="s">
        <v>126</v>
      </c>
      <c r="J104" s="71"/>
      <c r="K104" s="69" t="s">
        <v>521</v>
      </c>
      <c r="L104" s="69" t="s">
        <v>520</v>
      </c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8"/>
      <c r="BU104" s="68"/>
      <c r="BV104" s="68"/>
      <c r="BW104" s="68"/>
      <c r="BX104" s="68"/>
      <c r="BY104" s="68"/>
      <c r="BZ104" s="68"/>
      <c r="CA104" s="68"/>
      <c r="CB104" s="68"/>
      <c r="CC104" s="68"/>
      <c r="CD104" s="68"/>
      <c r="CE104" s="68"/>
      <c r="CF104" s="68"/>
      <c r="CG104" s="68"/>
      <c r="CH104" s="68"/>
      <c r="CI104" s="68"/>
      <c r="CJ104" s="68"/>
      <c r="CK104" s="68"/>
      <c r="CL104" s="68"/>
      <c r="CM104" s="68"/>
      <c r="CN104" s="68"/>
      <c r="CO104" s="68"/>
      <c r="CP104" s="68"/>
      <c r="CQ104" s="68"/>
      <c r="CR104" s="68"/>
      <c r="CS104" s="68"/>
      <c r="CT104" s="68"/>
      <c r="CU104" s="68"/>
      <c r="CV104" s="68"/>
      <c r="CW104" s="68"/>
      <c r="CX104" s="68"/>
      <c r="CY104" s="68"/>
      <c r="CZ104" s="68"/>
      <c r="DA104" s="68"/>
      <c r="DB104" s="68"/>
      <c r="DC104" s="68"/>
      <c r="DD104" s="68"/>
      <c r="DE104" s="68"/>
      <c r="DF104" s="68"/>
      <c r="DG104" s="68"/>
      <c r="DH104" s="68"/>
      <c r="DI104" s="68"/>
      <c r="DJ104" s="68"/>
      <c r="DK104" s="68"/>
      <c r="DL104" s="68"/>
      <c r="DM104" s="68"/>
      <c r="DN104" s="68"/>
      <c r="DO104" s="68"/>
      <c r="DP104" s="68"/>
      <c r="DQ104" s="68"/>
      <c r="DR104" s="68"/>
      <c r="DS104" s="68"/>
      <c r="DT104" s="68"/>
      <c r="DU104" s="68"/>
      <c r="DV104" s="68"/>
      <c r="DW104" s="68"/>
      <c r="DX104" s="68"/>
      <c r="DY104" s="68"/>
      <c r="DZ104" s="68"/>
      <c r="EA104" s="68"/>
      <c r="EB104" s="68"/>
      <c r="EC104" s="68"/>
      <c r="ED104" s="68"/>
      <c r="EE104" s="68"/>
      <c r="EF104" s="68"/>
      <c r="EG104" s="68"/>
      <c r="EH104" s="68"/>
      <c r="EI104" s="68"/>
      <c r="EJ104" s="68"/>
      <c r="EK104" s="68"/>
      <c r="EL104" s="68"/>
      <c r="EM104" s="68"/>
      <c r="EN104" s="68"/>
      <c r="EO104" s="68"/>
      <c r="EP104" s="68"/>
      <c r="EQ104" s="68"/>
      <c r="ER104" s="68"/>
      <c r="ES104" s="68"/>
      <c r="ET104" s="68"/>
      <c r="EU104" s="68"/>
      <c r="EV104" s="68"/>
      <c r="EW104" s="68"/>
      <c r="EX104" s="68"/>
      <c r="EY104" s="68"/>
      <c r="EZ104" s="68"/>
      <c r="FA104" s="68"/>
      <c r="FB104" s="68"/>
      <c r="FC104" s="68"/>
      <c r="FD104" s="68"/>
      <c r="FE104" s="68"/>
      <c r="FF104" s="68"/>
      <c r="FG104" s="68"/>
      <c r="FH104" s="68"/>
      <c r="FI104" s="68"/>
      <c r="FJ104" s="68"/>
      <c r="FK104" s="68"/>
      <c r="FL104" s="68"/>
      <c r="FM104" s="68"/>
      <c r="FN104" s="68"/>
      <c r="FO104" s="68"/>
      <c r="FP104" s="68"/>
      <c r="FQ104" s="68"/>
      <c r="FR104" s="68"/>
      <c r="FS104" s="68"/>
      <c r="FT104" s="68"/>
      <c r="FU104" s="68"/>
      <c r="FV104" s="68"/>
      <c r="FW104" s="68"/>
      <c r="FX104" s="68"/>
      <c r="FY104" s="68"/>
      <c r="FZ104" s="68"/>
      <c r="GA104" s="68"/>
      <c r="GB104" s="68"/>
      <c r="GC104" s="68"/>
      <c r="GD104" s="68"/>
      <c r="GE104" s="68"/>
      <c r="GF104" s="68"/>
      <c r="GG104" s="68"/>
      <c r="GH104" s="68"/>
      <c r="GI104" s="68"/>
      <c r="GJ104" s="68"/>
      <c r="GK104" s="68"/>
      <c r="GL104" s="68"/>
      <c r="GM104" s="68"/>
      <c r="GN104" s="68"/>
      <c r="GO104" s="68"/>
      <c r="GP104" s="68"/>
      <c r="GQ104" s="68"/>
      <c r="GR104" s="68"/>
      <c r="GS104" s="68"/>
      <c r="GT104" s="68"/>
      <c r="GU104" s="68"/>
      <c r="GV104" s="68"/>
      <c r="GW104" s="68"/>
      <c r="GX104" s="68"/>
      <c r="GY104" s="68"/>
      <c r="GZ104" s="68"/>
      <c r="HA104" s="68"/>
      <c r="HB104" s="68"/>
      <c r="HC104" s="68"/>
      <c r="HD104" s="68"/>
      <c r="HE104" s="68"/>
      <c r="HF104" s="68"/>
      <c r="HG104" s="68"/>
      <c r="HH104" s="68"/>
      <c r="HI104" s="68"/>
      <c r="HJ104" s="68"/>
      <c r="HK104" s="68"/>
      <c r="HL104" s="68"/>
      <c r="HM104" s="68"/>
      <c r="HN104" s="68"/>
      <c r="HO104" s="68"/>
      <c r="HP104" s="68"/>
      <c r="HQ104" s="68"/>
      <c r="HR104" s="68"/>
      <c r="HS104" s="68"/>
      <c r="HT104" s="68"/>
      <c r="HU104" s="68"/>
      <c r="HV104" s="68"/>
      <c r="HW104" s="68"/>
      <c r="HX104" s="68"/>
      <c r="HY104" s="68"/>
      <c r="HZ104" s="68"/>
      <c r="IA104" s="68"/>
      <c r="IB104" s="68"/>
      <c r="IC104" s="68"/>
      <c r="ID104" s="68"/>
      <c r="IE104" s="68"/>
      <c r="IF104" s="68"/>
      <c r="IG104" s="68"/>
      <c r="IH104" s="68"/>
      <c r="II104" s="68"/>
      <c r="IJ104" s="68"/>
      <c r="IK104" s="68"/>
      <c r="IL104" s="68"/>
      <c r="IM104" s="68"/>
      <c r="IN104" s="68"/>
      <c r="IO104" s="68"/>
      <c r="IP104" s="68"/>
      <c r="IQ104" s="68"/>
      <c r="IR104" s="68"/>
      <c r="IS104" s="68"/>
      <c r="IT104" s="68"/>
      <c r="IU104" s="68"/>
      <c r="IV104" s="68"/>
      <c r="IW104" s="68"/>
      <c r="IX104" s="68"/>
      <c r="IY104" s="68"/>
      <c r="IZ104" s="68"/>
      <c r="JA104" s="68"/>
      <c r="JB104" s="68"/>
      <c r="JC104" s="68"/>
      <c r="JD104" s="68"/>
      <c r="JE104" s="68"/>
      <c r="JF104" s="68"/>
      <c r="JG104" s="68"/>
      <c r="JH104" s="68"/>
      <c r="JI104" s="68"/>
      <c r="JJ104" s="68"/>
      <c r="JK104" s="68"/>
      <c r="JL104" s="68"/>
      <c r="JM104" s="68"/>
      <c r="JN104" s="68"/>
      <c r="JO104" s="68"/>
      <c r="JP104" s="68"/>
      <c r="JQ104" s="68"/>
      <c r="JR104" s="68"/>
      <c r="JS104" s="68"/>
      <c r="JT104" s="68"/>
      <c r="JU104" s="68"/>
      <c r="JV104" s="68"/>
      <c r="JW104" s="68"/>
      <c r="JX104" s="68"/>
      <c r="JY104" s="68"/>
      <c r="JZ104" s="68"/>
      <c r="KA104" s="68"/>
      <c r="KB104" s="68"/>
      <c r="KC104" s="68"/>
      <c r="KD104" s="68"/>
      <c r="KE104" s="68"/>
      <c r="KF104" s="68"/>
      <c r="KG104" s="68"/>
      <c r="KH104" s="68"/>
      <c r="KI104" s="68"/>
      <c r="KJ104" s="68"/>
      <c r="KK104" s="68"/>
      <c r="KL104" s="68"/>
      <c r="KM104" s="68"/>
      <c r="KN104" s="68"/>
      <c r="KO104" s="68"/>
      <c r="KP104" s="68"/>
      <c r="KQ104" s="68"/>
      <c r="KR104" s="68"/>
      <c r="KS104" s="68"/>
      <c r="KT104" s="68"/>
      <c r="KU104" s="68"/>
      <c r="KV104" s="68"/>
      <c r="KW104" s="68"/>
      <c r="KX104" s="68"/>
      <c r="KY104" s="68"/>
      <c r="KZ104" s="68"/>
      <c r="LA104" s="68"/>
      <c r="LB104" s="68"/>
      <c r="LC104" s="68"/>
      <c r="LD104" s="68"/>
      <c r="LE104" s="68"/>
      <c r="LF104" s="68"/>
      <c r="LG104" s="68"/>
      <c r="LH104" s="68"/>
      <c r="LI104" s="68"/>
      <c r="LJ104" s="68"/>
      <c r="LK104" s="68"/>
      <c r="LL104" s="68"/>
      <c r="LM104" s="68"/>
      <c r="LN104" s="68"/>
      <c r="LO104" s="68"/>
      <c r="LP104" s="68"/>
      <c r="LQ104" s="68"/>
      <c r="LR104" s="68"/>
      <c r="LS104" s="68"/>
      <c r="LT104" s="68"/>
      <c r="LU104" s="68"/>
      <c r="LV104" s="68"/>
      <c r="LW104" s="68"/>
      <c r="LX104" s="68"/>
      <c r="LY104" s="68"/>
      <c r="LZ104" s="68"/>
      <c r="MA104" s="68"/>
      <c r="MB104" s="68"/>
      <c r="MC104" s="68"/>
      <c r="MD104" s="68"/>
      <c r="ME104" s="68"/>
      <c r="MF104" s="68"/>
      <c r="MG104" s="68"/>
      <c r="MH104" s="68"/>
      <c r="MI104" s="68"/>
      <c r="MJ104" s="68"/>
      <c r="MK104" s="68"/>
      <c r="ML104" s="68"/>
      <c r="MM104" s="68"/>
      <c r="MN104" s="68"/>
      <c r="MO104" s="68"/>
      <c r="MP104" s="68"/>
      <c r="MQ104" s="68"/>
      <c r="MR104" s="68"/>
      <c r="MS104" s="68"/>
      <c r="MT104" s="68"/>
      <c r="MU104" s="68"/>
      <c r="MV104" s="68"/>
      <c r="MW104" s="68"/>
      <c r="MX104" s="68"/>
      <c r="MY104" s="68"/>
      <c r="MZ104" s="68"/>
      <c r="NA104" s="68"/>
      <c r="NB104" s="68"/>
      <c r="NC104" s="68"/>
      <c r="ND104" s="68"/>
      <c r="NE104" s="68"/>
      <c r="NF104" s="68"/>
      <c r="NG104" s="68"/>
      <c r="NH104" s="68"/>
      <c r="NI104" s="68"/>
      <c r="NJ104" s="68"/>
      <c r="NK104" s="68"/>
      <c r="NL104" s="68"/>
      <c r="NM104" s="68"/>
      <c r="NN104" s="68"/>
      <c r="NO104" s="68"/>
      <c r="NP104" s="68"/>
      <c r="NQ104" s="68"/>
      <c r="NR104" s="68"/>
      <c r="NS104" s="68"/>
      <c r="NT104" s="68"/>
      <c r="NU104" s="68"/>
      <c r="NV104" s="68"/>
      <c r="NW104" s="68"/>
      <c r="NX104" s="68"/>
      <c r="NY104" s="68"/>
      <c r="NZ104" s="68"/>
      <c r="OA104" s="68"/>
      <c r="OB104" s="68"/>
      <c r="OC104" s="68"/>
      <c r="OD104" s="68"/>
      <c r="OE104" s="68"/>
      <c r="OF104" s="68"/>
      <c r="OG104" s="68"/>
      <c r="OH104" s="68"/>
      <c r="OI104" s="68"/>
      <c r="OJ104" s="68"/>
      <c r="OK104" s="68"/>
      <c r="OL104" s="68"/>
      <c r="OM104" s="68"/>
      <c r="ON104" s="68"/>
      <c r="OO104" s="68"/>
      <c r="OP104" s="68"/>
      <c r="OQ104" s="68"/>
      <c r="OR104" s="68"/>
      <c r="OS104" s="68"/>
      <c r="OT104" s="68"/>
      <c r="OU104" s="68"/>
      <c r="OV104" s="68"/>
      <c r="OW104" s="68"/>
      <c r="OX104" s="68"/>
      <c r="OY104" s="68"/>
      <c r="OZ104" s="68"/>
      <c r="PA104" s="68"/>
      <c r="PB104" s="68"/>
      <c r="PC104" s="68"/>
      <c r="PD104" s="68"/>
      <c r="PE104" s="68"/>
      <c r="PF104" s="68"/>
      <c r="PG104" s="68"/>
      <c r="PH104" s="68"/>
      <c r="PI104" s="68"/>
      <c r="PJ104" s="68"/>
      <c r="PK104" s="68"/>
      <c r="PL104" s="68"/>
      <c r="PM104" s="68"/>
      <c r="PN104" s="68"/>
      <c r="PO104" s="68"/>
      <c r="PP104" s="68"/>
      <c r="PQ104" s="68"/>
      <c r="PR104" s="68"/>
      <c r="PS104" s="68"/>
      <c r="PT104" s="68"/>
      <c r="PU104" s="68"/>
      <c r="PV104" s="68"/>
      <c r="PW104" s="68"/>
      <c r="PX104" s="68"/>
      <c r="PY104" s="68"/>
      <c r="PZ104" s="68"/>
      <c r="QA104" s="68"/>
      <c r="QB104" s="68"/>
      <c r="QC104" s="68"/>
      <c r="QD104" s="68"/>
      <c r="QE104" s="68"/>
      <c r="QF104" s="68"/>
      <c r="QG104" s="68"/>
      <c r="QH104" s="68"/>
      <c r="QI104" s="68"/>
      <c r="QJ104" s="68"/>
      <c r="QK104" s="68"/>
      <c r="QL104" s="68"/>
      <c r="QM104" s="68"/>
      <c r="QN104" s="68"/>
      <c r="QO104" s="68"/>
      <c r="QP104" s="68"/>
      <c r="QQ104" s="68"/>
      <c r="QR104" s="68"/>
      <c r="QS104" s="68"/>
      <c r="QT104" s="68"/>
      <c r="QU104" s="68"/>
      <c r="QV104" s="68"/>
      <c r="QW104" s="68"/>
      <c r="QX104" s="68"/>
      <c r="QY104" s="68"/>
      <c r="QZ104" s="68"/>
      <c r="RA104" s="68"/>
      <c r="RB104" s="68"/>
      <c r="RC104" s="68"/>
      <c r="RD104" s="68"/>
      <c r="RE104" s="68"/>
      <c r="RF104" s="68"/>
      <c r="RG104" s="68"/>
      <c r="RH104" s="68"/>
      <c r="RI104" s="68"/>
      <c r="RJ104" s="68"/>
      <c r="RK104" s="68"/>
      <c r="RL104" s="68"/>
      <c r="RM104" s="68"/>
      <c r="RN104" s="68"/>
      <c r="RO104" s="68"/>
      <c r="RP104" s="68"/>
      <c r="RQ104" s="68"/>
      <c r="RR104" s="68"/>
      <c r="RS104" s="68"/>
      <c r="RT104" s="68"/>
      <c r="RU104" s="68"/>
      <c r="RV104" s="68"/>
      <c r="RW104" s="68"/>
      <c r="RX104" s="68"/>
      <c r="RY104" s="68"/>
      <c r="RZ104" s="68"/>
      <c r="SA104" s="68"/>
      <c r="SB104" s="68"/>
      <c r="SC104" s="68"/>
      <c r="SD104" s="68"/>
      <c r="SE104" s="68"/>
      <c r="SF104" s="68"/>
      <c r="SG104" s="68"/>
      <c r="SH104" s="68"/>
      <c r="SI104" s="68"/>
      <c r="SJ104" s="68"/>
      <c r="SK104" s="68"/>
      <c r="SL104" s="68"/>
      <c r="SM104" s="68"/>
      <c r="SN104" s="68"/>
      <c r="SO104" s="68"/>
      <c r="SP104" s="68"/>
      <c r="SQ104" s="68"/>
      <c r="SR104" s="68"/>
      <c r="SS104" s="68"/>
      <c r="ST104" s="68"/>
      <c r="SU104" s="68"/>
      <c r="SV104" s="68"/>
      <c r="SW104" s="68"/>
      <c r="SX104" s="68"/>
      <c r="SY104" s="68"/>
      <c r="SZ104" s="68"/>
      <c r="TA104" s="68"/>
      <c r="TB104" s="68"/>
      <c r="TC104" s="68"/>
      <c r="TD104" s="68"/>
      <c r="TE104" s="68"/>
      <c r="TF104" s="68"/>
      <c r="TG104" s="68"/>
      <c r="TH104" s="68"/>
      <c r="TI104" s="68"/>
      <c r="TJ104" s="68"/>
      <c r="TK104" s="68"/>
      <c r="TL104" s="68"/>
      <c r="TM104" s="68"/>
      <c r="TN104" s="68"/>
      <c r="TO104" s="68"/>
      <c r="TP104" s="68"/>
      <c r="TQ104" s="68"/>
      <c r="TR104" s="68"/>
      <c r="TS104" s="68"/>
      <c r="TT104" s="68"/>
      <c r="TU104" s="68"/>
      <c r="TV104" s="68"/>
      <c r="TW104" s="68"/>
      <c r="TX104" s="68"/>
      <c r="TY104" s="68"/>
      <c r="TZ104" s="68"/>
      <c r="UA104" s="68"/>
      <c r="UB104" s="68"/>
      <c r="UC104" s="68"/>
      <c r="UD104" s="68"/>
      <c r="UE104" s="68"/>
      <c r="UF104" s="68"/>
      <c r="UG104" s="68"/>
      <c r="UH104" s="68"/>
      <c r="UI104" s="68"/>
      <c r="UJ104" s="68"/>
      <c r="UK104" s="68"/>
      <c r="UL104" s="68"/>
      <c r="UM104" s="68"/>
      <c r="UN104" s="68"/>
      <c r="UO104" s="68"/>
      <c r="UP104" s="68"/>
      <c r="UQ104" s="68"/>
      <c r="UR104" s="68"/>
      <c r="US104" s="68"/>
      <c r="UT104" s="68"/>
      <c r="UU104" s="68"/>
      <c r="UV104" s="68"/>
      <c r="UW104" s="68"/>
      <c r="UX104" s="68"/>
      <c r="UY104" s="68"/>
      <c r="UZ104" s="68"/>
      <c r="VA104" s="68"/>
      <c r="VB104" s="68"/>
      <c r="VC104" s="68"/>
      <c r="VD104" s="68"/>
      <c r="VE104" s="68"/>
      <c r="VF104" s="68"/>
      <c r="VG104" s="68"/>
      <c r="VH104" s="68"/>
      <c r="VI104" s="68"/>
      <c r="VJ104" s="68"/>
      <c r="VK104" s="68"/>
      <c r="VL104" s="68"/>
      <c r="VM104" s="68"/>
      <c r="VN104" s="68"/>
      <c r="VO104" s="68"/>
      <c r="VP104" s="68"/>
      <c r="VQ104" s="68"/>
      <c r="VR104" s="68"/>
      <c r="VS104" s="68"/>
      <c r="VT104" s="68"/>
      <c r="VU104" s="68"/>
      <c r="VV104" s="68"/>
      <c r="VW104" s="68"/>
      <c r="VX104" s="68"/>
      <c r="VY104" s="68"/>
      <c r="VZ104" s="68"/>
      <c r="WA104" s="68"/>
      <c r="WB104" s="68"/>
      <c r="WC104" s="68"/>
      <c r="WD104" s="68"/>
      <c r="WE104" s="68"/>
      <c r="WF104" s="68"/>
      <c r="WG104" s="68"/>
      <c r="WH104" s="68"/>
      <c r="WI104" s="68"/>
      <c r="WJ104" s="68"/>
      <c r="WK104" s="68"/>
      <c r="WL104" s="68"/>
      <c r="WM104" s="68"/>
      <c r="WN104" s="68"/>
      <c r="WO104" s="68"/>
      <c r="WP104" s="68"/>
      <c r="WQ104" s="68"/>
      <c r="WR104" s="68"/>
      <c r="WS104" s="68"/>
      <c r="WT104" s="68"/>
      <c r="WU104" s="68"/>
      <c r="WV104" s="68"/>
      <c r="WW104" s="68"/>
      <c r="WX104" s="68"/>
      <c r="WY104" s="68"/>
      <c r="WZ104" s="68"/>
      <c r="XA104" s="68"/>
      <c r="XB104" s="68"/>
      <c r="XC104" s="68"/>
      <c r="XD104" s="68"/>
      <c r="XE104" s="68"/>
      <c r="XF104" s="68"/>
      <c r="XG104" s="68"/>
      <c r="XH104" s="68"/>
      <c r="XI104" s="68"/>
      <c r="XJ104" s="68"/>
      <c r="XK104" s="68"/>
      <c r="XL104" s="68"/>
      <c r="XM104" s="68"/>
      <c r="XN104" s="68"/>
      <c r="XO104" s="68"/>
      <c r="XP104" s="68"/>
      <c r="XQ104" s="68"/>
      <c r="XR104" s="68"/>
      <c r="XS104" s="68"/>
      <c r="XT104" s="68"/>
      <c r="XU104" s="68"/>
      <c r="XV104" s="68"/>
      <c r="XW104" s="68"/>
      <c r="XX104" s="68"/>
      <c r="XY104" s="68"/>
      <c r="XZ104" s="68"/>
      <c r="YA104" s="68"/>
      <c r="YB104" s="68"/>
      <c r="YC104" s="68"/>
      <c r="YD104" s="68"/>
      <c r="YE104" s="68"/>
      <c r="YF104" s="68"/>
      <c r="YG104" s="68"/>
      <c r="YH104" s="68"/>
      <c r="YI104" s="68"/>
      <c r="YJ104" s="68"/>
      <c r="YK104" s="68"/>
      <c r="YL104" s="68"/>
      <c r="YM104" s="68"/>
      <c r="YN104" s="68"/>
      <c r="YO104" s="68"/>
      <c r="YP104" s="68"/>
      <c r="YQ104" s="68"/>
      <c r="YR104" s="68"/>
      <c r="YS104" s="68"/>
      <c r="YT104" s="68"/>
      <c r="YU104" s="68"/>
      <c r="YV104" s="68"/>
      <c r="YW104" s="68"/>
      <c r="YX104" s="68"/>
      <c r="YY104" s="68"/>
      <c r="YZ104" s="68"/>
      <c r="ZA104" s="68"/>
      <c r="ZB104" s="68"/>
      <c r="ZC104" s="68"/>
      <c r="ZD104" s="68"/>
      <c r="ZE104" s="68"/>
      <c r="ZF104" s="68"/>
      <c r="ZG104" s="68"/>
      <c r="ZH104" s="68"/>
      <c r="ZI104" s="68"/>
      <c r="ZJ104" s="68"/>
      <c r="ZK104" s="68"/>
      <c r="ZL104" s="68"/>
      <c r="ZM104" s="68"/>
      <c r="ZN104" s="68"/>
      <c r="ZO104" s="68"/>
      <c r="ZP104" s="68"/>
      <c r="ZQ104" s="68"/>
      <c r="ZR104" s="68"/>
      <c r="ZS104" s="68"/>
      <c r="ZT104" s="68"/>
      <c r="ZU104" s="68"/>
      <c r="ZV104" s="68"/>
      <c r="ZW104" s="68"/>
      <c r="ZX104" s="68"/>
      <c r="ZY104" s="68"/>
      <c r="ZZ104" s="68"/>
      <c r="AAA104" s="68"/>
      <c r="AAB104" s="68"/>
      <c r="AAC104" s="68"/>
      <c r="AAD104" s="68"/>
      <c r="AAE104" s="68"/>
      <c r="AAF104" s="68"/>
      <c r="AAG104" s="68"/>
      <c r="AAH104" s="68"/>
      <c r="AAI104" s="68"/>
      <c r="AAJ104" s="68"/>
      <c r="AAK104" s="68"/>
      <c r="AAL104" s="68"/>
      <c r="AAM104" s="68"/>
      <c r="AAN104" s="68"/>
      <c r="AAO104" s="68"/>
      <c r="AAP104" s="68"/>
      <c r="AAQ104" s="68"/>
      <c r="AAR104" s="68"/>
      <c r="AAS104" s="68"/>
      <c r="AAT104" s="68"/>
      <c r="AAU104" s="68"/>
      <c r="AAV104" s="68"/>
      <c r="AAW104" s="68"/>
      <c r="AAX104" s="68"/>
      <c r="AAY104" s="68"/>
      <c r="AAZ104" s="68"/>
      <c r="ABA104" s="68"/>
      <c r="ABB104" s="68"/>
      <c r="ABC104" s="68"/>
      <c r="ABD104" s="68"/>
      <c r="ABE104" s="68"/>
      <c r="ABF104" s="68"/>
      <c r="ABG104" s="68"/>
      <c r="ABH104" s="68"/>
      <c r="ABI104" s="68"/>
      <c r="ABJ104" s="68"/>
      <c r="ABK104" s="68"/>
      <c r="ABL104" s="68"/>
      <c r="ABM104" s="68"/>
      <c r="ABN104" s="68"/>
      <c r="ABO104" s="68"/>
      <c r="ABP104" s="68"/>
      <c r="ABQ104" s="68"/>
      <c r="ABR104" s="68"/>
      <c r="ABS104" s="68"/>
      <c r="ABT104" s="68"/>
      <c r="ABU104" s="68"/>
      <c r="ABV104" s="68"/>
      <c r="ABW104" s="68"/>
      <c r="ABX104" s="68"/>
      <c r="ABY104" s="68"/>
      <c r="ABZ104" s="68"/>
      <c r="ACA104" s="68"/>
      <c r="ACB104" s="68"/>
      <c r="ACC104" s="68"/>
      <c r="ACD104" s="68"/>
      <c r="ACE104" s="68"/>
      <c r="ACF104" s="68"/>
      <c r="ACG104" s="68"/>
      <c r="ACH104" s="68"/>
      <c r="ACI104" s="68"/>
      <c r="ACJ104" s="68"/>
      <c r="ACK104" s="68"/>
      <c r="ACL104" s="68"/>
      <c r="ACM104" s="68"/>
      <c r="ACN104" s="68"/>
      <c r="ACO104" s="68"/>
      <c r="ACP104" s="68"/>
      <c r="ACQ104" s="68"/>
      <c r="ACR104" s="68"/>
      <c r="ACS104" s="68"/>
      <c r="ACT104" s="68"/>
      <c r="ACU104" s="68"/>
      <c r="ACV104" s="68"/>
      <c r="ACW104" s="68"/>
      <c r="ACX104" s="68"/>
      <c r="ACY104" s="68"/>
      <c r="ACZ104" s="68"/>
      <c r="ADA104" s="68"/>
      <c r="ADB104" s="68"/>
      <c r="ADC104" s="68"/>
      <c r="ADD104" s="68"/>
      <c r="ADE104" s="68"/>
      <c r="ADF104" s="68"/>
      <c r="ADG104" s="68"/>
      <c r="ADH104" s="68"/>
      <c r="ADI104" s="68"/>
      <c r="ADJ104" s="68"/>
      <c r="ADK104" s="68"/>
      <c r="ADL104" s="68"/>
      <c r="ADM104" s="68"/>
      <c r="ADN104" s="68"/>
      <c r="ADO104" s="68"/>
      <c r="ADP104" s="68"/>
      <c r="ADQ104" s="68"/>
      <c r="ADR104" s="68"/>
      <c r="ADS104" s="68"/>
      <c r="ADT104" s="68"/>
      <c r="ADU104" s="68"/>
      <c r="ADV104" s="68"/>
      <c r="ADW104" s="68"/>
      <c r="ADX104" s="68"/>
      <c r="ADY104" s="68"/>
      <c r="ADZ104" s="68"/>
      <c r="AEA104" s="68"/>
      <c r="AEB104" s="68"/>
      <c r="AEC104" s="68"/>
      <c r="AED104" s="68"/>
      <c r="AEE104" s="68"/>
      <c r="AEF104" s="68"/>
      <c r="AEG104" s="68"/>
      <c r="AEH104" s="68"/>
      <c r="AEI104" s="68"/>
      <c r="AEJ104" s="68"/>
      <c r="AEK104" s="68"/>
      <c r="AEL104" s="68"/>
      <c r="AEM104" s="68"/>
      <c r="AEN104" s="68"/>
      <c r="AEO104" s="68"/>
      <c r="AEP104" s="68"/>
      <c r="AEQ104" s="68"/>
      <c r="AER104" s="68"/>
      <c r="AES104" s="68"/>
      <c r="AET104" s="68"/>
      <c r="AEU104" s="68"/>
      <c r="AEV104" s="68"/>
      <c r="AEW104" s="68"/>
      <c r="AEX104" s="68"/>
      <c r="AEY104" s="68"/>
      <c r="AEZ104" s="68"/>
      <c r="AFA104" s="68"/>
      <c r="AFB104" s="68"/>
      <c r="AFC104" s="68"/>
      <c r="AFD104" s="68"/>
      <c r="AFE104" s="68"/>
      <c r="AFF104" s="68"/>
      <c r="AFG104" s="68"/>
      <c r="AFH104" s="68"/>
      <c r="AFI104" s="68"/>
      <c r="AFJ104" s="68"/>
      <c r="AFK104" s="68"/>
      <c r="AFL104" s="68"/>
      <c r="AFM104" s="68"/>
      <c r="AFN104" s="68"/>
      <c r="AFO104" s="68"/>
      <c r="AFP104" s="68"/>
      <c r="AFQ104" s="68"/>
      <c r="AFR104" s="68"/>
      <c r="AFS104" s="68"/>
      <c r="AFT104" s="68"/>
      <c r="AFU104" s="68"/>
      <c r="AFV104" s="68"/>
      <c r="AFW104" s="68"/>
      <c r="AFX104" s="68"/>
      <c r="AFY104" s="68"/>
      <c r="AFZ104" s="68"/>
      <c r="AGA104" s="68"/>
      <c r="AGB104" s="68"/>
      <c r="AGC104" s="68"/>
      <c r="AGD104" s="68"/>
      <c r="AGE104" s="68"/>
      <c r="AGF104" s="68"/>
      <c r="AGG104" s="68"/>
      <c r="AGH104" s="68"/>
      <c r="AGI104" s="68"/>
      <c r="AGJ104" s="68"/>
      <c r="AGK104" s="68"/>
      <c r="AGL104" s="68"/>
      <c r="AGM104" s="68"/>
      <c r="AGN104" s="68"/>
      <c r="AGO104" s="68"/>
      <c r="AGP104" s="68"/>
      <c r="AGQ104" s="68"/>
      <c r="AGR104" s="68"/>
      <c r="AGS104" s="68"/>
      <c r="AGT104" s="68"/>
      <c r="AGU104" s="68"/>
      <c r="AGV104" s="68"/>
      <c r="AGW104" s="68"/>
      <c r="AGX104" s="68"/>
      <c r="AGY104" s="68"/>
      <c r="AGZ104" s="68"/>
      <c r="AHA104" s="68"/>
      <c r="AHB104" s="68"/>
      <c r="AHC104" s="68"/>
      <c r="AHD104" s="68"/>
      <c r="AHE104" s="68"/>
      <c r="AHF104" s="68"/>
      <c r="AHG104" s="68"/>
      <c r="AHH104" s="68"/>
      <c r="AHI104" s="68"/>
      <c r="AHJ104" s="68"/>
      <c r="AHK104" s="68"/>
      <c r="AHL104" s="68"/>
      <c r="AHM104" s="68"/>
      <c r="AHN104" s="68"/>
      <c r="AHO104" s="68"/>
      <c r="AHP104" s="68"/>
      <c r="AHQ104" s="68"/>
      <c r="AHR104" s="68"/>
      <c r="AHS104" s="68"/>
      <c r="AHT104" s="68"/>
      <c r="AHU104" s="68"/>
      <c r="AHV104" s="68"/>
      <c r="AHW104" s="68"/>
      <c r="AHX104" s="68"/>
      <c r="AHY104" s="68"/>
      <c r="AHZ104" s="68"/>
      <c r="AIA104" s="68"/>
      <c r="AIB104" s="68"/>
      <c r="AIC104" s="68"/>
      <c r="AID104" s="68"/>
      <c r="AIE104" s="68"/>
      <c r="AIF104" s="68"/>
      <c r="AIG104" s="68"/>
      <c r="AIH104" s="68"/>
      <c r="AII104" s="68"/>
      <c r="AIJ104" s="68"/>
      <c r="AIK104" s="68"/>
      <c r="AIL104" s="68"/>
      <c r="AIM104" s="68"/>
      <c r="AIN104" s="68"/>
      <c r="AIO104" s="68"/>
      <c r="AIP104" s="68"/>
      <c r="AIQ104" s="68"/>
      <c r="AIR104" s="68"/>
      <c r="AIS104" s="68"/>
      <c r="AIT104" s="68"/>
      <c r="AIU104" s="68"/>
      <c r="AIV104" s="68"/>
      <c r="AIW104" s="68"/>
      <c r="AIX104" s="68"/>
      <c r="AIY104" s="68"/>
      <c r="AIZ104" s="68"/>
      <c r="AJA104" s="68"/>
      <c r="AJB104" s="68"/>
      <c r="AJC104" s="68"/>
      <c r="AJD104" s="68"/>
      <c r="AJE104" s="68"/>
      <c r="AJF104" s="68"/>
      <c r="AJG104" s="68"/>
      <c r="AJH104" s="68"/>
      <c r="AJI104" s="68"/>
      <c r="AJJ104" s="68"/>
      <c r="AJK104" s="68"/>
      <c r="AJL104" s="68"/>
      <c r="AJM104" s="68"/>
      <c r="AJN104" s="68"/>
      <c r="AJO104" s="68"/>
      <c r="AJP104" s="68"/>
      <c r="AJQ104" s="68"/>
      <c r="AJR104" s="68"/>
      <c r="AJS104" s="68"/>
      <c r="AJT104" s="68"/>
      <c r="AJU104" s="68"/>
      <c r="AJV104" s="68"/>
      <c r="AJW104" s="68"/>
      <c r="AJX104" s="68"/>
      <c r="AJY104" s="68"/>
      <c r="AJZ104" s="68"/>
      <c r="AKA104" s="68"/>
      <c r="AKB104" s="68"/>
      <c r="AKC104" s="68"/>
      <c r="AKD104" s="68"/>
      <c r="AKE104" s="68"/>
      <c r="AKF104" s="68"/>
      <c r="AKG104" s="68"/>
      <c r="AKH104" s="68"/>
      <c r="AKI104" s="68"/>
      <c r="AKJ104" s="68"/>
      <c r="AKK104" s="68"/>
      <c r="AKL104" s="68"/>
      <c r="AKM104" s="68"/>
      <c r="AKN104" s="68"/>
      <c r="AKO104" s="68"/>
      <c r="AKP104" s="68"/>
      <c r="AKQ104" s="68"/>
      <c r="AKR104" s="68"/>
      <c r="AKS104" s="68"/>
      <c r="AKT104" s="68"/>
      <c r="AKU104" s="68"/>
      <c r="AKV104" s="68"/>
      <c r="AKW104" s="68"/>
      <c r="AKX104" s="68"/>
      <c r="AKY104" s="68"/>
      <c r="AKZ104" s="68"/>
      <c r="ALA104" s="68"/>
      <c r="ALB104" s="68"/>
      <c r="ALC104" s="68"/>
      <c r="ALD104" s="68"/>
      <c r="ALE104" s="68"/>
      <c r="ALF104" s="68"/>
      <c r="ALG104" s="68"/>
      <c r="ALH104" s="68"/>
      <c r="ALI104" s="68"/>
      <c r="ALJ104" s="68"/>
      <c r="ALK104" s="68"/>
      <c r="ALL104" s="68"/>
      <c r="ALM104" s="68"/>
      <c r="ALN104" s="68"/>
      <c r="ALO104" s="68"/>
      <c r="ALP104" s="68"/>
      <c r="ALQ104" s="68"/>
      <c r="ALR104" s="68"/>
      <c r="ALS104" s="68"/>
      <c r="ALT104" s="68"/>
      <c r="ALU104" s="68"/>
      <c r="ALV104" s="68"/>
      <c r="ALW104" s="68"/>
      <c r="ALX104" s="68"/>
      <c r="ALY104" s="68"/>
      <c r="ALZ104" s="68"/>
      <c r="AMA104" s="68"/>
      <c r="AMB104" s="68"/>
      <c r="AMC104" s="68"/>
      <c r="AMD104" s="68"/>
      <c r="AME104" s="68"/>
      <c r="AMF104" s="68"/>
      <c r="AMG104" s="68"/>
      <c r="AMH104" s="68"/>
      <c r="AMI104" s="68"/>
      <c r="AMJ104" s="68"/>
      <c r="AMK104" s="68"/>
      <c r="AML104" s="68"/>
      <c r="AMM104" s="68"/>
      <c r="AMN104" s="68"/>
      <c r="AMO104" s="68"/>
      <c r="AMP104" s="68"/>
      <c r="AMQ104" s="68"/>
      <c r="AMR104" s="68"/>
      <c r="AMS104" s="68"/>
      <c r="AMT104" s="68"/>
      <c r="AMU104" s="68"/>
      <c r="AMV104" s="68"/>
      <c r="AMW104" s="68"/>
      <c r="AMX104" s="68"/>
      <c r="AMY104" s="68"/>
      <c r="AMZ104" s="68"/>
      <c r="ANA104" s="68"/>
      <c r="ANB104" s="68"/>
      <c r="ANC104" s="68"/>
      <c r="AND104" s="68"/>
      <c r="ANE104" s="68"/>
      <c r="ANF104" s="68"/>
      <c r="ANG104" s="68"/>
      <c r="ANH104" s="68"/>
      <c r="ANI104" s="68"/>
      <c r="ANJ104" s="68"/>
      <c r="ANK104" s="68"/>
      <c r="ANL104" s="68"/>
      <c r="ANM104" s="68"/>
      <c r="ANN104" s="68"/>
      <c r="ANO104" s="68"/>
      <c r="ANP104" s="68"/>
      <c r="ANQ104" s="68"/>
      <c r="ANR104" s="68"/>
      <c r="ANS104" s="68"/>
      <c r="ANT104" s="68"/>
      <c r="ANU104" s="68"/>
      <c r="ANV104" s="68"/>
      <c r="ANW104" s="68"/>
      <c r="ANX104" s="68"/>
      <c r="ANY104" s="68"/>
      <c r="ANZ104" s="68"/>
      <c r="AOA104" s="68"/>
      <c r="AOB104" s="68"/>
      <c r="AOC104" s="68"/>
      <c r="AOD104" s="68"/>
      <c r="AOE104" s="68"/>
      <c r="AOF104" s="68"/>
      <c r="AOG104" s="68"/>
      <c r="AOH104" s="68"/>
      <c r="AOI104" s="68"/>
      <c r="AOJ104" s="68"/>
      <c r="AOK104" s="68"/>
      <c r="AOL104" s="68"/>
      <c r="AOM104" s="68"/>
      <c r="AON104" s="68"/>
      <c r="AOO104" s="68"/>
      <c r="AOP104" s="68"/>
      <c r="AOQ104" s="68"/>
      <c r="AOR104" s="68"/>
      <c r="AOS104" s="68"/>
      <c r="AOT104" s="68"/>
      <c r="AOU104" s="68"/>
      <c r="AOV104" s="68"/>
      <c r="AOW104" s="68"/>
      <c r="AOX104" s="68"/>
      <c r="AOY104" s="68"/>
      <c r="AOZ104" s="68"/>
      <c r="APA104" s="68"/>
      <c r="APB104" s="68"/>
      <c r="APC104" s="68"/>
      <c r="APD104" s="68"/>
      <c r="APE104" s="68"/>
      <c r="APF104" s="68"/>
      <c r="APG104" s="68"/>
      <c r="APH104" s="68"/>
      <c r="API104" s="68"/>
      <c r="APJ104" s="68"/>
      <c r="APK104" s="68"/>
      <c r="APL104" s="68"/>
      <c r="APM104" s="68"/>
      <c r="APN104" s="68"/>
      <c r="APO104" s="68"/>
      <c r="APP104" s="68"/>
      <c r="APQ104" s="68"/>
      <c r="APR104" s="68"/>
      <c r="APS104" s="68"/>
      <c r="APT104" s="68"/>
      <c r="APU104" s="68"/>
      <c r="APV104" s="68"/>
      <c r="APW104" s="68"/>
      <c r="APX104" s="68"/>
      <c r="APY104" s="68"/>
      <c r="APZ104" s="68"/>
      <c r="AQA104" s="68"/>
      <c r="AQB104" s="68"/>
      <c r="AQC104" s="68"/>
      <c r="AQD104" s="68"/>
      <c r="AQE104" s="68"/>
      <c r="AQF104" s="68"/>
      <c r="AQG104" s="68"/>
      <c r="AQH104" s="68"/>
      <c r="AQI104" s="68"/>
      <c r="AQJ104" s="68"/>
      <c r="AQK104" s="68"/>
      <c r="AQL104" s="68"/>
      <c r="AQM104" s="68"/>
      <c r="AQN104" s="68"/>
      <c r="AQO104" s="68"/>
      <c r="AQP104" s="68"/>
      <c r="AQQ104" s="68"/>
      <c r="AQR104" s="68"/>
      <c r="AQS104" s="68"/>
      <c r="AQT104" s="68"/>
      <c r="AQU104" s="68"/>
      <c r="AQV104" s="68"/>
      <c r="AQW104" s="68"/>
      <c r="AQX104" s="68"/>
      <c r="AQY104" s="68"/>
      <c r="AQZ104" s="68"/>
      <c r="ARA104" s="68"/>
      <c r="ARB104" s="68"/>
      <c r="ARC104" s="68"/>
      <c r="ARD104" s="68"/>
      <c r="ARE104" s="68"/>
      <c r="ARF104" s="68"/>
      <c r="ARG104" s="68"/>
      <c r="ARH104" s="68"/>
      <c r="ARI104" s="68"/>
      <c r="ARJ104" s="68"/>
      <c r="ARK104" s="68"/>
      <c r="ARL104" s="68"/>
      <c r="ARM104" s="68"/>
      <c r="ARN104" s="68"/>
      <c r="ARO104" s="68"/>
      <c r="ARP104" s="68"/>
      <c r="ARQ104" s="68"/>
      <c r="ARR104" s="68"/>
      <c r="ARS104" s="68"/>
      <c r="ART104" s="68"/>
      <c r="ARU104" s="68"/>
      <c r="ARV104" s="68"/>
      <c r="ARW104" s="68"/>
      <c r="ARX104" s="68"/>
      <c r="ARY104" s="68"/>
      <c r="ARZ104" s="68"/>
      <c r="ASA104" s="68"/>
      <c r="ASB104" s="68"/>
      <c r="ASC104" s="68"/>
      <c r="ASD104" s="68"/>
      <c r="ASE104" s="68"/>
      <c r="ASF104" s="68"/>
      <c r="ASG104" s="68"/>
      <c r="ASH104" s="68"/>
      <c r="ASI104" s="68"/>
      <c r="ASJ104" s="68"/>
      <c r="ASK104" s="68"/>
      <c r="ASL104" s="68"/>
      <c r="ASM104" s="68"/>
      <c r="ASN104" s="68"/>
      <c r="ASO104" s="68"/>
      <c r="ASP104" s="68"/>
      <c r="ASQ104" s="68"/>
      <c r="ASR104" s="68"/>
      <c r="ASS104" s="68"/>
      <c r="AST104" s="68"/>
      <c r="ASU104" s="68"/>
      <c r="ASV104" s="68"/>
      <c r="ASW104" s="68"/>
      <c r="ASX104" s="68"/>
      <c r="ASY104" s="68"/>
      <c r="ASZ104" s="68"/>
      <c r="ATA104" s="68"/>
      <c r="ATB104" s="68"/>
      <c r="ATC104" s="68"/>
      <c r="ATD104" s="68"/>
      <c r="ATE104" s="68"/>
      <c r="ATF104" s="68"/>
      <c r="ATG104" s="68"/>
      <c r="ATH104" s="68"/>
      <c r="ATI104" s="68"/>
      <c r="ATJ104" s="68"/>
      <c r="ATK104" s="68"/>
      <c r="ATL104" s="68"/>
      <c r="ATM104" s="68"/>
      <c r="ATN104" s="68"/>
      <c r="ATO104" s="68"/>
      <c r="ATP104" s="68"/>
      <c r="ATQ104" s="68"/>
      <c r="ATR104" s="68"/>
      <c r="ATS104" s="68"/>
      <c r="ATT104" s="68"/>
      <c r="ATU104" s="68"/>
      <c r="ATV104" s="68"/>
      <c r="ATW104" s="68"/>
      <c r="ATX104" s="68"/>
      <c r="ATY104" s="68"/>
      <c r="ATZ104" s="68"/>
      <c r="AUA104" s="68"/>
      <c r="AUB104" s="68"/>
      <c r="AUC104" s="68"/>
      <c r="AUD104" s="68"/>
      <c r="AUE104" s="68"/>
      <c r="AUF104" s="68"/>
      <c r="AUG104" s="68"/>
      <c r="AUH104" s="68"/>
      <c r="AUI104" s="68"/>
      <c r="AUJ104" s="68"/>
      <c r="AUK104" s="68"/>
      <c r="AUL104" s="68"/>
      <c r="AUM104" s="68"/>
      <c r="AUN104" s="68"/>
      <c r="AUO104" s="68"/>
      <c r="AUP104" s="68"/>
      <c r="AUQ104" s="68"/>
      <c r="AUR104" s="68"/>
      <c r="AUS104" s="68"/>
      <c r="AUT104" s="68"/>
      <c r="AUU104" s="68"/>
      <c r="AUV104" s="68"/>
      <c r="AUW104" s="68"/>
      <c r="AUX104" s="68"/>
      <c r="AUY104" s="68"/>
      <c r="AUZ104" s="68"/>
      <c r="AVA104" s="68"/>
      <c r="AVB104" s="68"/>
      <c r="AVC104" s="68"/>
      <c r="AVD104" s="68"/>
      <c r="AVE104" s="68"/>
      <c r="AVF104" s="68"/>
      <c r="AVG104" s="68"/>
      <c r="AVH104" s="68"/>
      <c r="AVI104" s="68"/>
      <c r="AVJ104" s="68"/>
      <c r="AVK104" s="68"/>
      <c r="AVL104" s="68"/>
      <c r="AVM104" s="68"/>
      <c r="AVN104" s="68"/>
      <c r="AVO104" s="68"/>
      <c r="AVP104" s="68"/>
      <c r="AVQ104" s="68"/>
      <c r="AVR104" s="68"/>
      <c r="AVS104" s="68"/>
      <c r="AVT104" s="68"/>
      <c r="AVU104" s="68"/>
      <c r="AVV104" s="68"/>
      <c r="AVW104" s="68"/>
      <c r="AVX104" s="68"/>
      <c r="AVY104" s="68"/>
      <c r="AVZ104" s="68"/>
      <c r="AWA104" s="68"/>
      <c r="AWB104" s="68"/>
      <c r="AWC104" s="68"/>
      <c r="AWD104" s="68"/>
      <c r="AWE104" s="68"/>
      <c r="AWF104" s="68"/>
      <c r="AWG104" s="68"/>
      <c r="AWH104" s="68"/>
      <c r="AWI104" s="68"/>
      <c r="AWJ104" s="68"/>
      <c r="AWK104" s="68"/>
      <c r="AWL104" s="68"/>
      <c r="AWM104" s="68"/>
      <c r="AWN104" s="68"/>
      <c r="AWO104" s="68"/>
      <c r="AWP104" s="68"/>
      <c r="AWQ104" s="68"/>
      <c r="AWR104" s="68"/>
      <c r="AWS104" s="68"/>
      <c r="AWT104" s="68"/>
      <c r="AWU104" s="68"/>
      <c r="AWV104" s="68"/>
      <c r="AWW104" s="68"/>
      <c r="AWX104" s="68"/>
      <c r="AWY104" s="68"/>
      <c r="AWZ104" s="68"/>
      <c r="AXA104" s="68"/>
      <c r="AXB104" s="68"/>
      <c r="AXC104" s="68"/>
      <c r="AXD104" s="68"/>
      <c r="AXE104" s="68"/>
      <c r="AXF104" s="68"/>
      <c r="AXG104" s="68"/>
      <c r="AXH104" s="68"/>
      <c r="AXI104" s="68"/>
      <c r="AXJ104" s="68"/>
      <c r="AXK104" s="68"/>
      <c r="AXL104" s="68"/>
      <c r="AXM104" s="68"/>
      <c r="AXN104" s="68"/>
      <c r="AXO104" s="68"/>
      <c r="AXP104" s="68"/>
      <c r="AXQ104" s="68"/>
      <c r="AXR104" s="68"/>
      <c r="AXS104" s="68"/>
      <c r="AXT104" s="68"/>
      <c r="AXU104" s="68"/>
      <c r="AXV104" s="68"/>
      <c r="AXW104" s="68"/>
      <c r="AXX104" s="68"/>
      <c r="AXY104" s="68"/>
      <c r="AXZ104" s="68"/>
      <c r="AYA104" s="68"/>
      <c r="AYB104" s="68"/>
      <c r="AYC104" s="68"/>
      <c r="AYD104" s="68"/>
      <c r="AYE104" s="68"/>
      <c r="AYF104" s="68"/>
      <c r="AYG104" s="68"/>
      <c r="AYH104" s="68"/>
      <c r="AYI104" s="68"/>
      <c r="AYJ104" s="68"/>
      <c r="AYK104" s="68"/>
      <c r="AYL104" s="68"/>
      <c r="AYM104" s="68"/>
      <c r="AYN104" s="68"/>
      <c r="AYO104" s="68"/>
      <c r="AYP104" s="68"/>
      <c r="AYQ104" s="68"/>
      <c r="AYR104" s="68"/>
      <c r="AYS104" s="68"/>
      <c r="AYT104" s="68"/>
      <c r="AYU104" s="68"/>
      <c r="AYV104" s="68"/>
      <c r="AYW104" s="68"/>
      <c r="AYX104" s="68"/>
      <c r="AYY104" s="68"/>
      <c r="AYZ104" s="68"/>
      <c r="AZA104" s="68"/>
      <c r="AZB104" s="68"/>
      <c r="AZC104" s="68"/>
      <c r="AZD104" s="68"/>
      <c r="AZE104" s="68"/>
      <c r="AZF104" s="68"/>
      <c r="AZG104" s="68"/>
      <c r="AZH104" s="68"/>
      <c r="AZI104" s="68"/>
      <c r="AZJ104" s="68"/>
      <c r="AZK104" s="68"/>
      <c r="AZL104" s="68"/>
      <c r="AZM104" s="68"/>
      <c r="AZN104" s="68"/>
      <c r="AZO104" s="68"/>
      <c r="AZP104" s="68"/>
      <c r="AZQ104" s="68"/>
      <c r="AZR104" s="68"/>
      <c r="AZS104" s="68"/>
      <c r="AZT104" s="68"/>
      <c r="AZU104" s="68"/>
      <c r="AZV104" s="68"/>
      <c r="AZW104" s="68"/>
      <c r="AZX104" s="68"/>
      <c r="AZY104" s="68"/>
      <c r="AZZ104" s="68"/>
      <c r="BAA104" s="68"/>
      <c r="BAB104" s="68"/>
      <c r="BAC104" s="68"/>
      <c r="BAD104" s="68"/>
      <c r="BAE104" s="68"/>
      <c r="BAF104" s="68"/>
      <c r="BAG104" s="68"/>
      <c r="BAH104" s="68"/>
      <c r="BAI104" s="68"/>
      <c r="BAJ104" s="68"/>
      <c r="BAK104" s="68"/>
      <c r="BAL104" s="68"/>
      <c r="BAM104" s="68"/>
      <c r="BAN104" s="68"/>
      <c r="BAO104" s="68"/>
      <c r="BAP104" s="68"/>
      <c r="BAQ104" s="68"/>
      <c r="BAR104" s="68"/>
      <c r="BAS104" s="68"/>
      <c r="BAT104" s="68"/>
      <c r="BAU104" s="68"/>
      <c r="BAV104" s="68"/>
      <c r="BAW104" s="68"/>
      <c r="BAX104" s="68"/>
      <c r="BAY104" s="68"/>
      <c r="BAZ104" s="68"/>
      <c r="BBA104" s="68"/>
      <c r="BBB104" s="68"/>
      <c r="BBC104" s="68"/>
      <c r="BBD104" s="68"/>
      <c r="BBE104" s="68"/>
      <c r="BBF104" s="68"/>
      <c r="BBG104" s="68"/>
      <c r="BBH104" s="68"/>
      <c r="BBI104" s="68"/>
      <c r="BBJ104" s="68"/>
      <c r="BBK104" s="68"/>
      <c r="BBL104" s="68"/>
      <c r="BBM104" s="68"/>
      <c r="BBN104" s="68"/>
      <c r="BBO104" s="68"/>
      <c r="BBP104" s="68"/>
      <c r="BBQ104" s="68"/>
      <c r="BBR104" s="68"/>
      <c r="BBS104" s="68"/>
      <c r="BBT104" s="68"/>
      <c r="BBU104" s="68"/>
      <c r="BBV104" s="68"/>
      <c r="BBW104" s="68"/>
      <c r="BBX104" s="68"/>
      <c r="BBY104" s="68"/>
      <c r="BBZ104" s="68"/>
      <c r="BCA104" s="68"/>
      <c r="BCB104" s="68"/>
      <c r="BCC104" s="68"/>
      <c r="BCD104" s="68"/>
      <c r="BCE104" s="68"/>
      <c r="BCF104" s="68"/>
      <c r="BCG104" s="68"/>
      <c r="BCH104" s="68"/>
      <c r="BCI104" s="68"/>
      <c r="BCJ104" s="68"/>
      <c r="BCK104" s="68"/>
      <c r="BCL104" s="68"/>
      <c r="BCM104" s="68"/>
      <c r="BCN104" s="68"/>
      <c r="BCO104" s="68"/>
      <c r="BCP104" s="68"/>
      <c r="BCQ104" s="68"/>
      <c r="BCR104" s="68"/>
      <c r="BCS104" s="68"/>
      <c r="BCT104" s="68"/>
      <c r="BCU104" s="68"/>
      <c r="BCV104" s="68"/>
      <c r="BCW104" s="68"/>
      <c r="BCX104" s="68"/>
      <c r="BCY104" s="68"/>
      <c r="BCZ104" s="68"/>
      <c r="BDA104" s="68"/>
    </row>
    <row r="105" spans="1:1457" s="67" customFormat="1" ht="28.5" customHeight="1" x14ac:dyDescent="0.25">
      <c r="A105" s="49">
        <v>23</v>
      </c>
      <c r="B105" s="69" t="s">
        <v>177</v>
      </c>
      <c r="C105" s="69" t="s">
        <v>178</v>
      </c>
      <c r="D105" s="69" t="s">
        <v>708</v>
      </c>
      <c r="E105" s="69" t="s">
        <v>709</v>
      </c>
      <c r="F105" s="51">
        <v>2849500</v>
      </c>
      <c r="G105" s="72" t="s">
        <v>675</v>
      </c>
      <c r="H105" s="42" t="s">
        <v>567</v>
      </c>
      <c r="I105" s="69" t="s">
        <v>179</v>
      </c>
      <c r="J105" s="69"/>
      <c r="K105" s="102" t="s">
        <v>522</v>
      </c>
      <c r="L105" s="103">
        <v>13418599</v>
      </c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Q105" s="68"/>
      <c r="BR105" s="68"/>
      <c r="BS105" s="68"/>
      <c r="BT105" s="68"/>
      <c r="BU105" s="68"/>
      <c r="BV105" s="68"/>
      <c r="BW105" s="68"/>
      <c r="BX105" s="68"/>
      <c r="BY105" s="68"/>
      <c r="BZ105" s="68"/>
      <c r="CA105" s="68"/>
      <c r="CB105" s="68"/>
      <c r="CC105" s="68"/>
      <c r="CD105" s="68"/>
      <c r="CE105" s="68"/>
      <c r="CF105" s="68"/>
      <c r="CG105" s="68"/>
      <c r="CH105" s="68"/>
      <c r="CI105" s="68"/>
      <c r="CJ105" s="68"/>
      <c r="CK105" s="68"/>
      <c r="CL105" s="68"/>
      <c r="CM105" s="68"/>
      <c r="CN105" s="68"/>
      <c r="CO105" s="68"/>
      <c r="CP105" s="68"/>
      <c r="CQ105" s="68"/>
      <c r="CR105" s="68"/>
      <c r="CS105" s="68"/>
      <c r="CT105" s="68"/>
      <c r="CU105" s="68"/>
      <c r="CV105" s="68"/>
      <c r="CW105" s="68"/>
      <c r="CX105" s="68"/>
      <c r="CY105" s="68"/>
      <c r="CZ105" s="68"/>
      <c r="DA105" s="68"/>
      <c r="DB105" s="68"/>
      <c r="DC105" s="68"/>
      <c r="DD105" s="68"/>
      <c r="DE105" s="68"/>
      <c r="DF105" s="68"/>
      <c r="DG105" s="68"/>
      <c r="DH105" s="68"/>
      <c r="DI105" s="68"/>
      <c r="DJ105" s="68"/>
      <c r="DK105" s="68"/>
      <c r="DL105" s="68"/>
      <c r="DM105" s="68"/>
      <c r="DN105" s="68"/>
      <c r="DO105" s="68"/>
      <c r="DP105" s="68"/>
      <c r="DQ105" s="68"/>
      <c r="DR105" s="68"/>
      <c r="DS105" s="68"/>
      <c r="DT105" s="68"/>
      <c r="DU105" s="68"/>
      <c r="DV105" s="68"/>
      <c r="DW105" s="68"/>
      <c r="DX105" s="68"/>
      <c r="DY105" s="68"/>
      <c r="DZ105" s="68"/>
      <c r="EA105" s="68"/>
      <c r="EB105" s="68"/>
      <c r="EC105" s="68"/>
      <c r="ED105" s="68"/>
      <c r="EE105" s="68"/>
      <c r="EF105" s="68"/>
      <c r="EG105" s="68"/>
      <c r="EH105" s="68"/>
      <c r="EI105" s="68"/>
      <c r="EJ105" s="68"/>
      <c r="EK105" s="68"/>
      <c r="EL105" s="68"/>
      <c r="EM105" s="68"/>
      <c r="EN105" s="68"/>
      <c r="EO105" s="68"/>
      <c r="EP105" s="68"/>
      <c r="EQ105" s="68"/>
      <c r="ER105" s="68"/>
      <c r="ES105" s="68"/>
      <c r="ET105" s="68"/>
      <c r="EU105" s="68"/>
      <c r="EV105" s="68"/>
      <c r="EW105" s="68"/>
      <c r="EX105" s="68"/>
      <c r="EY105" s="68"/>
      <c r="EZ105" s="68"/>
      <c r="FA105" s="68"/>
      <c r="FB105" s="68"/>
      <c r="FC105" s="68"/>
      <c r="FD105" s="68"/>
      <c r="FE105" s="68"/>
      <c r="FF105" s="68"/>
      <c r="FG105" s="68"/>
      <c r="FH105" s="68"/>
      <c r="FI105" s="68"/>
      <c r="FJ105" s="68"/>
      <c r="FK105" s="68"/>
      <c r="FL105" s="68"/>
      <c r="FM105" s="68"/>
      <c r="FN105" s="68"/>
      <c r="FO105" s="68"/>
      <c r="FP105" s="68"/>
      <c r="FQ105" s="68"/>
      <c r="FR105" s="68"/>
      <c r="FS105" s="68"/>
      <c r="FT105" s="68"/>
      <c r="FU105" s="68"/>
      <c r="FV105" s="68"/>
      <c r="FW105" s="68"/>
      <c r="FX105" s="68"/>
      <c r="FY105" s="68"/>
      <c r="FZ105" s="68"/>
      <c r="GA105" s="68"/>
      <c r="GB105" s="68"/>
      <c r="GC105" s="68"/>
      <c r="GD105" s="68"/>
      <c r="GE105" s="68"/>
      <c r="GF105" s="68"/>
      <c r="GG105" s="68"/>
      <c r="GH105" s="68"/>
      <c r="GI105" s="68"/>
      <c r="GJ105" s="68"/>
      <c r="GK105" s="68"/>
      <c r="GL105" s="68"/>
      <c r="GM105" s="68"/>
      <c r="GN105" s="68"/>
      <c r="GO105" s="68"/>
      <c r="GP105" s="68"/>
      <c r="GQ105" s="68"/>
      <c r="GR105" s="68"/>
      <c r="GS105" s="68"/>
      <c r="GT105" s="68"/>
      <c r="GU105" s="68"/>
      <c r="GV105" s="68"/>
      <c r="GW105" s="68"/>
      <c r="GX105" s="68"/>
      <c r="GY105" s="68"/>
      <c r="GZ105" s="68"/>
      <c r="HA105" s="68"/>
      <c r="HB105" s="68"/>
      <c r="HC105" s="68"/>
      <c r="HD105" s="68"/>
      <c r="HE105" s="68"/>
      <c r="HF105" s="68"/>
      <c r="HG105" s="68"/>
      <c r="HH105" s="68"/>
      <c r="HI105" s="68"/>
      <c r="HJ105" s="68"/>
      <c r="HK105" s="68"/>
      <c r="HL105" s="68"/>
      <c r="HM105" s="68"/>
      <c r="HN105" s="68"/>
      <c r="HO105" s="68"/>
      <c r="HP105" s="68"/>
      <c r="HQ105" s="68"/>
      <c r="HR105" s="68"/>
      <c r="HS105" s="68"/>
      <c r="HT105" s="68"/>
      <c r="HU105" s="68"/>
      <c r="HV105" s="68"/>
      <c r="HW105" s="68"/>
      <c r="HX105" s="68"/>
      <c r="HY105" s="68"/>
      <c r="HZ105" s="68"/>
      <c r="IA105" s="68"/>
      <c r="IB105" s="68"/>
      <c r="IC105" s="68"/>
      <c r="ID105" s="68"/>
      <c r="IE105" s="68"/>
      <c r="IF105" s="68"/>
      <c r="IG105" s="68"/>
      <c r="IH105" s="68"/>
      <c r="II105" s="68"/>
      <c r="IJ105" s="68"/>
      <c r="IK105" s="68"/>
      <c r="IL105" s="68"/>
      <c r="IM105" s="68"/>
      <c r="IN105" s="68"/>
      <c r="IO105" s="68"/>
      <c r="IP105" s="68"/>
      <c r="IQ105" s="68"/>
      <c r="IR105" s="68"/>
      <c r="IS105" s="68"/>
      <c r="IT105" s="68"/>
      <c r="IU105" s="68"/>
      <c r="IV105" s="68"/>
      <c r="IW105" s="68"/>
      <c r="IX105" s="68"/>
      <c r="IY105" s="68"/>
      <c r="IZ105" s="68"/>
      <c r="JA105" s="68"/>
      <c r="JB105" s="68"/>
      <c r="JC105" s="68"/>
      <c r="JD105" s="68"/>
      <c r="JE105" s="68"/>
      <c r="JF105" s="68"/>
      <c r="JG105" s="68"/>
      <c r="JH105" s="68"/>
      <c r="JI105" s="68"/>
      <c r="JJ105" s="68"/>
      <c r="JK105" s="68"/>
      <c r="JL105" s="68"/>
      <c r="JM105" s="68"/>
      <c r="JN105" s="68"/>
      <c r="JO105" s="68"/>
      <c r="JP105" s="68"/>
      <c r="JQ105" s="68"/>
      <c r="JR105" s="68"/>
      <c r="JS105" s="68"/>
      <c r="JT105" s="68"/>
      <c r="JU105" s="68"/>
      <c r="JV105" s="68"/>
      <c r="JW105" s="68"/>
      <c r="JX105" s="68"/>
      <c r="JY105" s="68"/>
      <c r="JZ105" s="68"/>
      <c r="KA105" s="68"/>
      <c r="KB105" s="68"/>
      <c r="KC105" s="68"/>
      <c r="KD105" s="68"/>
      <c r="KE105" s="68"/>
      <c r="KF105" s="68"/>
      <c r="KG105" s="68"/>
      <c r="KH105" s="68"/>
      <c r="KI105" s="68"/>
      <c r="KJ105" s="68"/>
      <c r="KK105" s="68"/>
      <c r="KL105" s="68"/>
      <c r="KM105" s="68"/>
      <c r="KN105" s="68"/>
      <c r="KO105" s="68"/>
      <c r="KP105" s="68"/>
      <c r="KQ105" s="68"/>
      <c r="KR105" s="68"/>
      <c r="KS105" s="68"/>
      <c r="KT105" s="68"/>
      <c r="KU105" s="68"/>
      <c r="KV105" s="68"/>
      <c r="KW105" s="68"/>
      <c r="KX105" s="68"/>
      <c r="KY105" s="68"/>
      <c r="KZ105" s="68"/>
      <c r="LA105" s="68"/>
      <c r="LB105" s="68"/>
      <c r="LC105" s="68"/>
      <c r="LD105" s="68"/>
      <c r="LE105" s="68"/>
      <c r="LF105" s="68"/>
      <c r="LG105" s="68"/>
      <c r="LH105" s="68"/>
      <c r="LI105" s="68"/>
      <c r="LJ105" s="68"/>
      <c r="LK105" s="68"/>
      <c r="LL105" s="68"/>
      <c r="LM105" s="68"/>
      <c r="LN105" s="68"/>
      <c r="LO105" s="68"/>
      <c r="LP105" s="68"/>
      <c r="LQ105" s="68"/>
      <c r="LR105" s="68"/>
      <c r="LS105" s="68"/>
      <c r="LT105" s="68"/>
      <c r="LU105" s="68"/>
      <c r="LV105" s="68"/>
      <c r="LW105" s="68"/>
      <c r="LX105" s="68"/>
      <c r="LY105" s="68"/>
      <c r="LZ105" s="68"/>
      <c r="MA105" s="68"/>
      <c r="MB105" s="68"/>
      <c r="MC105" s="68"/>
      <c r="MD105" s="68"/>
      <c r="ME105" s="68"/>
      <c r="MF105" s="68"/>
      <c r="MG105" s="68"/>
      <c r="MH105" s="68"/>
      <c r="MI105" s="68"/>
      <c r="MJ105" s="68"/>
      <c r="MK105" s="68"/>
      <c r="ML105" s="68"/>
      <c r="MM105" s="68"/>
      <c r="MN105" s="68"/>
      <c r="MO105" s="68"/>
      <c r="MP105" s="68"/>
      <c r="MQ105" s="68"/>
      <c r="MR105" s="68"/>
      <c r="MS105" s="68"/>
      <c r="MT105" s="68"/>
      <c r="MU105" s="68"/>
      <c r="MV105" s="68"/>
      <c r="MW105" s="68"/>
      <c r="MX105" s="68"/>
      <c r="MY105" s="68"/>
      <c r="MZ105" s="68"/>
      <c r="NA105" s="68"/>
      <c r="NB105" s="68"/>
      <c r="NC105" s="68"/>
      <c r="ND105" s="68"/>
      <c r="NE105" s="68"/>
      <c r="NF105" s="68"/>
      <c r="NG105" s="68"/>
      <c r="NH105" s="68"/>
      <c r="NI105" s="68"/>
      <c r="NJ105" s="68"/>
      <c r="NK105" s="68"/>
      <c r="NL105" s="68"/>
      <c r="NM105" s="68"/>
      <c r="NN105" s="68"/>
      <c r="NO105" s="68"/>
      <c r="NP105" s="68"/>
      <c r="NQ105" s="68"/>
      <c r="NR105" s="68"/>
      <c r="NS105" s="68"/>
      <c r="NT105" s="68"/>
      <c r="NU105" s="68"/>
      <c r="NV105" s="68"/>
      <c r="NW105" s="68"/>
      <c r="NX105" s="68"/>
      <c r="NY105" s="68"/>
      <c r="NZ105" s="68"/>
      <c r="OA105" s="68"/>
      <c r="OB105" s="68"/>
      <c r="OC105" s="68"/>
      <c r="OD105" s="68"/>
      <c r="OE105" s="68"/>
      <c r="OF105" s="68"/>
      <c r="OG105" s="68"/>
      <c r="OH105" s="68"/>
      <c r="OI105" s="68"/>
      <c r="OJ105" s="68"/>
      <c r="OK105" s="68"/>
      <c r="OL105" s="68"/>
      <c r="OM105" s="68"/>
      <c r="ON105" s="68"/>
      <c r="OO105" s="68"/>
      <c r="OP105" s="68"/>
      <c r="OQ105" s="68"/>
      <c r="OR105" s="68"/>
      <c r="OS105" s="68"/>
      <c r="OT105" s="68"/>
      <c r="OU105" s="68"/>
      <c r="OV105" s="68"/>
      <c r="OW105" s="68"/>
      <c r="OX105" s="68"/>
      <c r="OY105" s="68"/>
      <c r="OZ105" s="68"/>
      <c r="PA105" s="68"/>
      <c r="PB105" s="68"/>
      <c r="PC105" s="68"/>
      <c r="PD105" s="68"/>
      <c r="PE105" s="68"/>
      <c r="PF105" s="68"/>
      <c r="PG105" s="68"/>
      <c r="PH105" s="68"/>
      <c r="PI105" s="68"/>
      <c r="PJ105" s="68"/>
      <c r="PK105" s="68"/>
      <c r="PL105" s="68"/>
      <c r="PM105" s="68"/>
      <c r="PN105" s="68"/>
      <c r="PO105" s="68"/>
      <c r="PP105" s="68"/>
      <c r="PQ105" s="68"/>
      <c r="PR105" s="68"/>
      <c r="PS105" s="68"/>
      <c r="PT105" s="68"/>
      <c r="PU105" s="68"/>
      <c r="PV105" s="68"/>
      <c r="PW105" s="68"/>
      <c r="PX105" s="68"/>
      <c r="PY105" s="68"/>
      <c r="PZ105" s="68"/>
      <c r="QA105" s="68"/>
      <c r="QB105" s="68"/>
      <c r="QC105" s="68"/>
      <c r="QD105" s="68"/>
      <c r="QE105" s="68"/>
      <c r="QF105" s="68"/>
      <c r="QG105" s="68"/>
      <c r="QH105" s="68"/>
      <c r="QI105" s="68"/>
      <c r="QJ105" s="68"/>
      <c r="QK105" s="68"/>
      <c r="QL105" s="68"/>
      <c r="QM105" s="68"/>
      <c r="QN105" s="68"/>
      <c r="QO105" s="68"/>
      <c r="QP105" s="68"/>
      <c r="QQ105" s="68"/>
      <c r="QR105" s="68"/>
      <c r="QS105" s="68"/>
      <c r="QT105" s="68"/>
      <c r="QU105" s="68"/>
      <c r="QV105" s="68"/>
      <c r="QW105" s="68"/>
      <c r="QX105" s="68"/>
      <c r="QY105" s="68"/>
      <c r="QZ105" s="68"/>
      <c r="RA105" s="68"/>
      <c r="RB105" s="68"/>
      <c r="RC105" s="68"/>
      <c r="RD105" s="68"/>
      <c r="RE105" s="68"/>
      <c r="RF105" s="68"/>
      <c r="RG105" s="68"/>
      <c r="RH105" s="68"/>
      <c r="RI105" s="68"/>
      <c r="RJ105" s="68"/>
      <c r="RK105" s="68"/>
      <c r="RL105" s="68"/>
      <c r="RM105" s="68"/>
      <c r="RN105" s="68"/>
      <c r="RO105" s="68"/>
      <c r="RP105" s="68"/>
      <c r="RQ105" s="68"/>
      <c r="RR105" s="68"/>
      <c r="RS105" s="68"/>
      <c r="RT105" s="68"/>
      <c r="RU105" s="68"/>
      <c r="RV105" s="68"/>
      <c r="RW105" s="68"/>
      <c r="RX105" s="68"/>
      <c r="RY105" s="68"/>
      <c r="RZ105" s="68"/>
      <c r="SA105" s="68"/>
      <c r="SB105" s="68"/>
      <c r="SC105" s="68"/>
      <c r="SD105" s="68"/>
      <c r="SE105" s="68"/>
      <c r="SF105" s="68"/>
      <c r="SG105" s="68"/>
      <c r="SH105" s="68"/>
      <c r="SI105" s="68"/>
      <c r="SJ105" s="68"/>
      <c r="SK105" s="68"/>
      <c r="SL105" s="68"/>
      <c r="SM105" s="68"/>
      <c r="SN105" s="68"/>
      <c r="SO105" s="68"/>
      <c r="SP105" s="68"/>
      <c r="SQ105" s="68"/>
      <c r="SR105" s="68"/>
      <c r="SS105" s="68"/>
      <c r="ST105" s="68"/>
      <c r="SU105" s="68"/>
      <c r="SV105" s="68"/>
      <c r="SW105" s="68"/>
      <c r="SX105" s="68"/>
      <c r="SY105" s="68"/>
      <c r="SZ105" s="68"/>
      <c r="TA105" s="68"/>
      <c r="TB105" s="68"/>
      <c r="TC105" s="68"/>
      <c r="TD105" s="68"/>
      <c r="TE105" s="68"/>
      <c r="TF105" s="68"/>
      <c r="TG105" s="68"/>
      <c r="TH105" s="68"/>
      <c r="TI105" s="68"/>
      <c r="TJ105" s="68"/>
      <c r="TK105" s="68"/>
      <c r="TL105" s="68"/>
      <c r="TM105" s="68"/>
      <c r="TN105" s="68"/>
      <c r="TO105" s="68"/>
      <c r="TP105" s="68"/>
      <c r="TQ105" s="68"/>
      <c r="TR105" s="68"/>
      <c r="TS105" s="68"/>
      <c r="TT105" s="68"/>
      <c r="TU105" s="68"/>
      <c r="TV105" s="68"/>
      <c r="TW105" s="68"/>
      <c r="TX105" s="68"/>
      <c r="TY105" s="68"/>
      <c r="TZ105" s="68"/>
      <c r="UA105" s="68"/>
      <c r="UB105" s="68"/>
      <c r="UC105" s="68"/>
      <c r="UD105" s="68"/>
      <c r="UE105" s="68"/>
      <c r="UF105" s="68"/>
      <c r="UG105" s="68"/>
      <c r="UH105" s="68"/>
      <c r="UI105" s="68"/>
      <c r="UJ105" s="68"/>
      <c r="UK105" s="68"/>
      <c r="UL105" s="68"/>
      <c r="UM105" s="68"/>
      <c r="UN105" s="68"/>
      <c r="UO105" s="68"/>
      <c r="UP105" s="68"/>
      <c r="UQ105" s="68"/>
      <c r="UR105" s="68"/>
      <c r="US105" s="68"/>
      <c r="UT105" s="68"/>
      <c r="UU105" s="68"/>
      <c r="UV105" s="68"/>
      <c r="UW105" s="68"/>
      <c r="UX105" s="68"/>
      <c r="UY105" s="68"/>
      <c r="UZ105" s="68"/>
      <c r="VA105" s="68"/>
      <c r="VB105" s="68"/>
      <c r="VC105" s="68"/>
      <c r="VD105" s="68"/>
      <c r="VE105" s="68"/>
      <c r="VF105" s="68"/>
      <c r="VG105" s="68"/>
      <c r="VH105" s="68"/>
      <c r="VI105" s="68"/>
      <c r="VJ105" s="68"/>
      <c r="VK105" s="68"/>
      <c r="VL105" s="68"/>
      <c r="VM105" s="68"/>
      <c r="VN105" s="68"/>
      <c r="VO105" s="68"/>
      <c r="VP105" s="68"/>
      <c r="VQ105" s="68"/>
      <c r="VR105" s="68"/>
      <c r="VS105" s="68"/>
      <c r="VT105" s="68"/>
      <c r="VU105" s="68"/>
      <c r="VV105" s="68"/>
      <c r="VW105" s="68"/>
      <c r="VX105" s="68"/>
      <c r="VY105" s="68"/>
      <c r="VZ105" s="68"/>
      <c r="WA105" s="68"/>
      <c r="WB105" s="68"/>
      <c r="WC105" s="68"/>
      <c r="WD105" s="68"/>
      <c r="WE105" s="68"/>
      <c r="WF105" s="68"/>
      <c r="WG105" s="68"/>
      <c r="WH105" s="68"/>
      <c r="WI105" s="68"/>
      <c r="WJ105" s="68"/>
      <c r="WK105" s="68"/>
      <c r="WL105" s="68"/>
      <c r="WM105" s="68"/>
      <c r="WN105" s="68"/>
      <c r="WO105" s="68"/>
      <c r="WP105" s="68"/>
      <c r="WQ105" s="68"/>
      <c r="WR105" s="68"/>
      <c r="WS105" s="68"/>
      <c r="WT105" s="68"/>
      <c r="WU105" s="68"/>
      <c r="WV105" s="68"/>
      <c r="WW105" s="68"/>
      <c r="WX105" s="68"/>
      <c r="WY105" s="68"/>
      <c r="WZ105" s="68"/>
      <c r="XA105" s="68"/>
      <c r="XB105" s="68"/>
      <c r="XC105" s="68"/>
      <c r="XD105" s="68"/>
      <c r="XE105" s="68"/>
      <c r="XF105" s="68"/>
      <c r="XG105" s="68"/>
      <c r="XH105" s="68"/>
      <c r="XI105" s="68"/>
      <c r="XJ105" s="68"/>
      <c r="XK105" s="68"/>
      <c r="XL105" s="68"/>
      <c r="XM105" s="68"/>
      <c r="XN105" s="68"/>
      <c r="XO105" s="68"/>
      <c r="XP105" s="68"/>
      <c r="XQ105" s="68"/>
      <c r="XR105" s="68"/>
      <c r="XS105" s="68"/>
      <c r="XT105" s="68"/>
      <c r="XU105" s="68"/>
      <c r="XV105" s="68"/>
      <c r="XW105" s="68"/>
      <c r="XX105" s="68"/>
      <c r="XY105" s="68"/>
      <c r="XZ105" s="68"/>
      <c r="YA105" s="68"/>
      <c r="YB105" s="68"/>
      <c r="YC105" s="68"/>
      <c r="YD105" s="68"/>
      <c r="YE105" s="68"/>
      <c r="YF105" s="68"/>
      <c r="YG105" s="68"/>
      <c r="YH105" s="68"/>
      <c r="YI105" s="68"/>
      <c r="YJ105" s="68"/>
      <c r="YK105" s="68"/>
      <c r="YL105" s="68"/>
      <c r="YM105" s="68"/>
      <c r="YN105" s="68"/>
      <c r="YO105" s="68"/>
      <c r="YP105" s="68"/>
      <c r="YQ105" s="68"/>
      <c r="YR105" s="68"/>
      <c r="YS105" s="68"/>
      <c r="YT105" s="68"/>
      <c r="YU105" s="68"/>
      <c r="YV105" s="68"/>
      <c r="YW105" s="68"/>
      <c r="YX105" s="68"/>
      <c r="YY105" s="68"/>
      <c r="YZ105" s="68"/>
      <c r="ZA105" s="68"/>
      <c r="ZB105" s="68"/>
      <c r="ZC105" s="68"/>
      <c r="ZD105" s="68"/>
      <c r="ZE105" s="68"/>
      <c r="ZF105" s="68"/>
      <c r="ZG105" s="68"/>
      <c r="ZH105" s="68"/>
      <c r="ZI105" s="68"/>
      <c r="ZJ105" s="68"/>
      <c r="ZK105" s="68"/>
      <c r="ZL105" s="68"/>
      <c r="ZM105" s="68"/>
      <c r="ZN105" s="68"/>
      <c r="ZO105" s="68"/>
      <c r="ZP105" s="68"/>
      <c r="ZQ105" s="68"/>
      <c r="ZR105" s="68"/>
      <c r="ZS105" s="68"/>
      <c r="ZT105" s="68"/>
      <c r="ZU105" s="68"/>
      <c r="ZV105" s="68"/>
      <c r="ZW105" s="68"/>
      <c r="ZX105" s="68"/>
      <c r="ZY105" s="68"/>
      <c r="ZZ105" s="68"/>
      <c r="AAA105" s="68"/>
      <c r="AAB105" s="68"/>
      <c r="AAC105" s="68"/>
      <c r="AAD105" s="68"/>
      <c r="AAE105" s="68"/>
      <c r="AAF105" s="68"/>
      <c r="AAG105" s="68"/>
      <c r="AAH105" s="68"/>
      <c r="AAI105" s="68"/>
      <c r="AAJ105" s="68"/>
      <c r="AAK105" s="68"/>
      <c r="AAL105" s="68"/>
      <c r="AAM105" s="68"/>
      <c r="AAN105" s="68"/>
      <c r="AAO105" s="68"/>
      <c r="AAP105" s="68"/>
      <c r="AAQ105" s="68"/>
      <c r="AAR105" s="68"/>
      <c r="AAS105" s="68"/>
      <c r="AAT105" s="68"/>
      <c r="AAU105" s="68"/>
      <c r="AAV105" s="68"/>
      <c r="AAW105" s="68"/>
      <c r="AAX105" s="68"/>
      <c r="AAY105" s="68"/>
      <c r="AAZ105" s="68"/>
      <c r="ABA105" s="68"/>
      <c r="ABB105" s="68"/>
      <c r="ABC105" s="68"/>
      <c r="ABD105" s="68"/>
      <c r="ABE105" s="68"/>
      <c r="ABF105" s="68"/>
      <c r="ABG105" s="68"/>
      <c r="ABH105" s="68"/>
      <c r="ABI105" s="68"/>
      <c r="ABJ105" s="68"/>
      <c r="ABK105" s="68"/>
      <c r="ABL105" s="68"/>
      <c r="ABM105" s="68"/>
      <c r="ABN105" s="68"/>
      <c r="ABO105" s="68"/>
      <c r="ABP105" s="68"/>
      <c r="ABQ105" s="68"/>
      <c r="ABR105" s="68"/>
      <c r="ABS105" s="68"/>
      <c r="ABT105" s="68"/>
      <c r="ABU105" s="68"/>
      <c r="ABV105" s="68"/>
      <c r="ABW105" s="68"/>
      <c r="ABX105" s="68"/>
      <c r="ABY105" s="68"/>
      <c r="ABZ105" s="68"/>
      <c r="ACA105" s="68"/>
      <c r="ACB105" s="68"/>
      <c r="ACC105" s="68"/>
      <c r="ACD105" s="68"/>
      <c r="ACE105" s="68"/>
      <c r="ACF105" s="68"/>
      <c r="ACG105" s="68"/>
      <c r="ACH105" s="68"/>
      <c r="ACI105" s="68"/>
      <c r="ACJ105" s="68"/>
      <c r="ACK105" s="68"/>
      <c r="ACL105" s="68"/>
      <c r="ACM105" s="68"/>
      <c r="ACN105" s="68"/>
      <c r="ACO105" s="68"/>
      <c r="ACP105" s="68"/>
      <c r="ACQ105" s="68"/>
      <c r="ACR105" s="68"/>
      <c r="ACS105" s="68"/>
      <c r="ACT105" s="68"/>
      <c r="ACU105" s="68"/>
      <c r="ACV105" s="68"/>
      <c r="ACW105" s="68"/>
      <c r="ACX105" s="68"/>
      <c r="ACY105" s="68"/>
      <c r="ACZ105" s="68"/>
      <c r="ADA105" s="68"/>
      <c r="ADB105" s="68"/>
      <c r="ADC105" s="68"/>
      <c r="ADD105" s="68"/>
      <c r="ADE105" s="68"/>
      <c r="ADF105" s="68"/>
      <c r="ADG105" s="68"/>
      <c r="ADH105" s="68"/>
      <c r="ADI105" s="68"/>
      <c r="ADJ105" s="68"/>
      <c r="ADK105" s="68"/>
      <c r="ADL105" s="68"/>
      <c r="ADM105" s="68"/>
      <c r="ADN105" s="68"/>
      <c r="ADO105" s="68"/>
      <c r="ADP105" s="68"/>
      <c r="ADQ105" s="68"/>
      <c r="ADR105" s="68"/>
      <c r="ADS105" s="68"/>
      <c r="ADT105" s="68"/>
      <c r="ADU105" s="68"/>
      <c r="ADV105" s="68"/>
      <c r="ADW105" s="68"/>
      <c r="ADX105" s="68"/>
      <c r="ADY105" s="68"/>
      <c r="ADZ105" s="68"/>
      <c r="AEA105" s="68"/>
      <c r="AEB105" s="68"/>
      <c r="AEC105" s="68"/>
      <c r="AED105" s="68"/>
      <c r="AEE105" s="68"/>
      <c r="AEF105" s="68"/>
      <c r="AEG105" s="68"/>
      <c r="AEH105" s="68"/>
      <c r="AEI105" s="68"/>
      <c r="AEJ105" s="68"/>
      <c r="AEK105" s="68"/>
      <c r="AEL105" s="68"/>
      <c r="AEM105" s="68"/>
      <c r="AEN105" s="68"/>
      <c r="AEO105" s="68"/>
      <c r="AEP105" s="68"/>
      <c r="AEQ105" s="68"/>
      <c r="AER105" s="68"/>
      <c r="AES105" s="68"/>
      <c r="AET105" s="68"/>
      <c r="AEU105" s="68"/>
      <c r="AEV105" s="68"/>
      <c r="AEW105" s="68"/>
      <c r="AEX105" s="68"/>
      <c r="AEY105" s="68"/>
      <c r="AEZ105" s="68"/>
      <c r="AFA105" s="68"/>
      <c r="AFB105" s="68"/>
      <c r="AFC105" s="68"/>
      <c r="AFD105" s="68"/>
      <c r="AFE105" s="68"/>
      <c r="AFF105" s="68"/>
      <c r="AFG105" s="68"/>
      <c r="AFH105" s="68"/>
      <c r="AFI105" s="68"/>
      <c r="AFJ105" s="68"/>
      <c r="AFK105" s="68"/>
      <c r="AFL105" s="68"/>
      <c r="AFM105" s="68"/>
      <c r="AFN105" s="68"/>
      <c r="AFO105" s="68"/>
      <c r="AFP105" s="68"/>
      <c r="AFQ105" s="68"/>
      <c r="AFR105" s="68"/>
      <c r="AFS105" s="68"/>
      <c r="AFT105" s="68"/>
      <c r="AFU105" s="68"/>
      <c r="AFV105" s="68"/>
      <c r="AFW105" s="68"/>
      <c r="AFX105" s="68"/>
      <c r="AFY105" s="68"/>
      <c r="AFZ105" s="68"/>
      <c r="AGA105" s="68"/>
      <c r="AGB105" s="68"/>
      <c r="AGC105" s="68"/>
      <c r="AGD105" s="68"/>
      <c r="AGE105" s="68"/>
      <c r="AGF105" s="68"/>
      <c r="AGG105" s="68"/>
      <c r="AGH105" s="68"/>
      <c r="AGI105" s="68"/>
      <c r="AGJ105" s="68"/>
      <c r="AGK105" s="68"/>
      <c r="AGL105" s="68"/>
      <c r="AGM105" s="68"/>
      <c r="AGN105" s="68"/>
      <c r="AGO105" s="68"/>
      <c r="AGP105" s="68"/>
      <c r="AGQ105" s="68"/>
      <c r="AGR105" s="68"/>
      <c r="AGS105" s="68"/>
      <c r="AGT105" s="68"/>
      <c r="AGU105" s="68"/>
      <c r="AGV105" s="68"/>
      <c r="AGW105" s="68"/>
      <c r="AGX105" s="68"/>
      <c r="AGY105" s="68"/>
      <c r="AGZ105" s="68"/>
      <c r="AHA105" s="68"/>
      <c r="AHB105" s="68"/>
      <c r="AHC105" s="68"/>
      <c r="AHD105" s="68"/>
      <c r="AHE105" s="68"/>
      <c r="AHF105" s="68"/>
      <c r="AHG105" s="68"/>
      <c r="AHH105" s="68"/>
      <c r="AHI105" s="68"/>
      <c r="AHJ105" s="68"/>
      <c r="AHK105" s="68"/>
      <c r="AHL105" s="68"/>
      <c r="AHM105" s="68"/>
      <c r="AHN105" s="68"/>
      <c r="AHO105" s="68"/>
      <c r="AHP105" s="68"/>
      <c r="AHQ105" s="68"/>
      <c r="AHR105" s="68"/>
      <c r="AHS105" s="68"/>
      <c r="AHT105" s="68"/>
      <c r="AHU105" s="68"/>
      <c r="AHV105" s="68"/>
      <c r="AHW105" s="68"/>
      <c r="AHX105" s="68"/>
      <c r="AHY105" s="68"/>
      <c r="AHZ105" s="68"/>
      <c r="AIA105" s="68"/>
      <c r="AIB105" s="68"/>
      <c r="AIC105" s="68"/>
      <c r="AID105" s="68"/>
      <c r="AIE105" s="68"/>
      <c r="AIF105" s="68"/>
      <c r="AIG105" s="68"/>
      <c r="AIH105" s="68"/>
      <c r="AII105" s="68"/>
      <c r="AIJ105" s="68"/>
      <c r="AIK105" s="68"/>
      <c r="AIL105" s="68"/>
      <c r="AIM105" s="68"/>
      <c r="AIN105" s="68"/>
      <c r="AIO105" s="68"/>
      <c r="AIP105" s="68"/>
      <c r="AIQ105" s="68"/>
      <c r="AIR105" s="68"/>
      <c r="AIS105" s="68"/>
      <c r="AIT105" s="68"/>
      <c r="AIU105" s="68"/>
      <c r="AIV105" s="68"/>
      <c r="AIW105" s="68"/>
      <c r="AIX105" s="68"/>
      <c r="AIY105" s="68"/>
      <c r="AIZ105" s="68"/>
      <c r="AJA105" s="68"/>
      <c r="AJB105" s="68"/>
      <c r="AJC105" s="68"/>
      <c r="AJD105" s="68"/>
      <c r="AJE105" s="68"/>
      <c r="AJF105" s="68"/>
      <c r="AJG105" s="68"/>
      <c r="AJH105" s="68"/>
      <c r="AJI105" s="68"/>
      <c r="AJJ105" s="68"/>
      <c r="AJK105" s="68"/>
      <c r="AJL105" s="68"/>
      <c r="AJM105" s="68"/>
      <c r="AJN105" s="68"/>
      <c r="AJO105" s="68"/>
      <c r="AJP105" s="68"/>
      <c r="AJQ105" s="68"/>
      <c r="AJR105" s="68"/>
      <c r="AJS105" s="68"/>
      <c r="AJT105" s="68"/>
      <c r="AJU105" s="68"/>
      <c r="AJV105" s="68"/>
      <c r="AJW105" s="68"/>
      <c r="AJX105" s="68"/>
      <c r="AJY105" s="68"/>
      <c r="AJZ105" s="68"/>
      <c r="AKA105" s="68"/>
      <c r="AKB105" s="68"/>
      <c r="AKC105" s="68"/>
      <c r="AKD105" s="68"/>
      <c r="AKE105" s="68"/>
      <c r="AKF105" s="68"/>
      <c r="AKG105" s="68"/>
      <c r="AKH105" s="68"/>
      <c r="AKI105" s="68"/>
      <c r="AKJ105" s="68"/>
      <c r="AKK105" s="68"/>
      <c r="AKL105" s="68"/>
      <c r="AKM105" s="68"/>
      <c r="AKN105" s="68"/>
      <c r="AKO105" s="68"/>
      <c r="AKP105" s="68"/>
      <c r="AKQ105" s="68"/>
      <c r="AKR105" s="68"/>
      <c r="AKS105" s="68"/>
      <c r="AKT105" s="68"/>
      <c r="AKU105" s="68"/>
      <c r="AKV105" s="68"/>
      <c r="AKW105" s="68"/>
      <c r="AKX105" s="68"/>
      <c r="AKY105" s="68"/>
      <c r="AKZ105" s="68"/>
      <c r="ALA105" s="68"/>
      <c r="ALB105" s="68"/>
      <c r="ALC105" s="68"/>
      <c r="ALD105" s="68"/>
      <c r="ALE105" s="68"/>
      <c r="ALF105" s="68"/>
      <c r="ALG105" s="68"/>
      <c r="ALH105" s="68"/>
      <c r="ALI105" s="68"/>
      <c r="ALJ105" s="68"/>
      <c r="ALK105" s="68"/>
      <c r="ALL105" s="68"/>
      <c r="ALM105" s="68"/>
      <c r="ALN105" s="68"/>
      <c r="ALO105" s="68"/>
      <c r="ALP105" s="68"/>
      <c r="ALQ105" s="68"/>
      <c r="ALR105" s="68"/>
      <c r="ALS105" s="68"/>
      <c r="ALT105" s="68"/>
      <c r="ALU105" s="68"/>
      <c r="ALV105" s="68"/>
      <c r="ALW105" s="68"/>
      <c r="ALX105" s="68"/>
      <c r="ALY105" s="68"/>
      <c r="ALZ105" s="68"/>
      <c r="AMA105" s="68"/>
      <c r="AMB105" s="68"/>
      <c r="AMC105" s="68"/>
      <c r="AMD105" s="68"/>
      <c r="AME105" s="68"/>
      <c r="AMF105" s="68"/>
      <c r="AMG105" s="68"/>
      <c r="AMH105" s="68"/>
      <c r="AMI105" s="68"/>
      <c r="AMJ105" s="68"/>
      <c r="AMK105" s="68"/>
      <c r="AML105" s="68"/>
      <c r="AMM105" s="68"/>
      <c r="AMN105" s="68"/>
      <c r="AMO105" s="68"/>
      <c r="AMP105" s="68"/>
      <c r="AMQ105" s="68"/>
      <c r="AMR105" s="68"/>
      <c r="AMS105" s="68"/>
      <c r="AMT105" s="68"/>
      <c r="AMU105" s="68"/>
      <c r="AMV105" s="68"/>
      <c r="AMW105" s="68"/>
      <c r="AMX105" s="68"/>
      <c r="AMY105" s="68"/>
      <c r="AMZ105" s="68"/>
      <c r="ANA105" s="68"/>
      <c r="ANB105" s="68"/>
      <c r="ANC105" s="68"/>
      <c r="AND105" s="68"/>
      <c r="ANE105" s="68"/>
      <c r="ANF105" s="68"/>
      <c r="ANG105" s="68"/>
      <c r="ANH105" s="68"/>
      <c r="ANI105" s="68"/>
      <c r="ANJ105" s="68"/>
      <c r="ANK105" s="68"/>
      <c r="ANL105" s="68"/>
      <c r="ANM105" s="68"/>
      <c r="ANN105" s="68"/>
      <c r="ANO105" s="68"/>
      <c r="ANP105" s="68"/>
      <c r="ANQ105" s="68"/>
      <c r="ANR105" s="68"/>
      <c r="ANS105" s="68"/>
      <c r="ANT105" s="68"/>
      <c r="ANU105" s="68"/>
      <c r="ANV105" s="68"/>
      <c r="ANW105" s="68"/>
      <c r="ANX105" s="68"/>
      <c r="ANY105" s="68"/>
      <c r="ANZ105" s="68"/>
      <c r="AOA105" s="68"/>
      <c r="AOB105" s="68"/>
      <c r="AOC105" s="68"/>
      <c r="AOD105" s="68"/>
      <c r="AOE105" s="68"/>
      <c r="AOF105" s="68"/>
      <c r="AOG105" s="68"/>
      <c r="AOH105" s="68"/>
      <c r="AOI105" s="68"/>
      <c r="AOJ105" s="68"/>
      <c r="AOK105" s="68"/>
      <c r="AOL105" s="68"/>
      <c r="AOM105" s="68"/>
      <c r="AON105" s="68"/>
      <c r="AOO105" s="68"/>
      <c r="AOP105" s="68"/>
      <c r="AOQ105" s="68"/>
      <c r="AOR105" s="68"/>
      <c r="AOS105" s="68"/>
      <c r="AOT105" s="68"/>
      <c r="AOU105" s="68"/>
      <c r="AOV105" s="68"/>
      <c r="AOW105" s="68"/>
      <c r="AOX105" s="68"/>
      <c r="AOY105" s="68"/>
      <c r="AOZ105" s="68"/>
      <c r="APA105" s="68"/>
      <c r="APB105" s="68"/>
      <c r="APC105" s="68"/>
      <c r="APD105" s="68"/>
      <c r="APE105" s="68"/>
      <c r="APF105" s="68"/>
      <c r="APG105" s="68"/>
      <c r="APH105" s="68"/>
      <c r="API105" s="68"/>
      <c r="APJ105" s="68"/>
      <c r="APK105" s="68"/>
      <c r="APL105" s="68"/>
      <c r="APM105" s="68"/>
      <c r="APN105" s="68"/>
      <c r="APO105" s="68"/>
      <c r="APP105" s="68"/>
      <c r="APQ105" s="68"/>
      <c r="APR105" s="68"/>
      <c r="APS105" s="68"/>
      <c r="APT105" s="68"/>
      <c r="APU105" s="68"/>
      <c r="APV105" s="68"/>
      <c r="APW105" s="68"/>
      <c r="APX105" s="68"/>
      <c r="APY105" s="68"/>
      <c r="APZ105" s="68"/>
      <c r="AQA105" s="68"/>
      <c r="AQB105" s="68"/>
      <c r="AQC105" s="68"/>
      <c r="AQD105" s="68"/>
      <c r="AQE105" s="68"/>
      <c r="AQF105" s="68"/>
      <c r="AQG105" s="68"/>
      <c r="AQH105" s="68"/>
      <c r="AQI105" s="68"/>
      <c r="AQJ105" s="68"/>
      <c r="AQK105" s="68"/>
      <c r="AQL105" s="68"/>
      <c r="AQM105" s="68"/>
      <c r="AQN105" s="68"/>
      <c r="AQO105" s="68"/>
      <c r="AQP105" s="68"/>
      <c r="AQQ105" s="68"/>
      <c r="AQR105" s="68"/>
      <c r="AQS105" s="68"/>
      <c r="AQT105" s="68"/>
      <c r="AQU105" s="68"/>
      <c r="AQV105" s="68"/>
      <c r="AQW105" s="68"/>
      <c r="AQX105" s="68"/>
      <c r="AQY105" s="68"/>
      <c r="AQZ105" s="68"/>
      <c r="ARA105" s="68"/>
      <c r="ARB105" s="68"/>
      <c r="ARC105" s="68"/>
      <c r="ARD105" s="68"/>
      <c r="ARE105" s="68"/>
      <c r="ARF105" s="68"/>
      <c r="ARG105" s="68"/>
      <c r="ARH105" s="68"/>
      <c r="ARI105" s="68"/>
      <c r="ARJ105" s="68"/>
      <c r="ARK105" s="68"/>
      <c r="ARL105" s="68"/>
      <c r="ARM105" s="68"/>
      <c r="ARN105" s="68"/>
      <c r="ARO105" s="68"/>
      <c r="ARP105" s="68"/>
      <c r="ARQ105" s="68"/>
      <c r="ARR105" s="68"/>
      <c r="ARS105" s="68"/>
      <c r="ART105" s="68"/>
      <c r="ARU105" s="68"/>
      <c r="ARV105" s="68"/>
      <c r="ARW105" s="68"/>
      <c r="ARX105" s="68"/>
      <c r="ARY105" s="68"/>
      <c r="ARZ105" s="68"/>
      <c r="ASA105" s="68"/>
      <c r="ASB105" s="68"/>
      <c r="ASC105" s="68"/>
      <c r="ASD105" s="68"/>
      <c r="ASE105" s="68"/>
      <c r="ASF105" s="68"/>
      <c r="ASG105" s="68"/>
      <c r="ASH105" s="68"/>
      <c r="ASI105" s="68"/>
      <c r="ASJ105" s="68"/>
      <c r="ASK105" s="68"/>
      <c r="ASL105" s="68"/>
      <c r="ASM105" s="68"/>
      <c r="ASN105" s="68"/>
      <c r="ASO105" s="68"/>
      <c r="ASP105" s="68"/>
      <c r="ASQ105" s="68"/>
      <c r="ASR105" s="68"/>
      <c r="ASS105" s="68"/>
      <c r="AST105" s="68"/>
      <c r="ASU105" s="68"/>
      <c r="ASV105" s="68"/>
      <c r="ASW105" s="68"/>
      <c r="ASX105" s="68"/>
      <c r="ASY105" s="68"/>
      <c r="ASZ105" s="68"/>
      <c r="ATA105" s="68"/>
      <c r="ATB105" s="68"/>
      <c r="ATC105" s="68"/>
      <c r="ATD105" s="68"/>
      <c r="ATE105" s="68"/>
      <c r="ATF105" s="68"/>
      <c r="ATG105" s="68"/>
      <c r="ATH105" s="68"/>
      <c r="ATI105" s="68"/>
      <c r="ATJ105" s="68"/>
      <c r="ATK105" s="68"/>
      <c r="ATL105" s="68"/>
      <c r="ATM105" s="68"/>
      <c r="ATN105" s="68"/>
      <c r="ATO105" s="68"/>
      <c r="ATP105" s="68"/>
      <c r="ATQ105" s="68"/>
      <c r="ATR105" s="68"/>
      <c r="ATS105" s="68"/>
      <c r="ATT105" s="68"/>
      <c r="ATU105" s="68"/>
      <c r="ATV105" s="68"/>
      <c r="ATW105" s="68"/>
      <c r="ATX105" s="68"/>
      <c r="ATY105" s="68"/>
      <c r="ATZ105" s="68"/>
      <c r="AUA105" s="68"/>
      <c r="AUB105" s="68"/>
      <c r="AUC105" s="68"/>
      <c r="AUD105" s="68"/>
      <c r="AUE105" s="68"/>
      <c r="AUF105" s="68"/>
      <c r="AUG105" s="68"/>
      <c r="AUH105" s="68"/>
      <c r="AUI105" s="68"/>
      <c r="AUJ105" s="68"/>
      <c r="AUK105" s="68"/>
      <c r="AUL105" s="68"/>
      <c r="AUM105" s="68"/>
      <c r="AUN105" s="68"/>
      <c r="AUO105" s="68"/>
      <c r="AUP105" s="68"/>
      <c r="AUQ105" s="68"/>
      <c r="AUR105" s="68"/>
      <c r="AUS105" s="68"/>
      <c r="AUT105" s="68"/>
      <c r="AUU105" s="68"/>
      <c r="AUV105" s="68"/>
      <c r="AUW105" s="68"/>
      <c r="AUX105" s="68"/>
      <c r="AUY105" s="68"/>
      <c r="AUZ105" s="68"/>
      <c r="AVA105" s="68"/>
      <c r="AVB105" s="68"/>
      <c r="AVC105" s="68"/>
      <c r="AVD105" s="68"/>
      <c r="AVE105" s="68"/>
      <c r="AVF105" s="68"/>
      <c r="AVG105" s="68"/>
      <c r="AVH105" s="68"/>
      <c r="AVI105" s="68"/>
      <c r="AVJ105" s="68"/>
      <c r="AVK105" s="68"/>
      <c r="AVL105" s="68"/>
      <c r="AVM105" s="68"/>
      <c r="AVN105" s="68"/>
      <c r="AVO105" s="68"/>
      <c r="AVP105" s="68"/>
      <c r="AVQ105" s="68"/>
      <c r="AVR105" s="68"/>
      <c r="AVS105" s="68"/>
      <c r="AVT105" s="68"/>
      <c r="AVU105" s="68"/>
      <c r="AVV105" s="68"/>
      <c r="AVW105" s="68"/>
      <c r="AVX105" s="68"/>
      <c r="AVY105" s="68"/>
      <c r="AVZ105" s="68"/>
      <c r="AWA105" s="68"/>
      <c r="AWB105" s="68"/>
      <c r="AWC105" s="68"/>
      <c r="AWD105" s="68"/>
      <c r="AWE105" s="68"/>
      <c r="AWF105" s="68"/>
      <c r="AWG105" s="68"/>
      <c r="AWH105" s="68"/>
      <c r="AWI105" s="68"/>
      <c r="AWJ105" s="68"/>
      <c r="AWK105" s="68"/>
      <c r="AWL105" s="68"/>
      <c r="AWM105" s="68"/>
      <c r="AWN105" s="68"/>
      <c r="AWO105" s="68"/>
      <c r="AWP105" s="68"/>
      <c r="AWQ105" s="68"/>
      <c r="AWR105" s="68"/>
      <c r="AWS105" s="68"/>
      <c r="AWT105" s="68"/>
      <c r="AWU105" s="68"/>
      <c r="AWV105" s="68"/>
      <c r="AWW105" s="68"/>
      <c r="AWX105" s="68"/>
      <c r="AWY105" s="68"/>
      <c r="AWZ105" s="68"/>
      <c r="AXA105" s="68"/>
      <c r="AXB105" s="68"/>
      <c r="AXC105" s="68"/>
      <c r="AXD105" s="68"/>
      <c r="AXE105" s="68"/>
      <c r="AXF105" s="68"/>
      <c r="AXG105" s="68"/>
      <c r="AXH105" s="68"/>
      <c r="AXI105" s="68"/>
      <c r="AXJ105" s="68"/>
      <c r="AXK105" s="68"/>
      <c r="AXL105" s="68"/>
      <c r="AXM105" s="68"/>
      <c r="AXN105" s="68"/>
      <c r="AXO105" s="68"/>
      <c r="AXP105" s="68"/>
      <c r="AXQ105" s="68"/>
      <c r="AXR105" s="68"/>
      <c r="AXS105" s="68"/>
      <c r="AXT105" s="68"/>
      <c r="AXU105" s="68"/>
      <c r="AXV105" s="68"/>
      <c r="AXW105" s="68"/>
      <c r="AXX105" s="68"/>
      <c r="AXY105" s="68"/>
      <c r="AXZ105" s="68"/>
      <c r="AYA105" s="68"/>
      <c r="AYB105" s="68"/>
      <c r="AYC105" s="68"/>
      <c r="AYD105" s="68"/>
      <c r="AYE105" s="68"/>
      <c r="AYF105" s="68"/>
      <c r="AYG105" s="68"/>
      <c r="AYH105" s="68"/>
      <c r="AYI105" s="68"/>
      <c r="AYJ105" s="68"/>
      <c r="AYK105" s="68"/>
      <c r="AYL105" s="68"/>
      <c r="AYM105" s="68"/>
      <c r="AYN105" s="68"/>
      <c r="AYO105" s="68"/>
      <c r="AYP105" s="68"/>
      <c r="AYQ105" s="68"/>
      <c r="AYR105" s="68"/>
      <c r="AYS105" s="68"/>
      <c r="AYT105" s="68"/>
      <c r="AYU105" s="68"/>
      <c r="AYV105" s="68"/>
      <c r="AYW105" s="68"/>
      <c r="AYX105" s="68"/>
      <c r="AYY105" s="68"/>
      <c r="AYZ105" s="68"/>
      <c r="AZA105" s="68"/>
      <c r="AZB105" s="68"/>
      <c r="AZC105" s="68"/>
      <c r="AZD105" s="68"/>
      <c r="AZE105" s="68"/>
      <c r="AZF105" s="68"/>
      <c r="AZG105" s="68"/>
      <c r="AZH105" s="68"/>
      <c r="AZI105" s="68"/>
      <c r="AZJ105" s="68"/>
      <c r="AZK105" s="68"/>
      <c r="AZL105" s="68"/>
      <c r="AZM105" s="68"/>
      <c r="AZN105" s="68"/>
      <c r="AZO105" s="68"/>
      <c r="AZP105" s="68"/>
      <c r="AZQ105" s="68"/>
      <c r="AZR105" s="68"/>
      <c r="AZS105" s="68"/>
      <c r="AZT105" s="68"/>
      <c r="AZU105" s="68"/>
      <c r="AZV105" s="68"/>
      <c r="AZW105" s="68"/>
      <c r="AZX105" s="68"/>
      <c r="AZY105" s="68"/>
      <c r="AZZ105" s="68"/>
      <c r="BAA105" s="68"/>
      <c r="BAB105" s="68"/>
      <c r="BAC105" s="68"/>
      <c r="BAD105" s="68"/>
      <c r="BAE105" s="68"/>
      <c r="BAF105" s="68"/>
      <c r="BAG105" s="68"/>
      <c r="BAH105" s="68"/>
      <c r="BAI105" s="68"/>
      <c r="BAJ105" s="68"/>
      <c r="BAK105" s="68"/>
      <c r="BAL105" s="68"/>
      <c r="BAM105" s="68"/>
      <c r="BAN105" s="68"/>
      <c r="BAO105" s="68"/>
      <c r="BAP105" s="68"/>
      <c r="BAQ105" s="68"/>
      <c r="BAR105" s="68"/>
      <c r="BAS105" s="68"/>
      <c r="BAT105" s="68"/>
      <c r="BAU105" s="68"/>
      <c r="BAV105" s="68"/>
      <c r="BAW105" s="68"/>
      <c r="BAX105" s="68"/>
      <c r="BAY105" s="68"/>
      <c r="BAZ105" s="68"/>
      <c r="BBA105" s="68"/>
      <c r="BBB105" s="68"/>
      <c r="BBC105" s="68"/>
      <c r="BBD105" s="68"/>
      <c r="BBE105" s="68"/>
      <c r="BBF105" s="68"/>
      <c r="BBG105" s="68"/>
      <c r="BBH105" s="68"/>
      <c r="BBI105" s="68"/>
      <c r="BBJ105" s="68"/>
      <c r="BBK105" s="68"/>
      <c r="BBL105" s="68"/>
      <c r="BBM105" s="68"/>
      <c r="BBN105" s="68"/>
      <c r="BBO105" s="68"/>
      <c r="BBP105" s="68"/>
      <c r="BBQ105" s="68"/>
      <c r="BBR105" s="68"/>
      <c r="BBS105" s="68"/>
      <c r="BBT105" s="68"/>
      <c r="BBU105" s="68"/>
      <c r="BBV105" s="68"/>
      <c r="BBW105" s="68"/>
      <c r="BBX105" s="68"/>
      <c r="BBY105" s="68"/>
      <c r="BBZ105" s="68"/>
      <c r="BCA105" s="68"/>
      <c r="BCB105" s="68"/>
      <c r="BCC105" s="68"/>
      <c r="BCD105" s="68"/>
      <c r="BCE105" s="68"/>
      <c r="BCF105" s="68"/>
      <c r="BCG105" s="68"/>
      <c r="BCH105" s="68"/>
      <c r="BCI105" s="68"/>
      <c r="BCJ105" s="68"/>
      <c r="BCK105" s="68"/>
      <c r="BCL105" s="68"/>
      <c r="BCM105" s="68"/>
      <c r="BCN105" s="68"/>
      <c r="BCO105" s="68"/>
      <c r="BCP105" s="68"/>
      <c r="BCQ105" s="68"/>
      <c r="BCR105" s="68"/>
      <c r="BCS105" s="68"/>
      <c r="BCT105" s="68"/>
      <c r="BCU105" s="68"/>
      <c r="BCV105" s="68"/>
      <c r="BCW105" s="68"/>
      <c r="BCX105" s="68"/>
      <c r="BCY105" s="68"/>
      <c r="BCZ105" s="68"/>
      <c r="BDA105" s="68"/>
    </row>
    <row r="106" spans="1:1457" s="67" customFormat="1" ht="25.5" x14ac:dyDescent="0.25">
      <c r="A106" s="49">
        <v>24</v>
      </c>
      <c r="B106" s="71" t="s">
        <v>180</v>
      </c>
      <c r="C106" s="71" t="s">
        <v>182</v>
      </c>
      <c r="D106" s="69" t="s">
        <v>708</v>
      </c>
      <c r="E106" s="71" t="s">
        <v>709</v>
      </c>
      <c r="F106" s="51">
        <v>18195800</v>
      </c>
      <c r="G106" s="70" t="s">
        <v>676</v>
      </c>
      <c r="H106" s="42" t="s">
        <v>583</v>
      </c>
      <c r="I106" s="71" t="s">
        <v>181</v>
      </c>
      <c r="J106" s="71"/>
      <c r="K106" s="69"/>
      <c r="L106" s="69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  <c r="BV106" s="68"/>
      <c r="BW106" s="68"/>
      <c r="BX106" s="68"/>
      <c r="BY106" s="68"/>
      <c r="BZ106" s="68"/>
      <c r="CA106" s="68"/>
      <c r="CB106" s="68"/>
      <c r="CC106" s="68"/>
      <c r="CD106" s="68"/>
      <c r="CE106" s="68"/>
      <c r="CF106" s="68"/>
      <c r="CG106" s="68"/>
      <c r="CH106" s="68"/>
      <c r="CI106" s="68"/>
      <c r="CJ106" s="68"/>
      <c r="CK106" s="68"/>
      <c r="CL106" s="68"/>
      <c r="CM106" s="68"/>
      <c r="CN106" s="68"/>
      <c r="CO106" s="68"/>
      <c r="CP106" s="68"/>
      <c r="CQ106" s="68"/>
      <c r="CR106" s="68"/>
      <c r="CS106" s="68"/>
      <c r="CT106" s="68"/>
      <c r="CU106" s="68"/>
      <c r="CV106" s="68"/>
      <c r="CW106" s="68"/>
      <c r="CX106" s="68"/>
      <c r="CY106" s="68"/>
      <c r="CZ106" s="68"/>
      <c r="DA106" s="68"/>
      <c r="DB106" s="68"/>
      <c r="DC106" s="68"/>
      <c r="DD106" s="68"/>
      <c r="DE106" s="68"/>
      <c r="DF106" s="68"/>
      <c r="DG106" s="68"/>
      <c r="DH106" s="68"/>
      <c r="DI106" s="68"/>
      <c r="DJ106" s="68"/>
      <c r="DK106" s="68"/>
      <c r="DL106" s="68"/>
      <c r="DM106" s="68"/>
      <c r="DN106" s="68"/>
      <c r="DO106" s="68"/>
      <c r="DP106" s="68"/>
      <c r="DQ106" s="68"/>
      <c r="DR106" s="68"/>
      <c r="DS106" s="68"/>
      <c r="DT106" s="68"/>
      <c r="DU106" s="68"/>
      <c r="DV106" s="68"/>
      <c r="DW106" s="68"/>
      <c r="DX106" s="68"/>
      <c r="DY106" s="68"/>
      <c r="DZ106" s="68"/>
      <c r="EA106" s="68"/>
      <c r="EB106" s="68"/>
      <c r="EC106" s="68"/>
      <c r="ED106" s="68"/>
      <c r="EE106" s="68"/>
      <c r="EF106" s="68"/>
      <c r="EG106" s="68"/>
      <c r="EH106" s="68"/>
      <c r="EI106" s="68"/>
      <c r="EJ106" s="68"/>
      <c r="EK106" s="68"/>
      <c r="EL106" s="68"/>
      <c r="EM106" s="68"/>
      <c r="EN106" s="68"/>
      <c r="EO106" s="68"/>
      <c r="EP106" s="68"/>
      <c r="EQ106" s="68"/>
      <c r="ER106" s="68"/>
      <c r="ES106" s="68"/>
      <c r="ET106" s="68"/>
      <c r="EU106" s="68"/>
      <c r="EV106" s="68"/>
      <c r="EW106" s="68"/>
      <c r="EX106" s="68"/>
      <c r="EY106" s="68"/>
      <c r="EZ106" s="68"/>
      <c r="FA106" s="68"/>
      <c r="FB106" s="68"/>
      <c r="FC106" s="68"/>
      <c r="FD106" s="68"/>
      <c r="FE106" s="68"/>
      <c r="FF106" s="68"/>
      <c r="FG106" s="68"/>
      <c r="FH106" s="68"/>
      <c r="FI106" s="68"/>
      <c r="FJ106" s="68"/>
      <c r="FK106" s="68"/>
      <c r="FL106" s="68"/>
      <c r="FM106" s="68"/>
      <c r="FN106" s="68"/>
      <c r="FO106" s="68"/>
      <c r="FP106" s="68"/>
      <c r="FQ106" s="68"/>
      <c r="FR106" s="68"/>
      <c r="FS106" s="68"/>
      <c r="FT106" s="68"/>
      <c r="FU106" s="68"/>
      <c r="FV106" s="68"/>
      <c r="FW106" s="68"/>
      <c r="FX106" s="68"/>
      <c r="FY106" s="68"/>
      <c r="FZ106" s="68"/>
      <c r="GA106" s="68"/>
      <c r="GB106" s="68"/>
      <c r="GC106" s="68"/>
      <c r="GD106" s="68"/>
      <c r="GE106" s="68"/>
      <c r="GF106" s="68"/>
      <c r="GG106" s="68"/>
      <c r="GH106" s="68"/>
      <c r="GI106" s="68"/>
      <c r="GJ106" s="68"/>
      <c r="GK106" s="68"/>
      <c r="GL106" s="68"/>
      <c r="GM106" s="68"/>
      <c r="GN106" s="68"/>
      <c r="GO106" s="68"/>
      <c r="GP106" s="68"/>
      <c r="GQ106" s="68"/>
      <c r="GR106" s="68"/>
      <c r="GS106" s="68"/>
      <c r="GT106" s="68"/>
      <c r="GU106" s="68"/>
      <c r="GV106" s="68"/>
      <c r="GW106" s="68"/>
      <c r="GX106" s="68"/>
      <c r="GY106" s="68"/>
      <c r="GZ106" s="68"/>
      <c r="HA106" s="68"/>
      <c r="HB106" s="68"/>
      <c r="HC106" s="68"/>
      <c r="HD106" s="68"/>
      <c r="HE106" s="68"/>
      <c r="HF106" s="68"/>
      <c r="HG106" s="68"/>
      <c r="HH106" s="68"/>
      <c r="HI106" s="68"/>
      <c r="HJ106" s="68"/>
      <c r="HK106" s="68"/>
      <c r="HL106" s="68"/>
      <c r="HM106" s="68"/>
      <c r="HN106" s="68"/>
      <c r="HO106" s="68"/>
      <c r="HP106" s="68"/>
      <c r="HQ106" s="68"/>
      <c r="HR106" s="68"/>
      <c r="HS106" s="68"/>
      <c r="HT106" s="68"/>
      <c r="HU106" s="68"/>
      <c r="HV106" s="68"/>
      <c r="HW106" s="68"/>
      <c r="HX106" s="68"/>
      <c r="HY106" s="68"/>
      <c r="HZ106" s="68"/>
      <c r="IA106" s="68"/>
      <c r="IB106" s="68"/>
      <c r="IC106" s="68"/>
      <c r="ID106" s="68"/>
      <c r="IE106" s="68"/>
      <c r="IF106" s="68"/>
      <c r="IG106" s="68"/>
      <c r="IH106" s="68"/>
      <c r="II106" s="68"/>
      <c r="IJ106" s="68"/>
      <c r="IK106" s="68"/>
      <c r="IL106" s="68"/>
      <c r="IM106" s="68"/>
      <c r="IN106" s="68"/>
      <c r="IO106" s="68"/>
      <c r="IP106" s="68"/>
      <c r="IQ106" s="68"/>
      <c r="IR106" s="68"/>
      <c r="IS106" s="68"/>
      <c r="IT106" s="68"/>
      <c r="IU106" s="68"/>
      <c r="IV106" s="68"/>
      <c r="IW106" s="68"/>
      <c r="IX106" s="68"/>
      <c r="IY106" s="68"/>
      <c r="IZ106" s="68"/>
      <c r="JA106" s="68"/>
      <c r="JB106" s="68"/>
      <c r="JC106" s="68"/>
      <c r="JD106" s="68"/>
      <c r="JE106" s="68"/>
      <c r="JF106" s="68"/>
      <c r="JG106" s="68"/>
      <c r="JH106" s="68"/>
      <c r="JI106" s="68"/>
      <c r="JJ106" s="68"/>
      <c r="JK106" s="68"/>
      <c r="JL106" s="68"/>
      <c r="JM106" s="68"/>
      <c r="JN106" s="68"/>
      <c r="JO106" s="68"/>
      <c r="JP106" s="68"/>
      <c r="JQ106" s="68"/>
      <c r="JR106" s="68"/>
      <c r="JS106" s="68"/>
      <c r="JT106" s="68"/>
      <c r="JU106" s="68"/>
      <c r="JV106" s="68"/>
      <c r="JW106" s="68"/>
      <c r="JX106" s="68"/>
      <c r="JY106" s="68"/>
      <c r="JZ106" s="68"/>
      <c r="KA106" s="68"/>
      <c r="KB106" s="68"/>
      <c r="KC106" s="68"/>
      <c r="KD106" s="68"/>
      <c r="KE106" s="68"/>
      <c r="KF106" s="68"/>
      <c r="KG106" s="68"/>
      <c r="KH106" s="68"/>
      <c r="KI106" s="68"/>
      <c r="KJ106" s="68"/>
      <c r="KK106" s="68"/>
      <c r="KL106" s="68"/>
      <c r="KM106" s="68"/>
      <c r="KN106" s="68"/>
      <c r="KO106" s="68"/>
      <c r="KP106" s="68"/>
      <c r="KQ106" s="68"/>
      <c r="KR106" s="68"/>
      <c r="KS106" s="68"/>
      <c r="KT106" s="68"/>
      <c r="KU106" s="68"/>
      <c r="KV106" s="68"/>
      <c r="KW106" s="68"/>
      <c r="KX106" s="68"/>
      <c r="KY106" s="68"/>
      <c r="KZ106" s="68"/>
      <c r="LA106" s="68"/>
      <c r="LB106" s="68"/>
      <c r="LC106" s="68"/>
      <c r="LD106" s="68"/>
      <c r="LE106" s="68"/>
      <c r="LF106" s="68"/>
      <c r="LG106" s="68"/>
      <c r="LH106" s="68"/>
      <c r="LI106" s="68"/>
      <c r="LJ106" s="68"/>
      <c r="LK106" s="68"/>
      <c r="LL106" s="68"/>
      <c r="LM106" s="68"/>
      <c r="LN106" s="68"/>
      <c r="LO106" s="68"/>
      <c r="LP106" s="68"/>
      <c r="LQ106" s="68"/>
      <c r="LR106" s="68"/>
      <c r="LS106" s="68"/>
      <c r="LT106" s="68"/>
      <c r="LU106" s="68"/>
      <c r="LV106" s="68"/>
      <c r="LW106" s="68"/>
      <c r="LX106" s="68"/>
      <c r="LY106" s="68"/>
      <c r="LZ106" s="68"/>
      <c r="MA106" s="68"/>
      <c r="MB106" s="68"/>
      <c r="MC106" s="68"/>
      <c r="MD106" s="68"/>
      <c r="ME106" s="68"/>
      <c r="MF106" s="68"/>
      <c r="MG106" s="68"/>
      <c r="MH106" s="68"/>
      <c r="MI106" s="68"/>
      <c r="MJ106" s="68"/>
      <c r="MK106" s="68"/>
      <c r="ML106" s="68"/>
      <c r="MM106" s="68"/>
      <c r="MN106" s="68"/>
      <c r="MO106" s="68"/>
      <c r="MP106" s="68"/>
      <c r="MQ106" s="68"/>
      <c r="MR106" s="68"/>
      <c r="MS106" s="68"/>
      <c r="MT106" s="68"/>
      <c r="MU106" s="68"/>
      <c r="MV106" s="68"/>
      <c r="MW106" s="68"/>
      <c r="MX106" s="68"/>
      <c r="MY106" s="68"/>
      <c r="MZ106" s="68"/>
      <c r="NA106" s="68"/>
      <c r="NB106" s="68"/>
      <c r="NC106" s="68"/>
      <c r="ND106" s="68"/>
      <c r="NE106" s="68"/>
      <c r="NF106" s="68"/>
      <c r="NG106" s="68"/>
      <c r="NH106" s="68"/>
      <c r="NI106" s="68"/>
      <c r="NJ106" s="68"/>
      <c r="NK106" s="68"/>
      <c r="NL106" s="68"/>
      <c r="NM106" s="68"/>
      <c r="NN106" s="68"/>
      <c r="NO106" s="68"/>
      <c r="NP106" s="68"/>
      <c r="NQ106" s="68"/>
      <c r="NR106" s="68"/>
      <c r="NS106" s="68"/>
      <c r="NT106" s="68"/>
      <c r="NU106" s="68"/>
      <c r="NV106" s="68"/>
      <c r="NW106" s="68"/>
      <c r="NX106" s="68"/>
      <c r="NY106" s="68"/>
      <c r="NZ106" s="68"/>
      <c r="OA106" s="68"/>
      <c r="OB106" s="68"/>
      <c r="OC106" s="68"/>
      <c r="OD106" s="68"/>
      <c r="OE106" s="68"/>
      <c r="OF106" s="68"/>
      <c r="OG106" s="68"/>
      <c r="OH106" s="68"/>
      <c r="OI106" s="68"/>
      <c r="OJ106" s="68"/>
      <c r="OK106" s="68"/>
      <c r="OL106" s="68"/>
      <c r="OM106" s="68"/>
      <c r="ON106" s="68"/>
      <c r="OO106" s="68"/>
      <c r="OP106" s="68"/>
      <c r="OQ106" s="68"/>
      <c r="OR106" s="68"/>
      <c r="OS106" s="68"/>
      <c r="OT106" s="68"/>
      <c r="OU106" s="68"/>
      <c r="OV106" s="68"/>
      <c r="OW106" s="68"/>
      <c r="OX106" s="68"/>
      <c r="OY106" s="68"/>
      <c r="OZ106" s="68"/>
      <c r="PA106" s="68"/>
      <c r="PB106" s="68"/>
      <c r="PC106" s="68"/>
      <c r="PD106" s="68"/>
      <c r="PE106" s="68"/>
      <c r="PF106" s="68"/>
      <c r="PG106" s="68"/>
      <c r="PH106" s="68"/>
      <c r="PI106" s="68"/>
      <c r="PJ106" s="68"/>
      <c r="PK106" s="68"/>
      <c r="PL106" s="68"/>
      <c r="PM106" s="68"/>
      <c r="PN106" s="68"/>
      <c r="PO106" s="68"/>
      <c r="PP106" s="68"/>
      <c r="PQ106" s="68"/>
      <c r="PR106" s="68"/>
      <c r="PS106" s="68"/>
      <c r="PT106" s="68"/>
      <c r="PU106" s="68"/>
      <c r="PV106" s="68"/>
      <c r="PW106" s="68"/>
      <c r="PX106" s="68"/>
      <c r="PY106" s="68"/>
      <c r="PZ106" s="68"/>
      <c r="QA106" s="68"/>
      <c r="QB106" s="68"/>
      <c r="QC106" s="68"/>
      <c r="QD106" s="68"/>
      <c r="QE106" s="68"/>
      <c r="QF106" s="68"/>
      <c r="QG106" s="68"/>
      <c r="QH106" s="68"/>
      <c r="QI106" s="68"/>
      <c r="QJ106" s="68"/>
      <c r="QK106" s="68"/>
      <c r="QL106" s="68"/>
      <c r="QM106" s="68"/>
      <c r="QN106" s="68"/>
      <c r="QO106" s="68"/>
      <c r="QP106" s="68"/>
      <c r="QQ106" s="68"/>
      <c r="QR106" s="68"/>
      <c r="QS106" s="68"/>
      <c r="QT106" s="68"/>
      <c r="QU106" s="68"/>
      <c r="QV106" s="68"/>
      <c r="QW106" s="68"/>
      <c r="QX106" s="68"/>
      <c r="QY106" s="68"/>
      <c r="QZ106" s="68"/>
      <c r="RA106" s="68"/>
      <c r="RB106" s="68"/>
      <c r="RC106" s="68"/>
      <c r="RD106" s="68"/>
      <c r="RE106" s="68"/>
      <c r="RF106" s="68"/>
      <c r="RG106" s="68"/>
      <c r="RH106" s="68"/>
      <c r="RI106" s="68"/>
      <c r="RJ106" s="68"/>
      <c r="RK106" s="68"/>
      <c r="RL106" s="68"/>
      <c r="RM106" s="68"/>
      <c r="RN106" s="68"/>
      <c r="RO106" s="68"/>
      <c r="RP106" s="68"/>
      <c r="RQ106" s="68"/>
      <c r="RR106" s="68"/>
      <c r="RS106" s="68"/>
      <c r="RT106" s="68"/>
      <c r="RU106" s="68"/>
      <c r="RV106" s="68"/>
      <c r="RW106" s="68"/>
      <c r="RX106" s="68"/>
      <c r="RY106" s="68"/>
      <c r="RZ106" s="68"/>
      <c r="SA106" s="68"/>
      <c r="SB106" s="68"/>
      <c r="SC106" s="68"/>
      <c r="SD106" s="68"/>
      <c r="SE106" s="68"/>
      <c r="SF106" s="68"/>
      <c r="SG106" s="68"/>
      <c r="SH106" s="68"/>
      <c r="SI106" s="68"/>
      <c r="SJ106" s="68"/>
      <c r="SK106" s="68"/>
      <c r="SL106" s="68"/>
      <c r="SM106" s="68"/>
      <c r="SN106" s="68"/>
      <c r="SO106" s="68"/>
      <c r="SP106" s="68"/>
      <c r="SQ106" s="68"/>
      <c r="SR106" s="68"/>
      <c r="SS106" s="68"/>
      <c r="ST106" s="68"/>
      <c r="SU106" s="68"/>
      <c r="SV106" s="68"/>
      <c r="SW106" s="68"/>
      <c r="SX106" s="68"/>
      <c r="SY106" s="68"/>
      <c r="SZ106" s="68"/>
      <c r="TA106" s="68"/>
      <c r="TB106" s="68"/>
      <c r="TC106" s="68"/>
      <c r="TD106" s="68"/>
      <c r="TE106" s="68"/>
      <c r="TF106" s="68"/>
      <c r="TG106" s="68"/>
      <c r="TH106" s="68"/>
      <c r="TI106" s="68"/>
      <c r="TJ106" s="68"/>
      <c r="TK106" s="68"/>
      <c r="TL106" s="68"/>
      <c r="TM106" s="68"/>
      <c r="TN106" s="68"/>
      <c r="TO106" s="68"/>
      <c r="TP106" s="68"/>
      <c r="TQ106" s="68"/>
      <c r="TR106" s="68"/>
      <c r="TS106" s="68"/>
      <c r="TT106" s="68"/>
      <c r="TU106" s="68"/>
      <c r="TV106" s="68"/>
      <c r="TW106" s="68"/>
      <c r="TX106" s="68"/>
      <c r="TY106" s="68"/>
      <c r="TZ106" s="68"/>
      <c r="UA106" s="68"/>
      <c r="UB106" s="68"/>
      <c r="UC106" s="68"/>
      <c r="UD106" s="68"/>
      <c r="UE106" s="68"/>
      <c r="UF106" s="68"/>
      <c r="UG106" s="68"/>
      <c r="UH106" s="68"/>
      <c r="UI106" s="68"/>
      <c r="UJ106" s="68"/>
      <c r="UK106" s="68"/>
      <c r="UL106" s="68"/>
      <c r="UM106" s="68"/>
      <c r="UN106" s="68"/>
      <c r="UO106" s="68"/>
      <c r="UP106" s="68"/>
      <c r="UQ106" s="68"/>
      <c r="UR106" s="68"/>
      <c r="US106" s="68"/>
      <c r="UT106" s="68"/>
      <c r="UU106" s="68"/>
      <c r="UV106" s="68"/>
      <c r="UW106" s="68"/>
      <c r="UX106" s="68"/>
      <c r="UY106" s="68"/>
      <c r="UZ106" s="68"/>
      <c r="VA106" s="68"/>
      <c r="VB106" s="68"/>
      <c r="VC106" s="68"/>
      <c r="VD106" s="68"/>
      <c r="VE106" s="68"/>
      <c r="VF106" s="68"/>
      <c r="VG106" s="68"/>
      <c r="VH106" s="68"/>
      <c r="VI106" s="68"/>
      <c r="VJ106" s="68"/>
      <c r="VK106" s="68"/>
      <c r="VL106" s="68"/>
      <c r="VM106" s="68"/>
      <c r="VN106" s="68"/>
      <c r="VO106" s="68"/>
      <c r="VP106" s="68"/>
      <c r="VQ106" s="68"/>
      <c r="VR106" s="68"/>
      <c r="VS106" s="68"/>
      <c r="VT106" s="68"/>
      <c r="VU106" s="68"/>
      <c r="VV106" s="68"/>
      <c r="VW106" s="68"/>
      <c r="VX106" s="68"/>
      <c r="VY106" s="68"/>
      <c r="VZ106" s="68"/>
      <c r="WA106" s="68"/>
      <c r="WB106" s="68"/>
      <c r="WC106" s="68"/>
      <c r="WD106" s="68"/>
      <c r="WE106" s="68"/>
      <c r="WF106" s="68"/>
      <c r="WG106" s="68"/>
      <c r="WH106" s="68"/>
      <c r="WI106" s="68"/>
      <c r="WJ106" s="68"/>
      <c r="WK106" s="68"/>
      <c r="WL106" s="68"/>
      <c r="WM106" s="68"/>
      <c r="WN106" s="68"/>
      <c r="WO106" s="68"/>
      <c r="WP106" s="68"/>
      <c r="WQ106" s="68"/>
      <c r="WR106" s="68"/>
      <c r="WS106" s="68"/>
      <c r="WT106" s="68"/>
      <c r="WU106" s="68"/>
      <c r="WV106" s="68"/>
      <c r="WW106" s="68"/>
      <c r="WX106" s="68"/>
      <c r="WY106" s="68"/>
      <c r="WZ106" s="68"/>
      <c r="XA106" s="68"/>
      <c r="XB106" s="68"/>
      <c r="XC106" s="68"/>
      <c r="XD106" s="68"/>
      <c r="XE106" s="68"/>
      <c r="XF106" s="68"/>
      <c r="XG106" s="68"/>
      <c r="XH106" s="68"/>
      <c r="XI106" s="68"/>
      <c r="XJ106" s="68"/>
      <c r="XK106" s="68"/>
      <c r="XL106" s="68"/>
      <c r="XM106" s="68"/>
      <c r="XN106" s="68"/>
      <c r="XO106" s="68"/>
      <c r="XP106" s="68"/>
      <c r="XQ106" s="68"/>
      <c r="XR106" s="68"/>
      <c r="XS106" s="68"/>
      <c r="XT106" s="68"/>
      <c r="XU106" s="68"/>
      <c r="XV106" s="68"/>
      <c r="XW106" s="68"/>
      <c r="XX106" s="68"/>
      <c r="XY106" s="68"/>
      <c r="XZ106" s="68"/>
      <c r="YA106" s="68"/>
      <c r="YB106" s="68"/>
      <c r="YC106" s="68"/>
      <c r="YD106" s="68"/>
      <c r="YE106" s="68"/>
      <c r="YF106" s="68"/>
      <c r="YG106" s="68"/>
      <c r="YH106" s="68"/>
      <c r="YI106" s="68"/>
      <c r="YJ106" s="68"/>
      <c r="YK106" s="68"/>
      <c r="YL106" s="68"/>
      <c r="YM106" s="68"/>
      <c r="YN106" s="68"/>
      <c r="YO106" s="68"/>
      <c r="YP106" s="68"/>
      <c r="YQ106" s="68"/>
      <c r="YR106" s="68"/>
      <c r="YS106" s="68"/>
      <c r="YT106" s="68"/>
      <c r="YU106" s="68"/>
      <c r="YV106" s="68"/>
      <c r="YW106" s="68"/>
      <c r="YX106" s="68"/>
      <c r="YY106" s="68"/>
      <c r="YZ106" s="68"/>
      <c r="ZA106" s="68"/>
      <c r="ZB106" s="68"/>
      <c r="ZC106" s="68"/>
      <c r="ZD106" s="68"/>
      <c r="ZE106" s="68"/>
      <c r="ZF106" s="68"/>
      <c r="ZG106" s="68"/>
      <c r="ZH106" s="68"/>
      <c r="ZI106" s="68"/>
      <c r="ZJ106" s="68"/>
      <c r="ZK106" s="68"/>
      <c r="ZL106" s="68"/>
      <c r="ZM106" s="68"/>
      <c r="ZN106" s="68"/>
      <c r="ZO106" s="68"/>
      <c r="ZP106" s="68"/>
      <c r="ZQ106" s="68"/>
      <c r="ZR106" s="68"/>
      <c r="ZS106" s="68"/>
      <c r="ZT106" s="68"/>
      <c r="ZU106" s="68"/>
      <c r="ZV106" s="68"/>
      <c r="ZW106" s="68"/>
      <c r="ZX106" s="68"/>
      <c r="ZY106" s="68"/>
      <c r="ZZ106" s="68"/>
      <c r="AAA106" s="68"/>
      <c r="AAB106" s="68"/>
      <c r="AAC106" s="68"/>
      <c r="AAD106" s="68"/>
      <c r="AAE106" s="68"/>
      <c r="AAF106" s="68"/>
      <c r="AAG106" s="68"/>
      <c r="AAH106" s="68"/>
      <c r="AAI106" s="68"/>
      <c r="AAJ106" s="68"/>
      <c r="AAK106" s="68"/>
      <c r="AAL106" s="68"/>
      <c r="AAM106" s="68"/>
      <c r="AAN106" s="68"/>
      <c r="AAO106" s="68"/>
      <c r="AAP106" s="68"/>
      <c r="AAQ106" s="68"/>
      <c r="AAR106" s="68"/>
      <c r="AAS106" s="68"/>
      <c r="AAT106" s="68"/>
      <c r="AAU106" s="68"/>
      <c r="AAV106" s="68"/>
      <c r="AAW106" s="68"/>
      <c r="AAX106" s="68"/>
      <c r="AAY106" s="68"/>
      <c r="AAZ106" s="68"/>
      <c r="ABA106" s="68"/>
      <c r="ABB106" s="68"/>
      <c r="ABC106" s="68"/>
      <c r="ABD106" s="68"/>
      <c r="ABE106" s="68"/>
      <c r="ABF106" s="68"/>
      <c r="ABG106" s="68"/>
      <c r="ABH106" s="68"/>
      <c r="ABI106" s="68"/>
      <c r="ABJ106" s="68"/>
      <c r="ABK106" s="68"/>
      <c r="ABL106" s="68"/>
      <c r="ABM106" s="68"/>
      <c r="ABN106" s="68"/>
      <c r="ABO106" s="68"/>
      <c r="ABP106" s="68"/>
      <c r="ABQ106" s="68"/>
      <c r="ABR106" s="68"/>
      <c r="ABS106" s="68"/>
      <c r="ABT106" s="68"/>
      <c r="ABU106" s="68"/>
      <c r="ABV106" s="68"/>
      <c r="ABW106" s="68"/>
      <c r="ABX106" s="68"/>
      <c r="ABY106" s="68"/>
      <c r="ABZ106" s="68"/>
      <c r="ACA106" s="68"/>
      <c r="ACB106" s="68"/>
      <c r="ACC106" s="68"/>
      <c r="ACD106" s="68"/>
      <c r="ACE106" s="68"/>
      <c r="ACF106" s="68"/>
      <c r="ACG106" s="68"/>
      <c r="ACH106" s="68"/>
      <c r="ACI106" s="68"/>
      <c r="ACJ106" s="68"/>
      <c r="ACK106" s="68"/>
      <c r="ACL106" s="68"/>
      <c r="ACM106" s="68"/>
      <c r="ACN106" s="68"/>
      <c r="ACO106" s="68"/>
      <c r="ACP106" s="68"/>
      <c r="ACQ106" s="68"/>
      <c r="ACR106" s="68"/>
      <c r="ACS106" s="68"/>
      <c r="ACT106" s="68"/>
      <c r="ACU106" s="68"/>
      <c r="ACV106" s="68"/>
      <c r="ACW106" s="68"/>
      <c r="ACX106" s="68"/>
      <c r="ACY106" s="68"/>
      <c r="ACZ106" s="68"/>
      <c r="ADA106" s="68"/>
      <c r="ADB106" s="68"/>
      <c r="ADC106" s="68"/>
      <c r="ADD106" s="68"/>
      <c r="ADE106" s="68"/>
      <c r="ADF106" s="68"/>
      <c r="ADG106" s="68"/>
      <c r="ADH106" s="68"/>
      <c r="ADI106" s="68"/>
      <c r="ADJ106" s="68"/>
      <c r="ADK106" s="68"/>
      <c r="ADL106" s="68"/>
      <c r="ADM106" s="68"/>
      <c r="ADN106" s="68"/>
      <c r="ADO106" s="68"/>
      <c r="ADP106" s="68"/>
      <c r="ADQ106" s="68"/>
      <c r="ADR106" s="68"/>
      <c r="ADS106" s="68"/>
      <c r="ADT106" s="68"/>
      <c r="ADU106" s="68"/>
      <c r="ADV106" s="68"/>
      <c r="ADW106" s="68"/>
      <c r="ADX106" s="68"/>
      <c r="ADY106" s="68"/>
      <c r="ADZ106" s="68"/>
      <c r="AEA106" s="68"/>
      <c r="AEB106" s="68"/>
      <c r="AEC106" s="68"/>
      <c r="AED106" s="68"/>
      <c r="AEE106" s="68"/>
      <c r="AEF106" s="68"/>
      <c r="AEG106" s="68"/>
      <c r="AEH106" s="68"/>
      <c r="AEI106" s="68"/>
      <c r="AEJ106" s="68"/>
      <c r="AEK106" s="68"/>
      <c r="AEL106" s="68"/>
      <c r="AEM106" s="68"/>
      <c r="AEN106" s="68"/>
      <c r="AEO106" s="68"/>
      <c r="AEP106" s="68"/>
      <c r="AEQ106" s="68"/>
      <c r="AER106" s="68"/>
      <c r="AES106" s="68"/>
      <c r="AET106" s="68"/>
      <c r="AEU106" s="68"/>
      <c r="AEV106" s="68"/>
      <c r="AEW106" s="68"/>
      <c r="AEX106" s="68"/>
      <c r="AEY106" s="68"/>
      <c r="AEZ106" s="68"/>
      <c r="AFA106" s="68"/>
      <c r="AFB106" s="68"/>
      <c r="AFC106" s="68"/>
      <c r="AFD106" s="68"/>
      <c r="AFE106" s="68"/>
      <c r="AFF106" s="68"/>
      <c r="AFG106" s="68"/>
      <c r="AFH106" s="68"/>
      <c r="AFI106" s="68"/>
      <c r="AFJ106" s="68"/>
      <c r="AFK106" s="68"/>
      <c r="AFL106" s="68"/>
      <c r="AFM106" s="68"/>
      <c r="AFN106" s="68"/>
      <c r="AFO106" s="68"/>
      <c r="AFP106" s="68"/>
      <c r="AFQ106" s="68"/>
      <c r="AFR106" s="68"/>
      <c r="AFS106" s="68"/>
      <c r="AFT106" s="68"/>
      <c r="AFU106" s="68"/>
      <c r="AFV106" s="68"/>
      <c r="AFW106" s="68"/>
      <c r="AFX106" s="68"/>
      <c r="AFY106" s="68"/>
      <c r="AFZ106" s="68"/>
      <c r="AGA106" s="68"/>
      <c r="AGB106" s="68"/>
      <c r="AGC106" s="68"/>
      <c r="AGD106" s="68"/>
      <c r="AGE106" s="68"/>
      <c r="AGF106" s="68"/>
      <c r="AGG106" s="68"/>
      <c r="AGH106" s="68"/>
      <c r="AGI106" s="68"/>
      <c r="AGJ106" s="68"/>
      <c r="AGK106" s="68"/>
      <c r="AGL106" s="68"/>
      <c r="AGM106" s="68"/>
      <c r="AGN106" s="68"/>
      <c r="AGO106" s="68"/>
      <c r="AGP106" s="68"/>
      <c r="AGQ106" s="68"/>
      <c r="AGR106" s="68"/>
      <c r="AGS106" s="68"/>
      <c r="AGT106" s="68"/>
      <c r="AGU106" s="68"/>
      <c r="AGV106" s="68"/>
      <c r="AGW106" s="68"/>
      <c r="AGX106" s="68"/>
      <c r="AGY106" s="68"/>
      <c r="AGZ106" s="68"/>
      <c r="AHA106" s="68"/>
      <c r="AHB106" s="68"/>
      <c r="AHC106" s="68"/>
      <c r="AHD106" s="68"/>
      <c r="AHE106" s="68"/>
      <c r="AHF106" s="68"/>
      <c r="AHG106" s="68"/>
      <c r="AHH106" s="68"/>
      <c r="AHI106" s="68"/>
      <c r="AHJ106" s="68"/>
      <c r="AHK106" s="68"/>
      <c r="AHL106" s="68"/>
      <c r="AHM106" s="68"/>
      <c r="AHN106" s="68"/>
      <c r="AHO106" s="68"/>
      <c r="AHP106" s="68"/>
      <c r="AHQ106" s="68"/>
      <c r="AHR106" s="68"/>
      <c r="AHS106" s="68"/>
      <c r="AHT106" s="68"/>
      <c r="AHU106" s="68"/>
      <c r="AHV106" s="68"/>
      <c r="AHW106" s="68"/>
      <c r="AHX106" s="68"/>
      <c r="AHY106" s="68"/>
      <c r="AHZ106" s="68"/>
      <c r="AIA106" s="68"/>
      <c r="AIB106" s="68"/>
      <c r="AIC106" s="68"/>
      <c r="AID106" s="68"/>
      <c r="AIE106" s="68"/>
      <c r="AIF106" s="68"/>
      <c r="AIG106" s="68"/>
      <c r="AIH106" s="68"/>
      <c r="AII106" s="68"/>
      <c r="AIJ106" s="68"/>
      <c r="AIK106" s="68"/>
      <c r="AIL106" s="68"/>
      <c r="AIM106" s="68"/>
      <c r="AIN106" s="68"/>
      <c r="AIO106" s="68"/>
      <c r="AIP106" s="68"/>
      <c r="AIQ106" s="68"/>
      <c r="AIR106" s="68"/>
      <c r="AIS106" s="68"/>
      <c r="AIT106" s="68"/>
      <c r="AIU106" s="68"/>
      <c r="AIV106" s="68"/>
      <c r="AIW106" s="68"/>
      <c r="AIX106" s="68"/>
      <c r="AIY106" s="68"/>
      <c r="AIZ106" s="68"/>
      <c r="AJA106" s="68"/>
      <c r="AJB106" s="68"/>
      <c r="AJC106" s="68"/>
      <c r="AJD106" s="68"/>
      <c r="AJE106" s="68"/>
      <c r="AJF106" s="68"/>
      <c r="AJG106" s="68"/>
      <c r="AJH106" s="68"/>
      <c r="AJI106" s="68"/>
      <c r="AJJ106" s="68"/>
      <c r="AJK106" s="68"/>
      <c r="AJL106" s="68"/>
      <c r="AJM106" s="68"/>
      <c r="AJN106" s="68"/>
      <c r="AJO106" s="68"/>
      <c r="AJP106" s="68"/>
      <c r="AJQ106" s="68"/>
      <c r="AJR106" s="68"/>
      <c r="AJS106" s="68"/>
      <c r="AJT106" s="68"/>
      <c r="AJU106" s="68"/>
      <c r="AJV106" s="68"/>
      <c r="AJW106" s="68"/>
      <c r="AJX106" s="68"/>
      <c r="AJY106" s="68"/>
      <c r="AJZ106" s="68"/>
      <c r="AKA106" s="68"/>
      <c r="AKB106" s="68"/>
      <c r="AKC106" s="68"/>
      <c r="AKD106" s="68"/>
      <c r="AKE106" s="68"/>
      <c r="AKF106" s="68"/>
      <c r="AKG106" s="68"/>
      <c r="AKH106" s="68"/>
      <c r="AKI106" s="68"/>
      <c r="AKJ106" s="68"/>
      <c r="AKK106" s="68"/>
      <c r="AKL106" s="68"/>
      <c r="AKM106" s="68"/>
      <c r="AKN106" s="68"/>
      <c r="AKO106" s="68"/>
      <c r="AKP106" s="68"/>
      <c r="AKQ106" s="68"/>
      <c r="AKR106" s="68"/>
      <c r="AKS106" s="68"/>
      <c r="AKT106" s="68"/>
      <c r="AKU106" s="68"/>
      <c r="AKV106" s="68"/>
      <c r="AKW106" s="68"/>
      <c r="AKX106" s="68"/>
      <c r="AKY106" s="68"/>
      <c r="AKZ106" s="68"/>
      <c r="ALA106" s="68"/>
      <c r="ALB106" s="68"/>
      <c r="ALC106" s="68"/>
      <c r="ALD106" s="68"/>
      <c r="ALE106" s="68"/>
      <c r="ALF106" s="68"/>
      <c r="ALG106" s="68"/>
      <c r="ALH106" s="68"/>
      <c r="ALI106" s="68"/>
      <c r="ALJ106" s="68"/>
      <c r="ALK106" s="68"/>
      <c r="ALL106" s="68"/>
      <c r="ALM106" s="68"/>
      <c r="ALN106" s="68"/>
      <c r="ALO106" s="68"/>
      <c r="ALP106" s="68"/>
      <c r="ALQ106" s="68"/>
      <c r="ALR106" s="68"/>
      <c r="ALS106" s="68"/>
      <c r="ALT106" s="68"/>
      <c r="ALU106" s="68"/>
      <c r="ALV106" s="68"/>
      <c r="ALW106" s="68"/>
      <c r="ALX106" s="68"/>
      <c r="ALY106" s="68"/>
      <c r="ALZ106" s="68"/>
      <c r="AMA106" s="68"/>
      <c r="AMB106" s="68"/>
      <c r="AMC106" s="68"/>
      <c r="AMD106" s="68"/>
      <c r="AME106" s="68"/>
      <c r="AMF106" s="68"/>
      <c r="AMG106" s="68"/>
      <c r="AMH106" s="68"/>
      <c r="AMI106" s="68"/>
      <c r="AMJ106" s="68"/>
      <c r="AMK106" s="68"/>
      <c r="AML106" s="68"/>
      <c r="AMM106" s="68"/>
      <c r="AMN106" s="68"/>
      <c r="AMO106" s="68"/>
      <c r="AMP106" s="68"/>
      <c r="AMQ106" s="68"/>
      <c r="AMR106" s="68"/>
      <c r="AMS106" s="68"/>
      <c r="AMT106" s="68"/>
      <c r="AMU106" s="68"/>
      <c r="AMV106" s="68"/>
      <c r="AMW106" s="68"/>
      <c r="AMX106" s="68"/>
      <c r="AMY106" s="68"/>
      <c r="AMZ106" s="68"/>
      <c r="ANA106" s="68"/>
      <c r="ANB106" s="68"/>
      <c r="ANC106" s="68"/>
      <c r="AND106" s="68"/>
      <c r="ANE106" s="68"/>
      <c r="ANF106" s="68"/>
      <c r="ANG106" s="68"/>
      <c r="ANH106" s="68"/>
      <c r="ANI106" s="68"/>
      <c r="ANJ106" s="68"/>
      <c r="ANK106" s="68"/>
      <c r="ANL106" s="68"/>
      <c r="ANM106" s="68"/>
      <c r="ANN106" s="68"/>
      <c r="ANO106" s="68"/>
      <c r="ANP106" s="68"/>
      <c r="ANQ106" s="68"/>
      <c r="ANR106" s="68"/>
      <c r="ANS106" s="68"/>
      <c r="ANT106" s="68"/>
      <c r="ANU106" s="68"/>
      <c r="ANV106" s="68"/>
      <c r="ANW106" s="68"/>
      <c r="ANX106" s="68"/>
      <c r="ANY106" s="68"/>
      <c r="ANZ106" s="68"/>
      <c r="AOA106" s="68"/>
      <c r="AOB106" s="68"/>
      <c r="AOC106" s="68"/>
      <c r="AOD106" s="68"/>
      <c r="AOE106" s="68"/>
      <c r="AOF106" s="68"/>
      <c r="AOG106" s="68"/>
      <c r="AOH106" s="68"/>
      <c r="AOI106" s="68"/>
      <c r="AOJ106" s="68"/>
      <c r="AOK106" s="68"/>
      <c r="AOL106" s="68"/>
      <c r="AOM106" s="68"/>
      <c r="AON106" s="68"/>
      <c r="AOO106" s="68"/>
      <c r="AOP106" s="68"/>
      <c r="AOQ106" s="68"/>
      <c r="AOR106" s="68"/>
      <c r="AOS106" s="68"/>
      <c r="AOT106" s="68"/>
      <c r="AOU106" s="68"/>
      <c r="AOV106" s="68"/>
      <c r="AOW106" s="68"/>
      <c r="AOX106" s="68"/>
      <c r="AOY106" s="68"/>
      <c r="AOZ106" s="68"/>
      <c r="APA106" s="68"/>
      <c r="APB106" s="68"/>
      <c r="APC106" s="68"/>
      <c r="APD106" s="68"/>
      <c r="APE106" s="68"/>
      <c r="APF106" s="68"/>
      <c r="APG106" s="68"/>
      <c r="APH106" s="68"/>
      <c r="API106" s="68"/>
      <c r="APJ106" s="68"/>
      <c r="APK106" s="68"/>
      <c r="APL106" s="68"/>
      <c r="APM106" s="68"/>
      <c r="APN106" s="68"/>
      <c r="APO106" s="68"/>
      <c r="APP106" s="68"/>
      <c r="APQ106" s="68"/>
      <c r="APR106" s="68"/>
      <c r="APS106" s="68"/>
      <c r="APT106" s="68"/>
      <c r="APU106" s="68"/>
      <c r="APV106" s="68"/>
      <c r="APW106" s="68"/>
      <c r="APX106" s="68"/>
      <c r="APY106" s="68"/>
      <c r="APZ106" s="68"/>
      <c r="AQA106" s="68"/>
      <c r="AQB106" s="68"/>
      <c r="AQC106" s="68"/>
      <c r="AQD106" s="68"/>
      <c r="AQE106" s="68"/>
      <c r="AQF106" s="68"/>
      <c r="AQG106" s="68"/>
      <c r="AQH106" s="68"/>
      <c r="AQI106" s="68"/>
      <c r="AQJ106" s="68"/>
      <c r="AQK106" s="68"/>
      <c r="AQL106" s="68"/>
      <c r="AQM106" s="68"/>
      <c r="AQN106" s="68"/>
      <c r="AQO106" s="68"/>
      <c r="AQP106" s="68"/>
      <c r="AQQ106" s="68"/>
      <c r="AQR106" s="68"/>
      <c r="AQS106" s="68"/>
      <c r="AQT106" s="68"/>
      <c r="AQU106" s="68"/>
      <c r="AQV106" s="68"/>
      <c r="AQW106" s="68"/>
      <c r="AQX106" s="68"/>
      <c r="AQY106" s="68"/>
      <c r="AQZ106" s="68"/>
      <c r="ARA106" s="68"/>
      <c r="ARB106" s="68"/>
      <c r="ARC106" s="68"/>
      <c r="ARD106" s="68"/>
      <c r="ARE106" s="68"/>
      <c r="ARF106" s="68"/>
      <c r="ARG106" s="68"/>
      <c r="ARH106" s="68"/>
      <c r="ARI106" s="68"/>
      <c r="ARJ106" s="68"/>
      <c r="ARK106" s="68"/>
      <c r="ARL106" s="68"/>
      <c r="ARM106" s="68"/>
      <c r="ARN106" s="68"/>
      <c r="ARO106" s="68"/>
      <c r="ARP106" s="68"/>
      <c r="ARQ106" s="68"/>
      <c r="ARR106" s="68"/>
      <c r="ARS106" s="68"/>
      <c r="ART106" s="68"/>
      <c r="ARU106" s="68"/>
      <c r="ARV106" s="68"/>
      <c r="ARW106" s="68"/>
      <c r="ARX106" s="68"/>
      <c r="ARY106" s="68"/>
      <c r="ARZ106" s="68"/>
      <c r="ASA106" s="68"/>
      <c r="ASB106" s="68"/>
      <c r="ASC106" s="68"/>
      <c r="ASD106" s="68"/>
      <c r="ASE106" s="68"/>
      <c r="ASF106" s="68"/>
      <c r="ASG106" s="68"/>
      <c r="ASH106" s="68"/>
      <c r="ASI106" s="68"/>
      <c r="ASJ106" s="68"/>
      <c r="ASK106" s="68"/>
      <c r="ASL106" s="68"/>
      <c r="ASM106" s="68"/>
      <c r="ASN106" s="68"/>
      <c r="ASO106" s="68"/>
      <c r="ASP106" s="68"/>
      <c r="ASQ106" s="68"/>
      <c r="ASR106" s="68"/>
      <c r="ASS106" s="68"/>
      <c r="AST106" s="68"/>
      <c r="ASU106" s="68"/>
      <c r="ASV106" s="68"/>
      <c r="ASW106" s="68"/>
      <c r="ASX106" s="68"/>
      <c r="ASY106" s="68"/>
      <c r="ASZ106" s="68"/>
      <c r="ATA106" s="68"/>
      <c r="ATB106" s="68"/>
      <c r="ATC106" s="68"/>
      <c r="ATD106" s="68"/>
      <c r="ATE106" s="68"/>
      <c r="ATF106" s="68"/>
      <c r="ATG106" s="68"/>
      <c r="ATH106" s="68"/>
      <c r="ATI106" s="68"/>
      <c r="ATJ106" s="68"/>
      <c r="ATK106" s="68"/>
      <c r="ATL106" s="68"/>
      <c r="ATM106" s="68"/>
      <c r="ATN106" s="68"/>
      <c r="ATO106" s="68"/>
      <c r="ATP106" s="68"/>
      <c r="ATQ106" s="68"/>
      <c r="ATR106" s="68"/>
      <c r="ATS106" s="68"/>
      <c r="ATT106" s="68"/>
      <c r="ATU106" s="68"/>
      <c r="ATV106" s="68"/>
      <c r="ATW106" s="68"/>
      <c r="ATX106" s="68"/>
      <c r="ATY106" s="68"/>
      <c r="ATZ106" s="68"/>
      <c r="AUA106" s="68"/>
      <c r="AUB106" s="68"/>
      <c r="AUC106" s="68"/>
      <c r="AUD106" s="68"/>
      <c r="AUE106" s="68"/>
      <c r="AUF106" s="68"/>
      <c r="AUG106" s="68"/>
      <c r="AUH106" s="68"/>
      <c r="AUI106" s="68"/>
      <c r="AUJ106" s="68"/>
      <c r="AUK106" s="68"/>
      <c r="AUL106" s="68"/>
      <c r="AUM106" s="68"/>
      <c r="AUN106" s="68"/>
      <c r="AUO106" s="68"/>
      <c r="AUP106" s="68"/>
      <c r="AUQ106" s="68"/>
      <c r="AUR106" s="68"/>
      <c r="AUS106" s="68"/>
      <c r="AUT106" s="68"/>
      <c r="AUU106" s="68"/>
      <c r="AUV106" s="68"/>
      <c r="AUW106" s="68"/>
      <c r="AUX106" s="68"/>
      <c r="AUY106" s="68"/>
      <c r="AUZ106" s="68"/>
      <c r="AVA106" s="68"/>
      <c r="AVB106" s="68"/>
      <c r="AVC106" s="68"/>
      <c r="AVD106" s="68"/>
      <c r="AVE106" s="68"/>
      <c r="AVF106" s="68"/>
      <c r="AVG106" s="68"/>
      <c r="AVH106" s="68"/>
      <c r="AVI106" s="68"/>
      <c r="AVJ106" s="68"/>
      <c r="AVK106" s="68"/>
      <c r="AVL106" s="68"/>
      <c r="AVM106" s="68"/>
      <c r="AVN106" s="68"/>
      <c r="AVO106" s="68"/>
      <c r="AVP106" s="68"/>
      <c r="AVQ106" s="68"/>
      <c r="AVR106" s="68"/>
      <c r="AVS106" s="68"/>
      <c r="AVT106" s="68"/>
      <c r="AVU106" s="68"/>
      <c r="AVV106" s="68"/>
      <c r="AVW106" s="68"/>
      <c r="AVX106" s="68"/>
      <c r="AVY106" s="68"/>
      <c r="AVZ106" s="68"/>
      <c r="AWA106" s="68"/>
      <c r="AWB106" s="68"/>
      <c r="AWC106" s="68"/>
      <c r="AWD106" s="68"/>
      <c r="AWE106" s="68"/>
      <c r="AWF106" s="68"/>
      <c r="AWG106" s="68"/>
      <c r="AWH106" s="68"/>
      <c r="AWI106" s="68"/>
      <c r="AWJ106" s="68"/>
      <c r="AWK106" s="68"/>
      <c r="AWL106" s="68"/>
      <c r="AWM106" s="68"/>
      <c r="AWN106" s="68"/>
      <c r="AWO106" s="68"/>
      <c r="AWP106" s="68"/>
      <c r="AWQ106" s="68"/>
      <c r="AWR106" s="68"/>
      <c r="AWS106" s="68"/>
      <c r="AWT106" s="68"/>
      <c r="AWU106" s="68"/>
      <c r="AWV106" s="68"/>
      <c r="AWW106" s="68"/>
      <c r="AWX106" s="68"/>
      <c r="AWY106" s="68"/>
      <c r="AWZ106" s="68"/>
      <c r="AXA106" s="68"/>
      <c r="AXB106" s="68"/>
      <c r="AXC106" s="68"/>
      <c r="AXD106" s="68"/>
      <c r="AXE106" s="68"/>
      <c r="AXF106" s="68"/>
      <c r="AXG106" s="68"/>
      <c r="AXH106" s="68"/>
      <c r="AXI106" s="68"/>
      <c r="AXJ106" s="68"/>
      <c r="AXK106" s="68"/>
      <c r="AXL106" s="68"/>
      <c r="AXM106" s="68"/>
      <c r="AXN106" s="68"/>
      <c r="AXO106" s="68"/>
      <c r="AXP106" s="68"/>
      <c r="AXQ106" s="68"/>
      <c r="AXR106" s="68"/>
      <c r="AXS106" s="68"/>
      <c r="AXT106" s="68"/>
      <c r="AXU106" s="68"/>
      <c r="AXV106" s="68"/>
      <c r="AXW106" s="68"/>
      <c r="AXX106" s="68"/>
      <c r="AXY106" s="68"/>
      <c r="AXZ106" s="68"/>
      <c r="AYA106" s="68"/>
      <c r="AYB106" s="68"/>
      <c r="AYC106" s="68"/>
      <c r="AYD106" s="68"/>
      <c r="AYE106" s="68"/>
      <c r="AYF106" s="68"/>
      <c r="AYG106" s="68"/>
      <c r="AYH106" s="68"/>
      <c r="AYI106" s="68"/>
      <c r="AYJ106" s="68"/>
      <c r="AYK106" s="68"/>
      <c r="AYL106" s="68"/>
      <c r="AYM106" s="68"/>
      <c r="AYN106" s="68"/>
      <c r="AYO106" s="68"/>
      <c r="AYP106" s="68"/>
      <c r="AYQ106" s="68"/>
      <c r="AYR106" s="68"/>
      <c r="AYS106" s="68"/>
      <c r="AYT106" s="68"/>
      <c r="AYU106" s="68"/>
      <c r="AYV106" s="68"/>
      <c r="AYW106" s="68"/>
      <c r="AYX106" s="68"/>
      <c r="AYY106" s="68"/>
      <c r="AYZ106" s="68"/>
      <c r="AZA106" s="68"/>
      <c r="AZB106" s="68"/>
      <c r="AZC106" s="68"/>
      <c r="AZD106" s="68"/>
      <c r="AZE106" s="68"/>
      <c r="AZF106" s="68"/>
      <c r="AZG106" s="68"/>
      <c r="AZH106" s="68"/>
      <c r="AZI106" s="68"/>
      <c r="AZJ106" s="68"/>
      <c r="AZK106" s="68"/>
      <c r="AZL106" s="68"/>
      <c r="AZM106" s="68"/>
      <c r="AZN106" s="68"/>
      <c r="AZO106" s="68"/>
      <c r="AZP106" s="68"/>
      <c r="AZQ106" s="68"/>
      <c r="AZR106" s="68"/>
      <c r="AZS106" s="68"/>
      <c r="AZT106" s="68"/>
      <c r="AZU106" s="68"/>
      <c r="AZV106" s="68"/>
      <c r="AZW106" s="68"/>
      <c r="AZX106" s="68"/>
      <c r="AZY106" s="68"/>
      <c r="AZZ106" s="68"/>
      <c r="BAA106" s="68"/>
      <c r="BAB106" s="68"/>
      <c r="BAC106" s="68"/>
      <c r="BAD106" s="68"/>
      <c r="BAE106" s="68"/>
      <c r="BAF106" s="68"/>
      <c r="BAG106" s="68"/>
      <c r="BAH106" s="68"/>
      <c r="BAI106" s="68"/>
      <c r="BAJ106" s="68"/>
      <c r="BAK106" s="68"/>
      <c r="BAL106" s="68"/>
      <c r="BAM106" s="68"/>
      <c r="BAN106" s="68"/>
      <c r="BAO106" s="68"/>
      <c r="BAP106" s="68"/>
      <c r="BAQ106" s="68"/>
      <c r="BAR106" s="68"/>
      <c r="BAS106" s="68"/>
      <c r="BAT106" s="68"/>
      <c r="BAU106" s="68"/>
      <c r="BAV106" s="68"/>
      <c r="BAW106" s="68"/>
      <c r="BAX106" s="68"/>
      <c r="BAY106" s="68"/>
      <c r="BAZ106" s="68"/>
      <c r="BBA106" s="68"/>
      <c r="BBB106" s="68"/>
      <c r="BBC106" s="68"/>
      <c r="BBD106" s="68"/>
      <c r="BBE106" s="68"/>
      <c r="BBF106" s="68"/>
      <c r="BBG106" s="68"/>
      <c r="BBH106" s="68"/>
      <c r="BBI106" s="68"/>
      <c r="BBJ106" s="68"/>
      <c r="BBK106" s="68"/>
      <c r="BBL106" s="68"/>
      <c r="BBM106" s="68"/>
      <c r="BBN106" s="68"/>
      <c r="BBO106" s="68"/>
      <c r="BBP106" s="68"/>
      <c r="BBQ106" s="68"/>
      <c r="BBR106" s="68"/>
      <c r="BBS106" s="68"/>
      <c r="BBT106" s="68"/>
      <c r="BBU106" s="68"/>
      <c r="BBV106" s="68"/>
      <c r="BBW106" s="68"/>
      <c r="BBX106" s="68"/>
      <c r="BBY106" s="68"/>
      <c r="BBZ106" s="68"/>
      <c r="BCA106" s="68"/>
      <c r="BCB106" s="68"/>
      <c r="BCC106" s="68"/>
      <c r="BCD106" s="68"/>
      <c r="BCE106" s="68"/>
      <c r="BCF106" s="68"/>
      <c r="BCG106" s="68"/>
      <c r="BCH106" s="68"/>
      <c r="BCI106" s="68"/>
      <c r="BCJ106" s="68"/>
      <c r="BCK106" s="68"/>
      <c r="BCL106" s="68"/>
      <c r="BCM106" s="68"/>
      <c r="BCN106" s="68"/>
      <c r="BCO106" s="68"/>
      <c r="BCP106" s="68"/>
      <c r="BCQ106" s="68"/>
      <c r="BCR106" s="68"/>
      <c r="BCS106" s="68"/>
      <c r="BCT106" s="68"/>
      <c r="BCU106" s="68"/>
      <c r="BCV106" s="68"/>
      <c r="BCW106" s="68"/>
      <c r="BCX106" s="68"/>
      <c r="BCY106" s="68"/>
      <c r="BCZ106" s="68"/>
      <c r="BDA106" s="68"/>
    </row>
    <row r="107" spans="1:1457" s="67" customFormat="1" ht="24.75" customHeight="1" x14ac:dyDescent="0.25">
      <c r="A107" s="49">
        <v>25</v>
      </c>
      <c r="B107" s="71" t="s">
        <v>210</v>
      </c>
      <c r="C107" s="71" t="s">
        <v>211</v>
      </c>
      <c r="D107" s="69" t="s">
        <v>708</v>
      </c>
      <c r="E107" s="71" t="s">
        <v>709</v>
      </c>
      <c r="F107" s="51">
        <v>4924100</v>
      </c>
      <c r="G107" s="70" t="s">
        <v>677</v>
      </c>
      <c r="H107" s="42" t="s">
        <v>583</v>
      </c>
      <c r="I107" s="71" t="s">
        <v>181</v>
      </c>
      <c r="J107" s="71"/>
      <c r="K107" s="69"/>
      <c r="L107" s="69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  <c r="BW107" s="68"/>
      <c r="BX107" s="68"/>
      <c r="BY107" s="68"/>
      <c r="BZ107" s="68"/>
      <c r="CA107" s="68"/>
      <c r="CB107" s="68"/>
      <c r="CC107" s="68"/>
      <c r="CD107" s="68"/>
      <c r="CE107" s="68"/>
      <c r="CF107" s="68"/>
      <c r="CG107" s="68"/>
      <c r="CH107" s="68"/>
      <c r="CI107" s="68"/>
      <c r="CJ107" s="68"/>
      <c r="CK107" s="68"/>
      <c r="CL107" s="68"/>
      <c r="CM107" s="68"/>
      <c r="CN107" s="68"/>
      <c r="CO107" s="68"/>
      <c r="CP107" s="68"/>
      <c r="CQ107" s="68"/>
      <c r="CR107" s="68"/>
      <c r="CS107" s="68"/>
      <c r="CT107" s="68"/>
      <c r="CU107" s="68"/>
      <c r="CV107" s="68"/>
      <c r="CW107" s="68"/>
      <c r="CX107" s="68"/>
      <c r="CY107" s="68"/>
      <c r="CZ107" s="68"/>
      <c r="DA107" s="68"/>
      <c r="DB107" s="68"/>
      <c r="DC107" s="68"/>
      <c r="DD107" s="68"/>
      <c r="DE107" s="68"/>
      <c r="DF107" s="68"/>
      <c r="DG107" s="68"/>
      <c r="DH107" s="68"/>
      <c r="DI107" s="68"/>
      <c r="DJ107" s="68"/>
      <c r="DK107" s="68"/>
      <c r="DL107" s="68"/>
      <c r="DM107" s="68"/>
      <c r="DN107" s="68"/>
      <c r="DO107" s="68"/>
      <c r="DP107" s="68"/>
      <c r="DQ107" s="68"/>
      <c r="DR107" s="68"/>
      <c r="DS107" s="68"/>
      <c r="DT107" s="68"/>
      <c r="DU107" s="68"/>
      <c r="DV107" s="68"/>
      <c r="DW107" s="68"/>
      <c r="DX107" s="68"/>
      <c r="DY107" s="68"/>
      <c r="DZ107" s="68"/>
      <c r="EA107" s="68"/>
      <c r="EB107" s="68"/>
      <c r="EC107" s="68"/>
      <c r="ED107" s="68"/>
      <c r="EE107" s="68"/>
      <c r="EF107" s="68"/>
      <c r="EG107" s="68"/>
      <c r="EH107" s="68"/>
      <c r="EI107" s="68"/>
      <c r="EJ107" s="68"/>
      <c r="EK107" s="68"/>
      <c r="EL107" s="68"/>
      <c r="EM107" s="68"/>
      <c r="EN107" s="68"/>
      <c r="EO107" s="68"/>
      <c r="EP107" s="68"/>
      <c r="EQ107" s="68"/>
      <c r="ER107" s="68"/>
      <c r="ES107" s="68"/>
      <c r="ET107" s="68"/>
      <c r="EU107" s="68"/>
      <c r="EV107" s="68"/>
      <c r="EW107" s="68"/>
      <c r="EX107" s="68"/>
      <c r="EY107" s="68"/>
      <c r="EZ107" s="68"/>
      <c r="FA107" s="68"/>
      <c r="FB107" s="68"/>
      <c r="FC107" s="68"/>
      <c r="FD107" s="68"/>
      <c r="FE107" s="68"/>
      <c r="FF107" s="68"/>
      <c r="FG107" s="68"/>
      <c r="FH107" s="68"/>
      <c r="FI107" s="68"/>
      <c r="FJ107" s="68"/>
      <c r="FK107" s="68"/>
      <c r="FL107" s="68"/>
      <c r="FM107" s="68"/>
      <c r="FN107" s="68"/>
      <c r="FO107" s="68"/>
      <c r="FP107" s="68"/>
      <c r="FQ107" s="68"/>
      <c r="FR107" s="68"/>
      <c r="FS107" s="68"/>
      <c r="FT107" s="68"/>
      <c r="FU107" s="68"/>
      <c r="FV107" s="68"/>
      <c r="FW107" s="68"/>
      <c r="FX107" s="68"/>
      <c r="FY107" s="68"/>
      <c r="FZ107" s="68"/>
      <c r="GA107" s="68"/>
      <c r="GB107" s="68"/>
      <c r="GC107" s="68"/>
      <c r="GD107" s="68"/>
      <c r="GE107" s="68"/>
      <c r="GF107" s="68"/>
      <c r="GG107" s="68"/>
      <c r="GH107" s="68"/>
      <c r="GI107" s="68"/>
      <c r="GJ107" s="68"/>
      <c r="GK107" s="68"/>
      <c r="GL107" s="68"/>
      <c r="GM107" s="68"/>
      <c r="GN107" s="68"/>
      <c r="GO107" s="68"/>
      <c r="GP107" s="68"/>
      <c r="GQ107" s="68"/>
      <c r="GR107" s="68"/>
      <c r="GS107" s="68"/>
      <c r="GT107" s="68"/>
      <c r="GU107" s="68"/>
      <c r="GV107" s="68"/>
      <c r="GW107" s="68"/>
      <c r="GX107" s="68"/>
      <c r="GY107" s="68"/>
      <c r="GZ107" s="68"/>
      <c r="HA107" s="68"/>
      <c r="HB107" s="68"/>
      <c r="HC107" s="68"/>
      <c r="HD107" s="68"/>
      <c r="HE107" s="68"/>
      <c r="HF107" s="68"/>
      <c r="HG107" s="68"/>
      <c r="HH107" s="68"/>
      <c r="HI107" s="68"/>
      <c r="HJ107" s="68"/>
      <c r="HK107" s="68"/>
      <c r="HL107" s="68"/>
      <c r="HM107" s="68"/>
      <c r="HN107" s="68"/>
      <c r="HO107" s="68"/>
      <c r="HP107" s="68"/>
      <c r="HQ107" s="68"/>
      <c r="HR107" s="68"/>
      <c r="HS107" s="68"/>
      <c r="HT107" s="68"/>
      <c r="HU107" s="68"/>
      <c r="HV107" s="68"/>
      <c r="HW107" s="68"/>
      <c r="HX107" s="68"/>
      <c r="HY107" s="68"/>
      <c r="HZ107" s="68"/>
      <c r="IA107" s="68"/>
      <c r="IB107" s="68"/>
      <c r="IC107" s="68"/>
      <c r="ID107" s="68"/>
      <c r="IE107" s="68"/>
      <c r="IF107" s="68"/>
      <c r="IG107" s="68"/>
      <c r="IH107" s="68"/>
      <c r="II107" s="68"/>
      <c r="IJ107" s="68"/>
      <c r="IK107" s="68"/>
      <c r="IL107" s="68"/>
      <c r="IM107" s="68"/>
      <c r="IN107" s="68"/>
      <c r="IO107" s="68"/>
      <c r="IP107" s="68"/>
      <c r="IQ107" s="68"/>
      <c r="IR107" s="68"/>
      <c r="IS107" s="68"/>
      <c r="IT107" s="68"/>
      <c r="IU107" s="68"/>
      <c r="IV107" s="68"/>
      <c r="IW107" s="68"/>
      <c r="IX107" s="68"/>
      <c r="IY107" s="68"/>
      <c r="IZ107" s="68"/>
      <c r="JA107" s="68"/>
      <c r="JB107" s="68"/>
      <c r="JC107" s="68"/>
      <c r="JD107" s="68"/>
      <c r="JE107" s="68"/>
      <c r="JF107" s="68"/>
      <c r="JG107" s="68"/>
      <c r="JH107" s="68"/>
      <c r="JI107" s="68"/>
      <c r="JJ107" s="68"/>
      <c r="JK107" s="68"/>
      <c r="JL107" s="68"/>
      <c r="JM107" s="68"/>
      <c r="JN107" s="68"/>
      <c r="JO107" s="68"/>
      <c r="JP107" s="68"/>
      <c r="JQ107" s="68"/>
      <c r="JR107" s="68"/>
      <c r="JS107" s="68"/>
      <c r="JT107" s="68"/>
      <c r="JU107" s="68"/>
      <c r="JV107" s="68"/>
      <c r="JW107" s="68"/>
      <c r="JX107" s="68"/>
      <c r="JY107" s="68"/>
      <c r="JZ107" s="68"/>
      <c r="KA107" s="68"/>
      <c r="KB107" s="68"/>
      <c r="KC107" s="68"/>
      <c r="KD107" s="68"/>
      <c r="KE107" s="68"/>
      <c r="KF107" s="68"/>
      <c r="KG107" s="68"/>
      <c r="KH107" s="68"/>
      <c r="KI107" s="68"/>
      <c r="KJ107" s="68"/>
      <c r="KK107" s="68"/>
      <c r="KL107" s="68"/>
      <c r="KM107" s="68"/>
      <c r="KN107" s="68"/>
      <c r="KO107" s="68"/>
      <c r="KP107" s="68"/>
      <c r="KQ107" s="68"/>
      <c r="KR107" s="68"/>
      <c r="KS107" s="68"/>
      <c r="KT107" s="68"/>
      <c r="KU107" s="68"/>
      <c r="KV107" s="68"/>
      <c r="KW107" s="68"/>
      <c r="KX107" s="68"/>
      <c r="KY107" s="68"/>
      <c r="KZ107" s="68"/>
      <c r="LA107" s="68"/>
      <c r="LB107" s="68"/>
      <c r="LC107" s="68"/>
      <c r="LD107" s="68"/>
      <c r="LE107" s="68"/>
      <c r="LF107" s="68"/>
      <c r="LG107" s="68"/>
      <c r="LH107" s="68"/>
      <c r="LI107" s="68"/>
      <c r="LJ107" s="68"/>
      <c r="LK107" s="68"/>
      <c r="LL107" s="68"/>
      <c r="LM107" s="68"/>
      <c r="LN107" s="68"/>
      <c r="LO107" s="68"/>
      <c r="LP107" s="68"/>
      <c r="LQ107" s="68"/>
      <c r="LR107" s="68"/>
      <c r="LS107" s="68"/>
      <c r="LT107" s="68"/>
      <c r="LU107" s="68"/>
      <c r="LV107" s="68"/>
      <c r="LW107" s="68"/>
      <c r="LX107" s="68"/>
      <c r="LY107" s="68"/>
      <c r="LZ107" s="68"/>
      <c r="MA107" s="68"/>
      <c r="MB107" s="68"/>
      <c r="MC107" s="68"/>
      <c r="MD107" s="68"/>
      <c r="ME107" s="68"/>
      <c r="MF107" s="68"/>
      <c r="MG107" s="68"/>
      <c r="MH107" s="68"/>
      <c r="MI107" s="68"/>
      <c r="MJ107" s="68"/>
      <c r="MK107" s="68"/>
      <c r="ML107" s="68"/>
      <c r="MM107" s="68"/>
      <c r="MN107" s="68"/>
      <c r="MO107" s="68"/>
      <c r="MP107" s="68"/>
      <c r="MQ107" s="68"/>
      <c r="MR107" s="68"/>
      <c r="MS107" s="68"/>
      <c r="MT107" s="68"/>
      <c r="MU107" s="68"/>
      <c r="MV107" s="68"/>
      <c r="MW107" s="68"/>
      <c r="MX107" s="68"/>
      <c r="MY107" s="68"/>
      <c r="MZ107" s="68"/>
      <c r="NA107" s="68"/>
      <c r="NB107" s="68"/>
      <c r="NC107" s="68"/>
      <c r="ND107" s="68"/>
      <c r="NE107" s="68"/>
      <c r="NF107" s="68"/>
      <c r="NG107" s="68"/>
      <c r="NH107" s="68"/>
      <c r="NI107" s="68"/>
      <c r="NJ107" s="68"/>
      <c r="NK107" s="68"/>
      <c r="NL107" s="68"/>
      <c r="NM107" s="68"/>
      <c r="NN107" s="68"/>
      <c r="NO107" s="68"/>
      <c r="NP107" s="68"/>
      <c r="NQ107" s="68"/>
      <c r="NR107" s="68"/>
      <c r="NS107" s="68"/>
      <c r="NT107" s="68"/>
      <c r="NU107" s="68"/>
      <c r="NV107" s="68"/>
      <c r="NW107" s="68"/>
      <c r="NX107" s="68"/>
      <c r="NY107" s="68"/>
      <c r="NZ107" s="68"/>
      <c r="OA107" s="68"/>
      <c r="OB107" s="68"/>
      <c r="OC107" s="68"/>
      <c r="OD107" s="68"/>
      <c r="OE107" s="68"/>
      <c r="OF107" s="68"/>
      <c r="OG107" s="68"/>
      <c r="OH107" s="68"/>
      <c r="OI107" s="68"/>
      <c r="OJ107" s="68"/>
      <c r="OK107" s="68"/>
      <c r="OL107" s="68"/>
      <c r="OM107" s="68"/>
      <c r="ON107" s="68"/>
      <c r="OO107" s="68"/>
      <c r="OP107" s="68"/>
      <c r="OQ107" s="68"/>
      <c r="OR107" s="68"/>
      <c r="OS107" s="68"/>
      <c r="OT107" s="68"/>
      <c r="OU107" s="68"/>
      <c r="OV107" s="68"/>
      <c r="OW107" s="68"/>
      <c r="OX107" s="68"/>
      <c r="OY107" s="68"/>
      <c r="OZ107" s="68"/>
      <c r="PA107" s="68"/>
      <c r="PB107" s="68"/>
      <c r="PC107" s="68"/>
      <c r="PD107" s="68"/>
      <c r="PE107" s="68"/>
      <c r="PF107" s="68"/>
      <c r="PG107" s="68"/>
      <c r="PH107" s="68"/>
      <c r="PI107" s="68"/>
      <c r="PJ107" s="68"/>
      <c r="PK107" s="68"/>
      <c r="PL107" s="68"/>
      <c r="PM107" s="68"/>
      <c r="PN107" s="68"/>
      <c r="PO107" s="68"/>
      <c r="PP107" s="68"/>
      <c r="PQ107" s="68"/>
      <c r="PR107" s="68"/>
      <c r="PS107" s="68"/>
      <c r="PT107" s="68"/>
      <c r="PU107" s="68"/>
      <c r="PV107" s="68"/>
      <c r="PW107" s="68"/>
      <c r="PX107" s="68"/>
      <c r="PY107" s="68"/>
      <c r="PZ107" s="68"/>
      <c r="QA107" s="68"/>
      <c r="QB107" s="68"/>
      <c r="QC107" s="68"/>
      <c r="QD107" s="68"/>
      <c r="QE107" s="68"/>
      <c r="QF107" s="68"/>
      <c r="QG107" s="68"/>
      <c r="QH107" s="68"/>
      <c r="QI107" s="68"/>
      <c r="QJ107" s="68"/>
      <c r="QK107" s="68"/>
      <c r="QL107" s="68"/>
      <c r="QM107" s="68"/>
      <c r="QN107" s="68"/>
      <c r="QO107" s="68"/>
      <c r="QP107" s="68"/>
      <c r="QQ107" s="68"/>
      <c r="QR107" s="68"/>
      <c r="QS107" s="68"/>
      <c r="QT107" s="68"/>
      <c r="QU107" s="68"/>
      <c r="QV107" s="68"/>
      <c r="QW107" s="68"/>
      <c r="QX107" s="68"/>
      <c r="QY107" s="68"/>
      <c r="QZ107" s="68"/>
      <c r="RA107" s="68"/>
      <c r="RB107" s="68"/>
      <c r="RC107" s="68"/>
      <c r="RD107" s="68"/>
      <c r="RE107" s="68"/>
      <c r="RF107" s="68"/>
      <c r="RG107" s="68"/>
      <c r="RH107" s="68"/>
      <c r="RI107" s="68"/>
      <c r="RJ107" s="68"/>
      <c r="RK107" s="68"/>
      <c r="RL107" s="68"/>
      <c r="RM107" s="68"/>
      <c r="RN107" s="68"/>
      <c r="RO107" s="68"/>
      <c r="RP107" s="68"/>
      <c r="RQ107" s="68"/>
      <c r="RR107" s="68"/>
      <c r="RS107" s="68"/>
      <c r="RT107" s="68"/>
      <c r="RU107" s="68"/>
      <c r="RV107" s="68"/>
      <c r="RW107" s="68"/>
      <c r="RX107" s="68"/>
      <c r="RY107" s="68"/>
      <c r="RZ107" s="68"/>
      <c r="SA107" s="68"/>
      <c r="SB107" s="68"/>
      <c r="SC107" s="68"/>
      <c r="SD107" s="68"/>
      <c r="SE107" s="68"/>
      <c r="SF107" s="68"/>
      <c r="SG107" s="68"/>
      <c r="SH107" s="68"/>
      <c r="SI107" s="68"/>
      <c r="SJ107" s="68"/>
      <c r="SK107" s="68"/>
      <c r="SL107" s="68"/>
      <c r="SM107" s="68"/>
      <c r="SN107" s="68"/>
      <c r="SO107" s="68"/>
      <c r="SP107" s="68"/>
      <c r="SQ107" s="68"/>
      <c r="SR107" s="68"/>
      <c r="SS107" s="68"/>
      <c r="ST107" s="68"/>
      <c r="SU107" s="68"/>
      <c r="SV107" s="68"/>
      <c r="SW107" s="68"/>
      <c r="SX107" s="68"/>
      <c r="SY107" s="68"/>
      <c r="SZ107" s="68"/>
      <c r="TA107" s="68"/>
      <c r="TB107" s="68"/>
      <c r="TC107" s="68"/>
      <c r="TD107" s="68"/>
      <c r="TE107" s="68"/>
      <c r="TF107" s="68"/>
      <c r="TG107" s="68"/>
      <c r="TH107" s="68"/>
      <c r="TI107" s="68"/>
      <c r="TJ107" s="68"/>
      <c r="TK107" s="68"/>
      <c r="TL107" s="68"/>
      <c r="TM107" s="68"/>
      <c r="TN107" s="68"/>
      <c r="TO107" s="68"/>
      <c r="TP107" s="68"/>
      <c r="TQ107" s="68"/>
      <c r="TR107" s="68"/>
      <c r="TS107" s="68"/>
      <c r="TT107" s="68"/>
      <c r="TU107" s="68"/>
      <c r="TV107" s="68"/>
      <c r="TW107" s="68"/>
      <c r="TX107" s="68"/>
      <c r="TY107" s="68"/>
      <c r="TZ107" s="68"/>
      <c r="UA107" s="68"/>
      <c r="UB107" s="68"/>
      <c r="UC107" s="68"/>
      <c r="UD107" s="68"/>
      <c r="UE107" s="68"/>
      <c r="UF107" s="68"/>
      <c r="UG107" s="68"/>
      <c r="UH107" s="68"/>
      <c r="UI107" s="68"/>
      <c r="UJ107" s="68"/>
      <c r="UK107" s="68"/>
      <c r="UL107" s="68"/>
      <c r="UM107" s="68"/>
      <c r="UN107" s="68"/>
      <c r="UO107" s="68"/>
      <c r="UP107" s="68"/>
      <c r="UQ107" s="68"/>
      <c r="UR107" s="68"/>
      <c r="US107" s="68"/>
      <c r="UT107" s="68"/>
      <c r="UU107" s="68"/>
      <c r="UV107" s="68"/>
      <c r="UW107" s="68"/>
      <c r="UX107" s="68"/>
      <c r="UY107" s="68"/>
      <c r="UZ107" s="68"/>
      <c r="VA107" s="68"/>
      <c r="VB107" s="68"/>
      <c r="VC107" s="68"/>
      <c r="VD107" s="68"/>
      <c r="VE107" s="68"/>
      <c r="VF107" s="68"/>
      <c r="VG107" s="68"/>
      <c r="VH107" s="68"/>
      <c r="VI107" s="68"/>
      <c r="VJ107" s="68"/>
      <c r="VK107" s="68"/>
      <c r="VL107" s="68"/>
      <c r="VM107" s="68"/>
      <c r="VN107" s="68"/>
      <c r="VO107" s="68"/>
      <c r="VP107" s="68"/>
      <c r="VQ107" s="68"/>
      <c r="VR107" s="68"/>
      <c r="VS107" s="68"/>
      <c r="VT107" s="68"/>
      <c r="VU107" s="68"/>
      <c r="VV107" s="68"/>
      <c r="VW107" s="68"/>
      <c r="VX107" s="68"/>
      <c r="VY107" s="68"/>
      <c r="VZ107" s="68"/>
      <c r="WA107" s="68"/>
      <c r="WB107" s="68"/>
      <c r="WC107" s="68"/>
      <c r="WD107" s="68"/>
      <c r="WE107" s="68"/>
      <c r="WF107" s="68"/>
      <c r="WG107" s="68"/>
      <c r="WH107" s="68"/>
      <c r="WI107" s="68"/>
      <c r="WJ107" s="68"/>
      <c r="WK107" s="68"/>
      <c r="WL107" s="68"/>
      <c r="WM107" s="68"/>
      <c r="WN107" s="68"/>
      <c r="WO107" s="68"/>
      <c r="WP107" s="68"/>
      <c r="WQ107" s="68"/>
      <c r="WR107" s="68"/>
      <c r="WS107" s="68"/>
      <c r="WT107" s="68"/>
      <c r="WU107" s="68"/>
      <c r="WV107" s="68"/>
      <c r="WW107" s="68"/>
      <c r="WX107" s="68"/>
      <c r="WY107" s="68"/>
      <c r="WZ107" s="68"/>
      <c r="XA107" s="68"/>
      <c r="XB107" s="68"/>
      <c r="XC107" s="68"/>
      <c r="XD107" s="68"/>
      <c r="XE107" s="68"/>
      <c r="XF107" s="68"/>
      <c r="XG107" s="68"/>
      <c r="XH107" s="68"/>
      <c r="XI107" s="68"/>
      <c r="XJ107" s="68"/>
      <c r="XK107" s="68"/>
      <c r="XL107" s="68"/>
      <c r="XM107" s="68"/>
      <c r="XN107" s="68"/>
      <c r="XO107" s="68"/>
      <c r="XP107" s="68"/>
      <c r="XQ107" s="68"/>
      <c r="XR107" s="68"/>
      <c r="XS107" s="68"/>
      <c r="XT107" s="68"/>
      <c r="XU107" s="68"/>
      <c r="XV107" s="68"/>
      <c r="XW107" s="68"/>
      <c r="XX107" s="68"/>
      <c r="XY107" s="68"/>
      <c r="XZ107" s="68"/>
      <c r="YA107" s="68"/>
      <c r="YB107" s="68"/>
      <c r="YC107" s="68"/>
      <c r="YD107" s="68"/>
      <c r="YE107" s="68"/>
      <c r="YF107" s="68"/>
      <c r="YG107" s="68"/>
      <c r="YH107" s="68"/>
      <c r="YI107" s="68"/>
      <c r="YJ107" s="68"/>
      <c r="YK107" s="68"/>
      <c r="YL107" s="68"/>
      <c r="YM107" s="68"/>
      <c r="YN107" s="68"/>
      <c r="YO107" s="68"/>
      <c r="YP107" s="68"/>
      <c r="YQ107" s="68"/>
      <c r="YR107" s="68"/>
      <c r="YS107" s="68"/>
      <c r="YT107" s="68"/>
      <c r="YU107" s="68"/>
      <c r="YV107" s="68"/>
      <c r="YW107" s="68"/>
      <c r="YX107" s="68"/>
      <c r="YY107" s="68"/>
      <c r="YZ107" s="68"/>
      <c r="ZA107" s="68"/>
      <c r="ZB107" s="68"/>
      <c r="ZC107" s="68"/>
      <c r="ZD107" s="68"/>
      <c r="ZE107" s="68"/>
      <c r="ZF107" s="68"/>
      <c r="ZG107" s="68"/>
      <c r="ZH107" s="68"/>
      <c r="ZI107" s="68"/>
      <c r="ZJ107" s="68"/>
      <c r="ZK107" s="68"/>
      <c r="ZL107" s="68"/>
      <c r="ZM107" s="68"/>
      <c r="ZN107" s="68"/>
      <c r="ZO107" s="68"/>
      <c r="ZP107" s="68"/>
      <c r="ZQ107" s="68"/>
      <c r="ZR107" s="68"/>
      <c r="ZS107" s="68"/>
      <c r="ZT107" s="68"/>
      <c r="ZU107" s="68"/>
      <c r="ZV107" s="68"/>
      <c r="ZW107" s="68"/>
      <c r="ZX107" s="68"/>
      <c r="ZY107" s="68"/>
      <c r="ZZ107" s="68"/>
      <c r="AAA107" s="68"/>
      <c r="AAB107" s="68"/>
      <c r="AAC107" s="68"/>
      <c r="AAD107" s="68"/>
      <c r="AAE107" s="68"/>
      <c r="AAF107" s="68"/>
      <c r="AAG107" s="68"/>
      <c r="AAH107" s="68"/>
      <c r="AAI107" s="68"/>
      <c r="AAJ107" s="68"/>
      <c r="AAK107" s="68"/>
      <c r="AAL107" s="68"/>
      <c r="AAM107" s="68"/>
      <c r="AAN107" s="68"/>
      <c r="AAO107" s="68"/>
      <c r="AAP107" s="68"/>
      <c r="AAQ107" s="68"/>
      <c r="AAR107" s="68"/>
      <c r="AAS107" s="68"/>
      <c r="AAT107" s="68"/>
      <c r="AAU107" s="68"/>
      <c r="AAV107" s="68"/>
      <c r="AAW107" s="68"/>
      <c r="AAX107" s="68"/>
      <c r="AAY107" s="68"/>
      <c r="AAZ107" s="68"/>
      <c r="ABA107" s="68"/>
      <c r="ABB107" s="68"/>
      <c r="ABC107" s="68"/>
      <c r="ABD107" s="68"/>
      <c r="ABE107" s="68"/>
      <c r="ABF107" s="68"/>
      <c r="ABG107" s="68"/>
      <c r="ABH107" s="68"/>
      <c r="ABI107" s="68"/>
      <c r="ABJ107" s="68"/>
      <c r="ABK107" s="68"/>
      <c r="ABL107" s="68"/>
      <c r="ABM107" s="68"/>
      <c r="ABN107" s="68"/>
      <c r="ABO107" s="68"/>
      <c r="ABP107" s="68"/>
      <c r="ABQ107" s="68"/>
      <c r="ABR107" s="68"/>
      <c r="ABS107" s="68"/>
      <c r="ABT107" s="68"/>
      <c r="ABU107" s="68"/>
      <c r="ABV107" s="68"/>
      <c r="ABW107" s="68"/>
      <c r="ABX107" s="68"/>
      <c r="ABY107" s="68"/>
      <c r="ABZ107" s="68"/>
      <c r="ACA107" s="68"/>
      <c r="ACB107" s="68"/>
      <c r="ACC107" s="68"/>
      <c r="ACD107" s="68"/>
      <c r="ACE107" s="68"/>
      <c r="ACF107" s="68"/>
      <c r="ACG107" s="68"/>
      <c r="ACH107" s="68"/>
      <c r="ACI107" s="68"/>
      <c r="ACJ107" s="68"/>
      <c r="ACK107" s="68"/>
      <c r="ACL107" s="68"/>
      <c r="ACM107" s="68"/>
      <c r="ACN107" s="68"/>
      <c r="ACO107" s="68"/>
      <c r="ACP107" s="68"/>
      <c r="ACQ107" s="68"/>
      <c r="ACR107" s="68"/>
      <c r="ACS107" s="68"/>
      <c r="ACT107" s="68"/>
      <c r="ACU107" s="68"/>
      <c r="ACV107" s="68"/>
      <c r="ACW107" s="68"/>
      <c r="ACX107" s="68"/>
      <c r="ACY107" s="68"/>
      <c r="ACZ107" s="68"/>
      <c r="ADA107" s="68"/>
      <c r="ADB107" s="68"/>
      <c r="ADC107" s="68"/>
      <c r="ADD107" s="68"/>
      <c r="ADE107" s="68"/>
      <c r="ADF107" s="68"/>
      <c r="ADG107" s="68"/>
      <c r="ADH107" s="68"/>
      <c r="ADI107" s="68"/>
      <c r="ADJ107" s="68"/>
      <c r="ADK107" s="68"/>
      <c r="ADL107" s="68"/>
      <c r="ADM107" s="68"/>
      <c r="ADN107" s="68"/>
      <c r="ADO107" s="68"/>
      <c r="ADP107" s="68"/>
      <c r="ADQ107" s="68"/>
      <c r="ADR107" s="68"/>
      <c r="ADS107" s="68"/>
      <c r="ADT107" s="68"/>
      <c r="ADU107" s="68"/>
      <c r="ADV107" s="68"/>
      <c r="ADW107" s="68"/>
      <c r="ADX107" s="68"/>
      <c r="ADY107" s="68"/>
      <c r="ADZ107" s="68"/>
      <c r="AEA107" s="68"/>
      <c r="AEB107" s="68"/>
      <c r="AEC107" s="68"/>
      <c r="AED107" s="68"/>
      <c r="AEE107" s="68"/>
      <c r="AEF107" s="68"/>
      <c r="AEG107" s="68"/>
      <c r="AEH107" s="68"/>
      <c r="AEI107" s="68"/>
      <c r="AEJ107" s="68"/>
      <c r="AEK107" s="68"/>
      <c r="AEL107" s="68"/>
      <c r="AEM107" s="68"/>
      <c r="AEN107" s="68"/>
      <c r="AEO107" s="68"/>
      <c r="AEP107" s="68"/>
      <c r="AEQ107" s="68"/>
      <c r="AER107" s="68"/>
      <c r="AES107" s="68"/>
      <c r="AET107" s="68"/>
      <c r="AEU107" s="68"/>
      <c r="AEV107" s="68"/>
      <c r="AEW107" s="68"/>
      <c r="AEX107" s="68"/>
      <c r="AEY107" s="68"/>
      <c r="AEZ107" s="68"/>
      <c r="AFA107" s="68"/>
      <c r="AFB107" s="68"/>
      <c r="AFC107" s="68"/>
      <c r="AFD107" s="68"/>
      <c r="AFE107" s="68"/>
      <c r="AFF107" s="68"/>
      <c r="AFG107" s="68"/>
      <c r="AFH107" s="68"/>
      <c r="AFI107" s="68"/>
      <c r="AFJ107" s="68"/>
      <c r="AFK107" s="68"/>
      <c r="AFL107" s="68"/>
      <c r="AFM107" s="68"/>
      <c r="AFN107" s="68"/>
      <c r="AFO107" s="68"/>
      <c r="AFP107" s="68"/>
      <c r="AFQ107" s="68"/>
      <c r="AFR107" s="68"/>
      <c r="AFS107" s="68"/>
      <c r="AFT107" s="68"/>
      <c r="AFU107" s="68"/>
      <c r="AFV107" s="68"/>
      <c r="AFW107" s="68"/>
      <c r="AFX107" s="68"/>
      <c r="AFY107" s="68"/>
      <c r="AFZ107" s="68"/>
      <c r="AGA107" s="68"/>
      <c r="AGB107" s="68"/>
      <c r="AGC107" s="68"/>
      <c r="AGD107" s="68"/>
      <c r="AGE107" s="68"/>
      <c r="AGF107" s="68"/>
      <c r="AGG107" s="68"/>
      <c r="AGH107" s="68"/>
      <c r="AGI107" s="68"/>
      <c r="AGJ107" s="68"/>
      <c r="AGK107" s="68"/>
      <c r="AGL107" s="68"/>
      <c r="AGM107" s="68"/>
      <c r="AGN107" s="68"/>
      <c r="AGO107" s="68"/>
      <c r="AGP107" s="68"/>
      <c r="AGQ107" s="68"/>
      <c r="AGR107" s="68"/>
      <c r="AGS107" s="68"/>
      <c r="AGT107" s="68"/>
      <c r="AGU107" s="68"/>
      <c r="AGV107" s="68"/>
      <c r="AGW107" s="68"/>
      <c r="AGX107" s="68"/>
      <c r="AGY107" s="68"/>
      <c r="AGZ107" s="68"/>
      <c r="AHA107" s="68"/>
      <c r="AHB107" s="68"/>
      <c r="AHC107" s="68"/>
      <c r="AHD107" s="68"/>
      <c r="AHE107" s="68"/>
      <c r="AHF107" s="68"/>
      <c r="AHG107" s="68"/>
      <c r="AHH107" s="68"/>
      <c r="AHI107" s="68"/>
      <c r="AHJ107" s="68"/>
      <c r="AHK107" s="68"/>
      <c r="AHL107" s="68"/>
      <c r="AHM107" s="68"/>
      <c r="AHN107" s="68"/>
      <c r="AHO107" s="68"/>
      <c r="AHP107" s="68"/>
      <c r="AHQ107" s="68"/>
      <c r="AHR107" s="68"/>
      <c r="AHS107" s="68"/>
      <c r="AHT107" s="68"/>
      <c r="AHU107" s="68"/>
      <c r="AHV107" s="68"/>
      <c r="AHW107" s="68"/>
      <c r="AHX107" s="68"/>
      <c r="AHY107" s="68"/>
      <c r="AHZ107" s="68"/>
      <c r="AIA107" s="68"/>
      <c r="AIB107" s="68"/>
      <c r="AIC107" s="68"/>
      <c r="AID107" s="68"/>
      <c r="AIE107" s="68"/>
      <c r="AIF107" s="68"/>
      <c r="AIG107" s="68"/>
      <c r="AIH107" s="68"/>
      <c r="AII107" s="68"/>
      <c r="AIJ107" s="68"/>
      <c r="AIK107" s="68"/>
      <c r="AIL107" s="68"/>
      <c r="AIM107" s="68"/>
      <c r="AIN107" s="68"/>
      <c r="AIO107" s="68"/>
      <c r="AIP107" s="68"/>
      <c r="AIQ107" s="68"/>
      <c r="AIR107" s="68"/>
      <c r="AIS107" s="68"/>
      <c r="AIT107" s="68"/>
      <c r="AIU107" s="68"/>
      <c r="AIV107" s="68"/>
      <c r="AIW107" s="68"/>
      <c r="AIX107" s="68"/>
      <c r="AIY107" s="68"/>
      <c r="AIZ107" s="68"/>
      <c r="AJA107" s="68"/>
      <c r="AJB107" s="68"/>
      <c r="AJC107" s="68"/>
      <c r="AJD107" s="68"/>
      <c r="AJE107" s="68"/>
      <c r="AJF107" s="68"/>
      <c r="AJG107" s="68"/>
      <c r="AJH107" s="68"/>
      <c r="AJI107" s="68"/>
      <c r="AJJ107" s="68"/>
      <c r="AJK107" s="68"/>
      <c r="AJL107" s="68"/>
      <c r="AJM107" s="68"/>
      <c r="AJN107" s="68"/>
      <c r="AJO107" s="68"/>
      <c r="AJP107" s="68"/>
      <c r="AJQ107" s="68"/>
      <c r="AJR107" s="68"/>
      <c r="AJS107" s="68"/>
      <c r="AJT107" s="68"/>
      <c r="AJU107" s="68"/>
      <c r="AJV107" s="68"/>
      <c r="AJW107" s="68"/>
      <c r="AJX107" s="68"/>
      <c r="AJY107" s="68"/>
      <c r="AJZ107" s="68"/>
      <c r="AKA107" s="68"/>
      <c r="AKB107" s="68"/>
      <c r="AKC107" s="68"/>
      <c r="AKD107" s="68"/>
      <c r="AKE107" s="68"/>
      <c r="AKF107" s="68"/>
      <c r="AKG107" s="68"/>
      <c r="AKH107" s="68"/>
      <c r="AKI107" s="68"/>
      <c r="AKJ107" s="68"/>
      <c r="AKK107" s="68"/>
      <c r="AKL107" s="68"/>
      <c r="AKM107" s="68"/>
      <c r="AKN107" s="68"/>
      <c r="AKO107" s="68"/>
      <c r="AKP107" s="68"/>
      <c r="AKQ107" s="68"/>
      <c r="AKR107" s="68"/>
      <c r="AKS107" s="68"/>
      <c r="AKT107" s="68"/>
      <c r="AKU107" s="68"/>
      <c r="AKV107" s="68"/>
      <c r="AKW107" s="68"/>
      <c r="AKX107" s="68"/>
      <c r="AKY107" s="68"/>
      <c r="AKZ107" s="68"/>
      <c r="ALA107" s="68"/>
      <c r="ALB107" s="68"/>
      <c r="ALC107" s="68"/>
      <c r="ALD107" s="68"/>
      <c r="ALE107" s="68"/>
      <c r="ALF107" s="68"/>
      <c r="ALG107" s="68"/>
      <c r="ALH107" s="68"/>
      <c r="ALI107" s="68"/>
      <c r="ALJ107" s="68"/>
      <c r="ALK107" s="68"/>
      <c r="ALL107" s="68"/>
      <c r="ALM107" s="68"/>
      <c r="ALN107" s="68"/>
      <c r="ALO107" s="68"/>
      <c r="ALP107" s="68"/>
      <c r="ALQ107" s="68"/>
      <c r="ALR107" s="68"/>
      <c r="ALS107" s="68"/>
      <c r="ALT107" s="68"/>
      <c r="ALU107" s="68"/>
      <c r="ALV107" s="68"/>
      <c r="ALW107" s="68"/>
      <c r="ALX107" s="68"/>
      <c r="ALY107" s="68"/>
      <c r="ALZ107" s="68"/>
      <c r="AMA107" s="68"/>
      <c r="AMB107" s="68"/>
      <c r="AMC107" s="68"/>
      <c r="AMD107" s="68"/>
      <c r="AME107" s="68"/>
      <c r="AMF107" s="68"/>
      <c r="AMG107" s="68"/>
      <c r="AMH107" s="68"/>
      <c r="AMI107" s="68"/>
      <c r="AMJ107" s="68"/>
      <c r="AMK107" s="68"/>
      <c r="AML107" s="68"/>
      <c r="AMM107" s="68"/>
      <c r="AMN107" s="68"/>
      <c r="AMO107" s="68"/>
      <c r="AMP107" s="68"/>
      <c r="AMQ107" s="68"/>
      <c r="AMR107" s="68"/>
      <c r="AMS107" s="68"/>
      <c r="AMT107" s="68"/>
      <c r="AMU107" s="68"/>
      <c r="AMV107" s="68"/>
      <c r="AMW107" s="68"/>
      <c r="AMX107" s="68"/>
      <c r="AMY107" s="68"/>
      <c r="AMZ107" s="68"/>
      <c r="ANA107" s="68"/>
      <c r="ANB107" s="68"/>
      <c r="ANC107" s="68"/>
      <c r="AND107" s="68"/>
      <c r="ANE107" s="68"/>
      <c r="ANF107" s="68"/>
      <c r="ANG107" s="68"/>
      <c r="ANH107" s="68"/>
      <c r="ANI107" s="68"/>
      <c r="ANJ107" s="68"/>
      <c r="ANK107" s="68"/>
      <c r="ANL107" s="68"/>
      <c r="ANM107" s="68"/>
      <c r="ANN107" s="68"/>
      <c r="ANO107" s="68"/>
      <c r="ANP107" s="68"/>
      <c r="ANQ107" s="68"/>
      <c r="ANR107" s="68"/>
      <c r="ANS107" s="68"/>
      <c r="ANT107" s="68"/>
      <c r="ANU107" s="68"/>
      <c r="ANV107" s="68"/>
      <c r="ANW107" s="68"/>
      <c r="ANX107" s="68"/>
      <c r="ANY107" s="68"/>
      <c r="ANZ107" s="68"/>
      <c r="AOA107" s="68"/>
      <c r="AOB107" s="68"/>
      <c r="AOC107" s="68"/>
      <c r="AOD107" s="68"/>
      <c r="AOE107" s="68"/>
      <c r="AOF107" s="68"/>
      <c r="AOG107" s="68"/>
      <c r="AOH107" s="68"/>
      <c r="AOI107" s="68"/>
      <c r="AOJ107" s="68"/>
      <c r="AOK107" s="68"/>
      <c r="AOL107" s="68"/>
      <c r="AOM107" s="68"/>
      <c r="AON107" s="68"/>
      <c r="AOO107" s="68"/>
      <c r="AOP107" s="68"/>
      <c r="AOQ107" s="68"/>
      <c r="AOR107" s="68"/>
      <c r="AOS107" s="68"/>
      <c r="AOT107" s="68"/>
      <c r="AOU107" s="68"/>
      <c r="AOV107" s="68"/>
      <c r="AOW107" s="68"/>
      <c r="AOX107" s="68"/>
      <c r="AOY107" s="68"/>
      <c r="AOZ107" s="68"/>
      <c r="APA107" s="68"/>
      <c r="APB107" s="68"/>
      <c r="APC107" s="68"/>
      <c r="APD107" s="68"/>
      <c r="APE107" s="68"/>
      <c r="APF107" s="68"/>
      <c r="APG107" s="68"/>
      <c r="APH107" s="68"/>
      <c r="API107" s="68"/>
      <c r="APJ107" s="68"/>
      <c r="APK107" s="68"/>
      <c r="APL107" s="68"/>
      <c r="APM107" s="68"/>
      <c r="APN107" s="68"/>
      <c r="APO107" s="68"/>
      <c r="APP107" s="68"/>
      <c r="APQ107" s="68"/>
      <c r="APR107" s="68"/>
      <c r="APS107" s="68"/>
      <c r="APT107" s="68"/>
      <c r="APU107" s="68"/>
      <c r="APV107" s="68"/>
      <c r="APW107" s="68"/>
      <c r="APX107" s="68"/>
      <c r="APY107" s="68"/>
      <c r="APZ107" s="68"/>
      <c r="AQA107" s="68"/>
      <c r="AQB107" s="68"/>
      <c r="AQC107" s="68"/>
      <c r="AQD107" s="68"/>
      <c r="AQE107" s="68"/>
      <c r="AQF107" s="68"/>
      <c r="AQG107" s="68"/>
      <c r="AQH107" s="68"/>
      <c r="AQI107" s="68"/>
      <c r="AQJ107" s="68"/>
      <c r="AQK107" s="68"/>
      <c r="AQL107" s="68"/>
      <c r="AQM107" s="68"/>
      <c r="AQN107" s="68"/>
      <c r="AQO107" s="68"/>
      <c r="AQP107" s="68"/>
      <c r="AQQ107" s="68"/>
      <c r="AQR107" s="68"/>
      <c r="AQS107" s="68"/>
      <c r="AQT107" s="68"/>
      <c r="AQU107" s="68"/>
      <c r="AQV107" s="68"/>
      <c r="AQW107" s="68"/>
      <c r="AQX107" s="68"/>
      <c r="AQY107" s="68"/>
      <c r="AQZ107" s="68"/>
      <c r="ARA107" s="68"/>
      <c r="ARB107" s="68"/>
      <c r="ARC107" s="68"/>
      <c r="ARD107" s="68"/>
      <c r="ARE107" s="68"/>
      <c r="ARF107" s="68"/>
      <c r="ARG107" s="68"/>
      <c r="ARH107" s="68"/>
      <c r="ARI107" s="68"/>
      <c r="ARJ107" s="68"/>
      <c r="ARK107" s="68"/>
      <c r="ARL107" s="68"/>
      <c r="ARM107" s="68"/>
      <c r="ARN107" s="68"/>
      <c r="ARO107" s="68"/>
      <c r="ARP107" s="68"/>
      <c r="ARQ107" s="68"/>
      <c r="ARR107" s="68"/>
      <c r="ARS107" s="68"/>
      <c r="ART107" s="68"/>
      <c r="ARU107" s="68"/>
      <c r="ARV107" s="68"/>
      <c r="ARW107" s="68"/>
      <c r="ARX107" s="68"/>
      <c r="ARY107" s="68"/>
      <c r="ARZ107" s="68"/>
      <c r="ASA107" s="68"/>
      <c r="ASB107" s="68"/>
      <c r="ASC107" s="68"/>
      <c r="ASD107" s="68"/>
      <c r="ASE107" s="68"/>
      <c r="ASF107" s="68"/>
      <c r="ASG107" s="68"/>
      <c r="ASH107" s="68"/>
      <c r="ASI107" s="68"/>
      <c r="ASJ107" s="68"/>
      <c r="ASK107" s="68"/>
      <c r="ASL107" s="68"/>
      <c r="ASM107" s="68"/>
      <c r="ASN107" s="68"/>
      <c r="ASO107" s="68"/>
      <c r="ASP107" s="68"/>
      <c r="ASQ107" s="68"/>
      <c r="ASR107" s="68"/>
      <c r="ASS107" s="68"/>
      <c r="AST107" s="68"/>
      <c r="ASU107" s="68"/>
      <c r="ASV107" s="68"/>
      <c r="ASW107" s="68"/>
      <c r="ASX107" s="68"/>
      <c r="ASY107" s="68"/>
      <c r="ASZ107" s="68"/>
      <c r="ATA107" s="68"/>
      <c r="ATB107" s="68"/>
      <c r="ATC107" s="68"/>
      <c r="ATD107" s="68"/>
      <c r="ATE107" s="68"/>
      <c r="ATF107" s="68"/>
      <c r="ATG107" s="68"/>
      <c r="ATH107" s="68"/>
      <c r="ATI107" s="68"/>
      <c r="ATJ107" s="68"/>
      <c r="ATK107" s="68"/>
      <c r="ATL107" s="68"/>
      <c r="ATM107" s="68"/>
      <c r="ATN107" s="68"/>
      <c r="ATO107" s="68"/>
      <c r="ATP107" s="68"/>
      <c r="ATQ107" s="68"/>
      <c r="ATR107" s="68"/>
      <c r="ATS107" s="68"/>
      <c r="ATT107" s="68"/>
      <c r="ATU107" s="68"/>
      <c r="ATV107" s="68"/>
      <c r="ATW107" s="68"/>
      <c r="ATX107" s="68"/>
      <c r="ATY107" s="68"/>
      <c r="ATZ107" s="68"/>
      <c r="AUA107" s="68"/>
      <c r="AUB107" s="68"/>
      <c r="AUC107" s="68"/>
      <c r="AUD107" s="68"/>
      <c r="AUE107" s="68"/>
      <c r="AUF107" s="68"/>
      <c r="AUG107" s="68"/>
      <c r="AUH107" s="68"/>
      <c r="AUI107" s="68"/>
      <c r="AUJ107" s="68"/>
      <c r="AUK107" s="68"/>
      <c r="AUL107" s="68"/>
      <c r="AUM107" s="68"/>
      <c r="AUN107" s="68"/>
      <c r="AUO107" s="68"/>
      <c r="AUP107" s="68"/>
      <c r="AUQ107" s="68"/>
      <c r="AUR107" s="68"/>
      <c r="AUS107" s="68"/>
      <c r="AUT107" s="68"/>
      <c r="AUU107" s="68"/>
      <c r="AUV107" s="68"/>
      <c r="AUW107" s="68"/>
      <c r="AUX107" s="68"/>
      <c r="AUY107" s="68"/>
      <c r="AUZ107" s="68"/>
      <c r="AVA107" s="68"/>
      <c r="AVB107" s="68"/>
      <c r="AVC107" s="68"/>
      <c r="AVD107" s="68"/>
      <c r="AVE107" s="68"/>
      <c r="AVF107" s="68"/>
      <c r="AVG107" s="68"/>
      <c r="AVH107" s="68"/>
      <c r="AVI107" s="68"/>
      <c r="AVJ107" s="68"/>
      <c r="AVK107" s="68"/>
      <c r="AVL107" s="68"/>
      <c r="AVM107" s="68"/>
      <c r="AVN107" s="68"/>
      <c r="AVO107" s="68"/>
      <c r="AVP107" s="68"/>
      <c r="AVQ107" s="68"/>
      <c r="AVR107" s="68"/>
      <c r="AVS107" s="68"/>
      <c r="AVT107" s="68"/>
      <c r="AVU107" s="68"/>
      <c r="AVV107" s="68"/>
      <c r="AVW107" s="68"/>
      <c r="AVX107" s="68"/>
      <c r="AVY107" s="68"/>
      <c r="AVZ107" s="68"/>
      <c r="AWA107" s="68"/>
      <c r="AWB107" s="68"/>
      <c r="AWC107" s="68"/>
      <c r="AWD107" s="68"/>
      <c r="AWE107" s="68"/>
      <c r="AWF107" s="68"/>
      <c r="AWG107" s="68"/>
      <c r="AWH107" s="68"/>
      <c r="AWI107" s="68"/>
      <c r="AWJ107" s="68"/>
      <c r="AWK107" s="68"/>
      <c r="AWL107" s="68"/>
      <c r="AWM107" s="68"/>
      <c r="AWN107" s="68"/>
      <c r="AWO107" s="68"/>
      <c r="AWP107" s="68"/>
      <c r="AWQ107" s="68"/>
      <c r="AWR107" s="68"/>
      <c r="AWS107" s="68"/>
      <c r="AWT107" s="68"/>
      <c r="AWU107" s="68"/>
      <c r="AWV107" s="68"/>
      <c r="AWW107" s="68"/>
      <c r="AWX107" s="68"/>
      <c r="AWY107" s="68"/>
      <c r="AWZ107" s="68"/>
      <c r="AXA107" s="68"/>
      <c r="AXB107" s="68"/>
      <c r="AXC107" s="68"/>
      <c r="AXD107" s="68"/>
      <c r="AXE107" s="68"/>
      <c r="AXF107" s="68"/>
      <c r="AXG107" s="68"/>
      <c r="AXH107" s="68"/>
      <c r="AXI107" s="68"/>
      <c r="AXJ107" s="68"/>
      <c r="AXK107" s="68"/>
      <c r="AXL107" s="68"/>
      <c r="AXM107" s="68"/>
      <c r="AXN107" s="68"/>
      <c r="AXO107" s="68"/>
      <c r="AXP107" s="68"/>
      <c r="AXQ107" s="68"/>
      <c r="AXR107" s="68"/>
      <c r="AXS107" s="68"/>
      <c r="AXT107" s="68"/>
      <c r="AXU107" s="68"/>
      <c r="AXV107" s="68"/>
      <c r="AXW107" s="68"/>
      <c r="AXX107" s="68"/>
      <c r="AXY107" s="68"/>
      <c r="AXZ107" s="68"/>
      <c r="AYA107" s="68"/>
      <c r="AYB107" s="68"/>
      <c r="AYC107" s="68"/>
      <c r="AYD107" s="68"/>
      <c r="AYE107" s="68"/>
      <c r="AYF107" s="68"/>
      <c r="AYG107" s="68"/>
      <c r="AYH107" s="68"/>
      <c r="AYI107" s="68"/>
      <c r="AYJ107" s="68"/>
      <c r="AYK107" s="68"/>
      <c r="AYL107" s="68"/>
      <c r="AYM107" s="68"/>
      <c r="AYN107" s="68"/>
      <c r="AYO107" s="68"/>
      <c r="AYP107" s="68"/>
      <c r="AYQ107" s="68"/>
      <c r="AYR107" s="68"/>
      <c r="AYS107" s="68"/>
      <c r="AYT107" s="68"/>
      <c r="AYU107" s="68"/>
      <c r="AYV107" s="68"/>
      <c r="AYW107" s="68"/>
      <c r="AYX107" s="68"/>
      <c r="AYY107" s="68"/>
      <c r="AYZ107" s="68"/>
      <c r="AZA107" s="68"/>
      <c r="AZB107" s="68"/>
      <c r="AZC107" s="68"/>
      <c r="AZD107" s="68"/>
      <c r="AZE107" s="68"/>
      <c r="AZF107" s="68"/>
      <c r="AZG107" s="68"/>
      <c r="AZH107" s="68"/>
      <c r="AZI107" s="68"/>
      <c r="AZJ107" s="68"/>
      <c r="AZK107" s="68"/>
      <c r="AZL107" s="68"/>
      <c r="AZM107" s="68"/>
      <c r="AZN107" s="68"/>
      <c r="AZO107" s="68"/>
      <c r="AZP107" s="68"/>
      <c r="AZQ107" s="68"/>
      <c r="AZR107" s="68"/>
      <c r="AZS107" s="68"/>
      <c r="AZT107" s="68"/>
      <c r="AZU107" s="68"/>
      <c r="AZV107" s="68"/>
      <c r="AZW107" s="68"/>
      <c r="AZX107" s="68"/>
      <c r="AZY107" s="68"/>
      <c r="AZZ107" s="68"/>
      <c r="BAA107" s="68"/>
      <c r="BAB107" s="68"/>
      <c r="BAC107" s="68"/>
      <c r="BAD107" s="68"/>
      <c r="BAE107" s="68"/>
      <c r="BAF107" s="68"/>
      <c r="BAG107" s="68"/>
      <c r="BAH107" s="68"/>
      <c r="BAI107" s="68"/>
      <c r="BAJ107" s="68"/>
      <c r="BAK107" s="68"/>
      <c r="BAL107" s="68"/>
      <c r="BAM107" s="68"/>
      <c r="BAN107" s="68"/>
      <c r="BAO107" s="68"/>
      <c r="BAP107" s="68"/>
      <c r="BAQ107" s="68"/>
      <c r="BAR107" s="68"/>
      <c r="BAS107" s="68"/>
      <c r="BAT107" s="68"/>
      <c r="BAU107" s="68"/>
      <c r="BAV107" s="68"/>
      <c r="BAW107" s="68"/>
      <c r="BAX107" s="68"/>
      <c r="BAY107" s="68"/>
      <c r="BAZ107" s="68"/>
      <c r="BBA107" s="68"/>
      <c r="BBB107" s="68"/>
      <c r="BBC107" s="68"/>
      <c r="BBD107" s="68"/>
      <c r="BBE107" s="68"/>
      <c r="BBF107" s="68"/>
      <c r="BBG107" s="68"/>
      <c r="BBH107" s="68"/>
      <c r="BBI107" s="68"/>
      <c r="BBJ107" s="68"/>
      <c r="BBK107" s="68"/>
      <c r="BBL107" s="68"/>
      <c r="BBM107" s="68"/>
      <c r="BBN107" s="68"/>
      <c r="BBO107" s="68"/>
      <c r="BBP107" s="68"/>
      <c r="BBQ107" s="68"/>
      <c r="BBR107" s="68"/>
      <c r="BBS107" s="68"/>
      <c r="BBT107" s="68"/>
      <c r="BBU107" s="68"/>
      <c r="BBV107" s="68"/>
      <c r="BBW107" s="68"/>
      <c r="BBX107" s="68"/>
      <c r="BBY107" s="68"/>
      <c r="BBZ107" s="68"/>
      <c r="BCA107" s="68"/>
      <c r="BCB107" s="68"/>
      <c r="BCC107" s="68"/>
      <c r="BCD107" s="68"/>
      <c r="BCE107" s="68"/>
      <c r="BCF107" s="68"/>
      <c r="BCG107" s="68"/>
      <c r="BCH107" s="68"/>
      <c r="BCI107" s="68"/>
      <c r="BCJ107" s="68"/>
      <c r="BCK107" s="68"/>
      <c r="BCL107" s="68"/>
      <c r="BCM107" s="68"/>
      <c r="BCN107" s="68"/>
      <c r="BCO107" s="68"/>
      <c r="BCP107" s="68"/>
      <c r="BCQ107" s="68"/>
      <c r="BCR107" s="68"/>
      <c r="BCS107" s="68"/>
      <c r="BCT107" s="68"/>
      <c r="BCU107" s="68"/>
      <c r="BCV107" s="68"/>
      <c r="BCW107" s="68"/>
      <c r="BCX107" s="68"/>
      <c r="BCY107" s="68"/>
      <c r="BCZ107" s="68"/>
      <c r="BDA107" s="68"/>
    </row>
    <row r="108" spans="1:1457" s="67" customFormat="1" ht="24.75" customHeight="1" x14ac:dyDescent="0.25">
      <c r="A108" s="49">
        <v>26</v>
      </c>
      <c r="B108" s="71" t="s">
        <v>207</v>
      </c>
      <c r="C108" s="71" t="s">
        <v>208</v>
      </c>
      <c r="D108" s="69" t="s">
        <v>708</v>
      </c>
      <c r="E108" s="71" t="s">
        <v>709</v>
      </c>
      <c r="F108" s="51">
        <v>2062393</v>
      </c>
      <c r="G108" s="70" t="s">
        <v>588</v>
      </c>
      <c r="H108" s="42" t="s">
        <v>586</v>
      </c>
      <c r="I108" s="71" t="s">
        <v>209</v>
      </c>
      <c r="J108" s="71"/>
      <c r="K108" s="69"/>
      <c r="L108" s="69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T108" s="68"/>
      <c r="BU108" s="68"/>
      <c r="BV108" s="68"/>
      <c r="BW108" s="68"/>
      <c r="BX108" s="68"/>
      <c r="BY108" s="68"/>
      <c r="BZ108" s="68"/>
      <c r="CA108" s="68"/>
      <c r="CB108" s="68"/>
      <c r="CC108" s="68"/>
      <c r="CD108" s="68"/>
      <c r="CE108" s="68"/>
      <c r="CF108" s="68"/>
      <c r="CG108" s="68"/>
      <c r="CH108" s="68"/>
      <c r="CI108" s="68"/>
      <c r="CJ108" s="68"/>
      <c r="CK108" s="68"/>
      <c r="CL108" s="68"/>
      <c r="CM108" s="68"/>
      <c r="CN108" s="68"/>
      <c r="CO108" s="68"/>
      <c r="CP108" s="68"/>
      <c r="CQ108" s="68"/>
      <c r="CR108" s="68"/>
      <c r="CS108" s="68"/>
      <c r="CT108" s="68"/>
      <c r="CU108" s="68"/>
      <c r="CV108" s="68"/>
      <c r="CW108" s="68"/>
      <c r="CX108" s="68"/>
      <c r="CY108" s="68"/>
      <c r="CZ108" s="68"/>
      <c r="DA108" s="68"/>
      <c r="DB108" s="68"/>
      <c r="DC108" s="68"/>
      <c r="DD108" s="68"/>
      <c r="DE108" s="68"/>
      <c r="DF108" s="68"/>
      <c r="DG108" s="68"/>
      <c r="DH108" s="68"/>
      <c r="DI108" s="68"/>
      <c r="DJ108" s="68"/>
      <c r="DK108" s="68"/>
      <c r="DL108" s="68"/>
      <c r="DM108" s="68"/>
      <c r="DN108" s="68"/>
      <c r="DO108" s="68"/>
      <c r="DP108" s="68"/>
      <c r="DQ108" s="68"/>
      <c r="DR108" s="68"/>
      <c r="DS108" s="68"/>
      <c r="DT108" s="68"/>
      <c r="DU108" s="68"/>
      <c r="DV108" s="68"/>
      <c r="DW108" s="68"/>
      <c r="DX108" s="68"/>
      <c r="DY108" s="68"/>
      <c r="DZ108" s="68"/>
      <c r="EA108" s="68"/>
      <c r="EB108" s="68"/>
      <c r="EC108" s="68"/>
      <c r="ED108" s="68"/>
      <c r="EE108" s="68"/>
      <c r="EF108" s="68"/>
      <c r="EG108" s="68"/>
      <c r="EH108" s="68"/>
      <c r="EI108" s="68"/>
      <c r="EJ108" s="68"/>
      <c r="EK108" s="68"/>
      <c r="EL108" s="68"/>
      <c r="EM108" s="68"/>
      <c r="EN108" s="68"/>
      <c r="EO108" s="68"/>
      <c r="EP108" s="68"/>
      <c r="EQ108" s="68"/>
      <c r="ER108" s="68"/>
      <c r="ES108" s="68"/>
      <c r="ET108" s="68"/>
      <c r="EU108" s="68"/>
      <c r="EV108" s="68"/>
      <c r="EW108" s="68"/>
      <c r="EX108" s="68"/>
      <c r="EY108" s="68"/>
      <c r="EZ108" s="68"/>
      <c r="FA108" s="68"/>
      <c r="FB108" s="68"/>
      <c r="FC108" s="68"/>
      <c r="FD108" s="68"/>
      <c r="FE108" s="68"/>
      <c r="FF108" s="68"/>
      <c r="FG108" s="68"/>
      <c r="FH108" s="68"/>
      <c r="FI108" s="68"/>
      <c r="FJ108" s="68"/>
      <c r="FK108" s="68"/>
      <c r="FL108" s="68"/>
      <c r="FM108" s="68"/>
      <c r="FN108" s="68"/>
      <c r="FO108" s="68"/>
      <c r="FP108" s="68"/>
      <c r="FQ108" s="68"/>
      <c r="FR108" s="68"/>
      <c r="FS108" s="68"/>
      <c r="FT108" s="68"/>
      <c r="FU108" s="68"/>
      <c r="FV108" s="68"/>
      <c r="FW108" s="68"/>
      <c r="FX108" s="68"/>
      <c r="FY108" s="68"/>
      <c r="FZ108" s="68"/>
      <c r="GA108" s="68"/>
      <c r="GB108" s="68"/>
      <c r="GC108" s="68"/>
      <c r="GD108" s="68"/>
      <c r="GE108" s="68"/>
      <c r="GF108" s="68"/>
      <c r="GG108" s="68"/>
      <c r="GH108" s="68"/>
      <c r="GI108" s="68"/>
      <c r="GJ108" s="68"/>
      <c r="GK108" s="68"/>
      <c r="GL108" s="68"/>
      <c r="GM108" s="68"/>
      <c r="GN108" s="68"/>
      <c r="GO108" s="68"/>
      <c r="GP108" s="68"/>
      <c r="GQ108" s="68"/>
      <c r="GR108" s="68"/>
      <c r="GS108" s="68"/>
      <c r="GT108" s="68"/>
      <c r="GU108" s="68"/>
      <c r="GV108" s="68"/>
      <c r="GW108" s="68"/>
      <c r="GX108" s="68"/>
      <c r="GY108" s="68"/>
      <c r="GZ108" s="68"/>
      <c r="HA108" s="68"/>
      <c r="HB108" s="68"/>
      <c r="HC108" s="68"/>
      <c r="HD108" s="68"/>
      <c r="HE108" s="68"/>
      <c r="HF108" s="68"/>
      <c r="HG108" s="68"/>
      <c r="HH108" s="68"/>
      <c r="HI108" s="68"/>
      <c r="HJ108" s="68"/>
      <c r="HK108" s="68"/>
      <c r="HL108" s="68"/>
      <c r="HM108" s="68"/>
      <c r="HN108" s="68"/>
      <c r="HO108" s="68"/>
      <c r="HP108" s="68"/>
      <c r="HQ108" s="68"/>
      <c r="HR108" s="68"/>
      <c r="HS108" s="68"/>
      <c r="HT108" s="68"/>
      <c r="HU108" s="68"/>
      <c r="HV108" s="68"/>
      <c r="HW108" s="68"/>
      <c r="HX108" s="68"/>
      <c r="HY108" s="68"/>
      <c r="HZ108" s="68"/>
      <c r="IA108" s="68"/>
      <c r="IB108" s="68"/>
      <c r="IC108" s="68"/>
      <c r="ID108" s="68"/>
      <c r="IE108" s="68"/>
      <c r="IF108" s="68"/>
      <c r="IG108" s="68"/>
      <c r="IH108" s="68"/>
      <c r="II108" s="68"/>
      <c r="IJ108" s="68"/>
      <c r="IK108" s="68"/>
      <c r="IL108" s="68"/>
      <c r="IM108" s="68"/>
      <c r="IN108" s="68"/>
      <c r="IO108" s="68"/>
      <c r="IP108" s="68"/>
      <c r="IQ108" s="68"/>
      <c r="IR108" s="68"/>
      <c r="IS108" s="68"/>
      <c r="IT108" s="68"/>
      <c r="IU108" s="68"/>
      <c r="IV108" s="68"/>
      <c r="IW108" s="68"/>
      <c r="IX108" s="68"/>
      <c r="IY108" s="68"/>
      <c r="IZ108" s="68"/>
      <c r="JA108" s="68"/>
      <c r="JB108" s="68"/>
      <c r="JC108" s="68"/>
      <c r="JD108" s="68"/>
      <c r="JE108" s="68"/>
      <c r="JF108" s="68"/>
      <c r="JG108" s="68"/>
      <c r="JH108" s="68"/>
      <c r="JI108" s="68"/>
      <c r="JJ108" s="68"/>
      <c r="JK108" s="68"/>
      <c r="JL108" s="68"/>
      <c r="JM108" s="68"/>
      <c r="JN108" s="68"/>
      <c r="JO108" s="68"/>
      <c r="JP108" s="68"/>
      <c r="JQ108" s="68"/>
      <c r="JR108" s="68"/>
      <c r="JS108" s="68"/>
      <c r="JT108" s="68"/>
      <c r="JU108" s="68"/>
      <c r="JV108" s="68"/>
      <c r="JW108" s="68"/>
      <c r="JX108" s="68"/>
      <c r="JY108" s="68"/>
      <c r="JZ108" s="68"/>
      <c r="KA108" s="68"/>
      <c r="KB108" s="68"/>
      <c r="KC108" s="68"/>
      <c r="KD108" s="68"/>
      <c r="KE108" s="68"/>
      <c r="KF108" s="68"/>
      <c r="KG108" s="68"/>
      <c r="KH108" s="68"/>
      <c r="KI108" s="68"/>
      <c r="KJ108" s="68"/>
      <c r="KK108" s="68"/>
      <c r="KL108" s="68"/>
      <c r="KM108" s="68"/>
      <c r="KN108" s="68"/>
      <c r="KO108" s="68"/>
      <c r="KP108" s="68"/>
      <c r="KQ108" s="68"/>
      <c r="KR108" s="68"/>
      <c r="KS108" s="68"/>
      <c r="KT108" s="68"/>
      <c r="KU108" s="68"/>
      <c r="KV108" s="68"/>
      <c r="KW108" s="68"/>
      <c r="KX108" s="68"/>
      <c r="KY108" s="68"/>
      <c r="KZ108" s="68"/>
      <c r="LA108" s="68"/>
      <c r="LB108" s="68"/>
      <c r="LC108" s="68"/>
      <c r="LD108" s="68"/>
      <c r="LE108" s="68"/>
      <c r="LF108" s="68"/>
      <c r="LG108" s="68"/>
      <c r="LH108" s="68"/>
      <c r="LI108" s="68"/>
      <c r="LJ108" s="68"/>
      <c r="LK108" s="68"/>
      <c r="LL108" s="68"/>
      <c r="LM108" s="68"/>
      <c r="LN108" s="68"/>
      <c r="LO108" s="68"/>
      <c r="LP108" s="68"/>
      <c r="LQ108" s="68"/>
      <c r="LR108" s="68"/>
      <c r="LS108" s="68"/>
      <c r="LT108" s="68"/>
      <c r="LU108" s="68"/>
      <c r="LV108" s="68"/>
      <c r="LW108" s="68"/>
      <c r="LX108" s="68"/>
      <c r="LY108" s="68"/>
      <c r="LZ108" s="68"/>
      <c r="MA108" s="68"/>
      <c r="MB108" s="68"/>
      <c r="MC108" s="68"/>
      <c r="MD108" s="68"/>
      <c r="ME108" s="68"/>
      <c r="MF108" s="68"/>
      <c r="MG108" s="68"/>
      <c r="MH108" s="68"/>
      <c r="MI108" s="68"/>
      <c r="MJ108" s="68"/>
      <c r="MK108" s="68"/>
      <c r="ML108" s="68"/>
      <c r="MM108" s="68"/>
      <c r="MN108" s="68"/>
      <c r="MO108" s="68"/>
      <c r="MP108" s="68"/>
      <c r="MQ108" s="68"/>
      <c r="MR108" s="68"/>
      <c r="MS108" s="68"/>
      <c r="MT108" s="68"/>
      <c r="MU108" s="68"/>
      <c r="MV108" s="68"/>
      <c r="MW108" s="68"/>
      <c r="MX108" s="68"/>
      <c r="MY108" s="68"/>
      <c r="MZ108" s="68"/>
      <c r="NA108" s="68"/>
      <c r="NB108" s="68"/>
      <c r="NC108" s="68"/>
      <c r="ND108" s="68"/>
      <c r="NE108" s="68"/>
      <c r="NF108" s="68"/>
      <c r="NG108" s="68"/>
      <c r="NH108" s="68"/>
      <c r="NI108" s="68"/>
      <c r="NJ108" s="68"/>
      <c r="NK108" s="68"/>
      <c r="NL108" s="68"/>
      <c r="NM108" s="68"/>
      <c r="NN108" s="68"/>
      <c r="NO108" s="68"/>
      <c r="NP108" s="68"/>
      <c r="NQ108" s="68"/>
      <c r="NR108" s="68"/>
      <c r="NS108" s="68"/>
      <c r="NT108" s="68"/>
      <c r="NU108" s="68"/>
      <c r="NV108" s="68"/>
      <c r="NW108" s="68"/>
      <c r="NX108" s="68"/>
      <c r="NY108" s="68"/>
      <c r="NZ108" s="68"/>
      <c r="OA108" s="68"/>
      <c r="OB108" s="68"/>
      <c r="OC108" s="68"/>
      <c r="OD108" s="68"/>
      <c r="OE108" s="68"/>
      <c r="OF108" s="68"/>
      <c r="OG108" s="68"/>
      <c r="OH108" s="68"/>
      <c r="OI108" s="68"/>
      <c r="OJ108" s="68"/>
      <c r="OK108" s="68"/>
      <c r="OL108" s="68"/>
      <c r="OM108" s="68"/>
      <c r="ON108" s="68"/>
      <c r="OO108" s="68"/>
      <c r="OP108" s="68"/>
      <c r="OQ108" s="68"/>
      <c r="OR108" s="68"/>
      <c r="OS108" s="68"/>
      <c r="OT108" s="68"/>
      <c r="OU108" s="68"/>
      <c r="OV108" s="68"/>
      <c r="OW108" s="68"/>
      <c r="OX108" s="68"/>
      <c r="OY108" s="68"/>
      <c r="OZ108" s="68"/>
      <c r="PA108" s="68"/>
      <c r="PB108" s="68"/>
      <c r="PC108" s="68"/>
      <c r="PD108" s="68"/>
      <c r="PE108" s="68"/>
      <c r="PF108" s="68"/>
      <c r="PG108" s="68"/>
      <c r="PH108" s="68"/>
      <c r="PI108" s="68"/>
      <c r="PJ108" s="68"/>
      <c r="PK108" s="68"/>
      <c r="PL108" s="68"/>
      <c r="PM108" s="68"/>
      <c r="PN108" s="68"/>
      <c r="PO108" s="68"/>
      <c r="PP108" s="68"/>
      <c r="PQ108" s="68"/>
      <c r="PR108" s="68"/>
      <c r="PS108" s="68"/>
      <c r="PT108" s="68"/>
      <c r="PU108" s="68"/>
      <c r="PV108" s="68"/>
      <c r="PW108" s="68"/>
      <c r="PX108" s="68"/>
      <c r="PY108" s="68"/>
      <c r="PZ108" s="68"/>
      <c r="QA108" s="68"/>
      <c r="QB108" s="68"/>
      <c r="QC108" s="68"/>
      <c r="QD108" s="68"/>
      <c r="QE108" s="68"/>
      <c r="QF108" s="68"/>
      <c r="QG108" s="68"/>
      <c r="QH108" s="68"/>
      <c r="QI108" s="68"/>
      <c r="QJ108" s="68"/>
      <c r="QK108" s="68"/>
      <c r="QL108" s="68"/>
      <c r="QM108" s="68"/>
      <c r="QN108" s="68"/>
      <c r="QO108" s="68"/>
      <c r="QP108" s="68"/>
      <c r="QQ108" s="68"/>
      <c r="QR108" s="68"/>
      <c r="QS108" s="68"/>
      <c r="QT108" s="68"/>
      <c r="QU108" s="68"/>
      <c r="QV108" s="68"/>
      <c r="QW108" s="68"/>
      <c r="QX108" s="68"/>
      <c r="QY108" s="68"/>
      <c r="QZ108" s="68"/>
      <c r="RA108" s="68"/>
      <c r="RB108" s="68"/>
      <c r="RC108" s="68"/>
      <c r="RD108" s="68"/>
      <c r="RE108" s="68"/>
      <c r="RF108" s="68"/>
      <c r="RG108" s="68"/>
      <c r="RH108" s="68"/>
      <c r="RI108" s="68"/>
      <c r="RJ108" s="68"/>
      <c r="RK108" s="68"/>
      <c r="RL108" s="68"/>
      <c r="RM108" s="68"/>
      <c r="RN108" s="68"/>
      <c r="RO108" s="68"/>
      <c r="RP108" s="68"/>
      <c r="RQ108" s="68"/>
      <c r="RR108" s="68"/>
      <c r="RS108" s="68"/>
      <c r="RT108" s="68"/>
      <c r="RU108" s="68"/>
      <c r="RV108" s="68"/>
      <c r="RW108" s="68"/>
      <c r="RX108" s="68"/>
      <c r="RY108" s="68"/>
      <c r="RZ108" s="68"/>
      <c r="SA108" s="68"/>
      <c r="SB108" s="68"/>
      <c r="SC108" s="68"/>
      <c r="SD108" s="68"/>
      <c r="SE108" s="68"/>
      <c r="SF108" s="68"/>
      <c r="SG108" s="68"/>
      <c r="SH108" s="68"/>
      <c r="SI108" s="68"/>
      <c r="SJ108" s="68"/>
      <c r="SK108" s="68"/>
      <c r="SL108" s="68"/>
      <c r="SM108" s="68"/>
      <c r="SN108" s="68"/>
      <c r="SO108" s="68"/>
      <c r="SP108" s="68"/>
      <c r="SQ108" s="68"/>
      <c r="SR108" s="68"/>
      <c r="SS108" s="68"/>
      <c r="ST108" s="68"/>
      <c r="SU108" s="68"/>
      <c r="SV108" s="68"/>
      <c r="SW108" s="68"/>
      <c r="SX108" s="68"/>
      <c r="SY108" s="68"/>
      <c r="SZ108" s="68"/>
      <c r="TA108" s="68"/>
      <c r="TB108" s="68"/>
      <c r="TC108" s="68"/>
      <c r="TD108" s="68"/>
      <c r="TE108" s="68"/>
      <c r="TF108" s="68"/>
      <c r="TG108" s="68"/>
      <c r="TH108" s="68"/>
      <c r="TI108" s="68"/>
      <c r="TJ108" s="68"/>
      <c r="TK108" s="68"/>
      <c r="TL108" s="68"/>
      <c r="TM108" s="68"/>
      <c r="TN108" s="68"/>
      <c r="TO108" s="68"/>
      <c r="TP108" s="68"/>
      <c r="TQ108" s="68"/>
      <c r="TR108" s="68"/>
      <c r="TS108" s="68"/>
      <c r="TT108" s="68"/>
      <c r="TU108" s="68"/>
      <c r="TV108" s="68"/>
      <c r="TW108" s="68"/>
      <c r="TX108" s="68"/>
      <c r="TY108" s="68"/>
      <c r="TZ108" s="68"/>
      <c r="UA108" s="68"/>
      <c r="UB108" s="68"/>
      <c r="UC108" s="68"/>
      <c r="UD108" s="68"/>
      <c r="UE108" s="68"/>
      <c r="UF108" s="68"/>
      <c r="UG108" s="68"/>
      <c r="UH108" s="68"/>
      <c r="UI108" s="68"/>
      <c r="UJ108" s="68"/>
      <c r="UK108" s="68"/>
      <c r="UL108" s="68"/>
      <c r="UM108" s="68"/>
      <c r="UN108" s="68"/>
      <c r="UO108" s="68"/>
      <c r="UP108" s="68"/>
      <c r="UQ108" s="68"/>
      <c r="UR108" s="68"/>
      <c r="US108" s="68"/>
      <c r="UT108" s="68"/>
      <c r="UU108" s="68"/>
      <c r="UV108" s="68"/>
      <c r="UW108" s="68"/>
      <c r="UX108" s="68"/>
      <c r="UY108" s="68"/>
      <c r="UZ108" s="68"/>
      <c r="VA108" s="68"/>
      <c r="VB108" s="68"/>
      <c r="VC108" s="68"/>
      <c r="VD108" s="68"/>
      <c r="VE108" s="68"/>
      <c r="VF108" s="68"/>
      <c r="VG108" s="68"/>
      <c r="VH108" s="68"/>
      <c r="VI108" s="68"/>
      <c r="VJ108" s="68"/>
      <c r="VK108" s="68"/>
      <c r="VL108" s="68"/>
      <c r="VM108" s="68"/>
      <c r="VN108" s="68"/>
      <c r="VO108" s="68"/>
      <c r="VP108" s="68"/>
      <c r="VQ108" s="68"/>
      <c r="VR108" s="68"/>
      <c r="VS108" s="68"/>
      <c r="VT108" s="68"/>
      <c r="VU108" s="68"/>
      <c r="VV108" s="68"/>
      <c r="VW108" s="68"/>
      <c r="VX108" s="68"/>
      <c r="VY108" s="68"/>
      <c r="VZ108" s="68"/>
      <c r="WA108" s="68"/>
      <c r="WB108" s="68"/>
      <c r="WC108" s="68"/>
      <c r="WD108" s="68"/>
      <c r="WE108" s="68"/>
      <c r="WF108" s="68"/>
      <c r="WG108" s="68"/>
      <c r="WH108" s="68"/>
      <c r="WI108" s="68"/>
      <c r="WJ108" s="68"/>
      <c r="WK108" s="68"/>
      <c r="WL108" s="68"/>
      <c r="WM108" s="68"/>
      <c r="WN108" s="68"/>
      <c r="WO108" s="68"/>
      <c r="WP108" s="68"/>
      <c r="WQ108" s="68"/>
      <c r="WR108" s="68"/>
      <c r="WS108" s="68"/>
      <c r="WT108" s="68"/>
      <c r="WU108" s="68"/>
      <c r="WV108" s="68"/>
      <c r="WW108" s="68"/>
      <c r="WX108" s="68"/>
      <c r="WY108" s="68"/>
      <c r="WZ108" s="68"/>
      <c r="XA108" s="68"/>
      <c r="XB108" s="68"/>
      <c r="XC108" s="68"/>
      <c r="XD108" s="68"/>
      <c r="XE108" s="68"/>
      <c r="XF108" s="68"/>
      <c r="XG108" s="68"/>
      <c r="XH108" s="68"/>
      <c r="XI108" s="68"/>
      <c r="XJ108" s="68"/>
      <c r="XK108" s="68"/>
      <c r="XL108" s="68"/>
      <c r="XM108" s="68"/>
      <c r="XN108" s="68"/>
      <c r="XO108" s="68"/>
      <c r="XP108" s="68"/>
      <c r="XQ108" s="68"/>
      <c r="XR108" s="68"/>
      <c r="XS108" s="68"/>
      <c r="XT108" s="68"/>
      <c r="XU108" s="68"/>
      <c r="XV108" s="68"/>
      <c r="XW108" s="68"/>
      <c r="XX108" s="68"/>
      <c r="XY108" s="68"/>
      <c r="XZ108" s="68"/>
      <c r="YA108" s="68"/>
      <c r="YB108" s="68"/>
      <c r="YC108" s="68"/>
      <c r="YD108" s="68"/>
      <c r="YE108" s="68"/>
      <c r="YF108" s="68"/>
      <c r="YG108" s="68"/>
      <c r="YH108" s="68"/>
      <c r="YI108" s="68"/>
      <c r="YJ108" s="68"/>
      <c r="YK108" s="68"/>
      <c r="YL108" s="68"/>
      <c r="YM108" s="68"/>
      <c r="YN108" s="68"/>
      <c r="YO108" s="68"/>
      <c r="YP108" s="68"/>
      <c r="YQ108" s="68"/>
      <c r="YR108" s="68"/>
      <c r="YS108" s="68"/>
      <c r="YT108" s="68"/>
      <c r="YU108" s="68"/>
      <c r="YV108" s="68"/>
      <c r="YW108" s="68"/>
      <c r="YX108" s="68"/>
      <c r="YY108" s="68"/>
      <c r="YZ108" s="68"/>
      <c r="ZA108" s="68"/>
      <c r="ZB108" s="68"/>
      <c r="ZC108" s="68"/>
      <c r="ZD108" s="68"/>
      <c r="ZE108" s="68"/>
      <c r="ZF108" s="68"/>
      <c r="ZG108" s="68"/>
      <c r="ZH108" s="68"/>
      <c r="ZI108" s="68"/>
      <c r="ZJ108" s="68"/>
      <c r="ZK108" s="68"/>
      <c r="ZL108" s="68"/>
      <c r="ZM108" s="68"/>
      <c r="ZN108" s="68"/>
      <c r="ZO108" s="68"/>
      <c r="ZP108" s="68"/>
      <c r="ZQ108" s="68"/>
      <c r="ZR108" s="68"/>
      <c r="ZS108" s="68"/>
      <c r="ZT108" s="68"/>
      <c r="ZU108" s="68"/>
      <c r="ZV108" s="68"/>
      <c r="ZW108" s="68"/>
      <c r="ZX108" s="68"/>
      <c r="ZY108" s="68"/>
      <c r="ZZ108" s="68"/>
      <c r="AAA108" s="68"/>
      <c r="AAB108" s="68"/>
      <c r="AAC108" s="68"/>
      <c r="AAD108" s="68"/>
      <c r="AAE108" s="68"/>
      <c r="AAF108" s="68"/>
      <c r="AAG108" s="68"/>
      <c r="AAH108" s="68"/>
      <c r="AAI108" s="68"/>
      <c r="AAJ108" s="68"/>
      <c r="AAK108" s="68"/>
      <c r="AAL108" s="68"/>
      <c r="AAM108" s="68"/>
      <c r="AAN108" s="68"/>
      <c r="AAO108" s="68"/>
      <c r="AAP108" s="68"/>
      <c r="AAQ108" s="68"/>
      <c r="AAR108" s="68"/>
      <c r="AAS108" s="68"/>
      <c r="AAT108" s="68"/>
      <c r="AAU108" s="68"/>
      <c r="AAV108" s="68"/>
      <c r="AAW108" s="68"/>
      <c r="AAX108" s="68"/>
      <c r="AAY108" s="68"/>
      <c r="AAZ108" s="68"/>
      <c r="ABA108" s="68"/>
      <c r="ABB108" s="68"/>
      <c r="ABC108" s="68"/>
      <c r="ABD108" s="68"/>
      <c r="ABE108" s="68"/>
      <c r="ABF108" s="68"/>
      <c r="ABG108" s="68"/>
      <c r="ABH108" s="68"/>
      <c r="ABI108" s="68"/>
      <c r="ABJ108" s="68"/>
      <c r="ABK108" s="68"/>
      <c r="ABL108" s="68"/>
      <c r="ABM108" s="68"/>
      <c r="ABN108" s="68"/>
      <c r="ABO108" s="68"/>
      <c r="ABP108" s="68"/>
      <c r="ABQ108" s="68"/>
      <c r="ABR108" s="68"/>
      <c r="ABS108" s="68"/>
      <c r="ABT108" s="68"/>
      <c r="ABU108" s="68"/>
      <c r="ABV108" s="68"/>
      <c r="ABW108" s="68"/>
      <c r="ABX108" s="68"/>
      <c r="ABY108" s="68"/>
      <c r="ABZ108" s="68"/>
      <c r="ACA108" s="68"/>
      <c r="ACB108" s="68"/>
      <c r="ACC108" s="68"/>
      <c r="ACD108" s="68"/>
      <c r="ACE108" s="68"/>
      <c r="ACF108" s="68"/>
      <c r="ACG108" s="68"/>
      <c r="ACH108" s="68"/>
      <c r="ACI108" s="68"/>
      <c r="ACJ108" s="68"/>
      <c r="ACK108" s="68"/>
      <c r="ACL108" s="68"/>
      <c r="ACM108" s="68"/>
      <c r="ACN108" s="68"/>
      <c r="ACO108" s="68"/>
      <c r="ACP108" s="68"/>
      <c r="ACQ108" s="68"/>
      <c r="ACR108" s="68"/>
      <c r="ACS108" s="68"/>
      <c r="ACT108" s="68"/>
      <c r="ACU108" s="68"/>
      <c r="ACV108" s="68"/>
      <c r="ACW108" s="68"/>
      <c r="ACX108" s="68"/>
      <c r="ACY108" s="68"/>
      <c r="ACZ108" s="68"/>
      <c r="ADA108" s="68"/>
      <c r="ADB108" s="68"/>
      <c r="ADC108" s="68"/>
      <c r="ADD108" s="68"/>
      <c r="ADE108" s="68"/>
      <c r="ADF108" s="68"/>
      <c r="ADG108" s="68"/>
      <c r="ADH108" s="68"/>
      <c r="ADI108" s="68"/>
      <c r="ADJ108" s="68"/>
      <c r="ADK108" s="68"/>
      <c r="ADL108" s="68"/>
      <c r="ADM108" s="68"/>
      <c r="ADN108" s="68"/>
      <c r="ADO108" s="68"/>
      <c r="ADP108" s="68"/>
      <c r="ADQ108" s="68"/>
      <c r="ADR108" s="68"/>
      <c r="ADS108" s="68"/>
      <c r="ADT108" s="68"/>
      <c r="ADU108" s="68"/>
      <c r="ADV108" s="68"/>
      <c r="ADW108" s="68"/>
      <c r="ADX108" s="68"/>
      <c r="ADY108" s="68"/>
      <c r="ADZ108" s="68"/>
      <c r="AEA108" s="68"/>
      <c r="AEB108" s="68"/>
      <c r="AEC108" s="68"/>
      <c r="AED108" s="68"/>
      <c r="AEE108" s="68"/>
      <c r="AEF108" s="68"/>
      <c r="AEG108" s="68"/>
      <c r="AEH108" s="68"/>
      <c r="AEI108" s="68"/>
      <c r="AEJ108" s="68"/>
      <c r="AEK108" s="68"/>
      <c r="AEL108" s="68"/>
      <c r="AEM108" s="68"/>
      <c r="AEN108" s="68"/>
      <c r="AEO108" s="68"/>
      <c r="AEP108" s="68"/>
      <c r="AEQ108" s="68"/>
      <c r="AER108" s="68"/>
      <c r="AES108" s="68"/>
      <c r="AET108" s="68"/>
      <c r="AEU108" s="68"/>
      <c r="AEV108" s="68"/>
      <c r="AEW108" s="68"/>
      <c r="AEX108" s="68"/>
      <c r="AEY108" s="68"/>
      <c r="AEZ108" s="68"/>
      <c r="AFA108" s="68"/>
      <c r="AFB108" s="68"/>
      <c r="AFC108" s="68"/>
      <c r="AFD108" s="68"/>
      <c r="AFE108" s="68"/>
      <c r="AFF108" s="68"/>
      <c r="AFG108" s="68"/>
      <c r="AFH108" s="68"/>
      <c r="AFI108" s="68"/>
      <c r="AFJ108" s="68"/>
      <c r="AFK108" s="68"/>
      <c r="AFL108" s="68"/>
      <c r="AFM108" s="68"/>
      <c r="AFN108" s="68"/>
      <c r="AFO108" s="68"/>
      <c r="AFP108" s="68"/>
      <c r="AFQ108" s="68"/>
      <c r="AFR108" s="68"/>
      <c r="AFS108" s="68"/>
      <c r="AFT108" s="68"/>
      <c r="AFU108" s="68"/>
      <c r="AFV108" s="68"/>
      <c r="AFW108" s="68"/>
      <c r="AFX108" s="68"/>
      <c r="AFY108" s="68"/>
      <c r="AFZ108" s="68"/>
      <c r="AGA108" s="68"/>
      <c r="AGB108" s="68"/>
      <c r="AGC108" s="68"/>
      <c r="AGD108" s="68"/>
      <c r="AGE108" s="68"/>
      <c r="AGF108" s="68"/>
      <c r="AGG108" s="68"/>
      <c r="AGH108" s="68"/>
      <c r="AGI108" s="68"/>
      <c r="AGJ108" s="68"/>
      <c r="AGK108" s="68"/>
      <c r="AGL108" s="68"/>
      <c r="AGM108" s="68"/>
      <c r="AGN108" s="68"/>
      <c r="AGO108" s="68"/>
      <c r="AGP108" s="68"/>
      <c r="AGQ108" s="68"/>
      <c r="AGR108" s="68"/>
      <c r="AGS108" s="68"/>
      <c r="AGT108" s="68"/>
      <c r="AGU108" s="68"/>
      <c r="AGV108" s="68"/>
      <c r="AGW108" s="68"/>
      <c r="AGX108" s="68"/>
      <c r="AGY108" s="68"/>
      <c r="AGZ108" s="68"/>
      <c r="AHA108" s="68"/>
      <c r="AHB108" s="68"/>
      <c r="AHC108" s="68"/>
      <c r="AHD108" s="68"/>
      <c r="AHE108" s="68"/>
      <c r="AHF108" s="68"/>
      <c r="AHG108" s="68"/>
      <c r="AHH108" s="68"/>
      <c r="AHI108" s="68"/>
      <c r="AHJ108" s="68"/>
      <c r="AHK108" s="68"/>
      <c r="AHL108" s="68"/>
      <c r="AHM108" s="68"/>
      <c r="AHN108" s="68"/>
      <c r="AHO108" s="68"/>
      <c r="AHP108" s="68"/>
      <c r="AHQ108" s="68"/>
      <c r="AHR108" s="68"/>
      <c r="AHS108" s="68"/>
      <c r="AHT108" s="68"/>
      <c r="AHU108" s="68"/>
      <c r="AHV108" s="68"/>
      <c r="AHW108" s="68"/>
      <c r="AHX108" s="68"/>
      <c r="AHY108" s="68"/>
      <c r="AHZ108" s="68"/>
      <c r="AIA108" s="68"/>
      <c r="AIB108" s="68"/>
      <c r="AIC108" s="68"/>
      <c r="AID108" s="68"/>
      <c r="AIE108" s="68"/>
      <c r="AIF108" s="68"/>
      <c r="AIG108" s="68"/>
      <c r="AIH108" s="68"/>
      <c r="AII108" s="68"/>
      <c r="AIJ108" s="68"/>
      <c r="AIK108" s="68"/>
      <c r="AIL108" s="68"/>
      <c r="AIM108" s="68"/>
      <c r="AIN108" s="68"/>
      <c r="AIO108" s="68"/>
      <c r="AIP108" s="68"/>
      <c r="AIQ108" s="68"/>
      <c r="AIR108" s="68"/>
      <c r="AIS108" s="68"/>
      <c r="AIT108" s="68"/>
      <c r="AIU108" s="68"/>
      <c r="AIV108" s="68"/>
      <c r="AIW108" s="68"/>
      <c r="AIX108" s="68"/>
      <c r="AIY108" s="68"/>
      <c r="AIZ108" s="68"/>
      <c r="AJA108" s="68"/>
      <c r="AJB108" s="68"/>
      <c r="AJC108" s="68"/>
      <c r="AJD108" s="68"/>
      <c r="AJE108" s="68"/>
      <c r="AJF108" s="68"/>
      <c r="AJG108" s="68"/>
      <c r="AJH108" s="68"/>
      <c r="AJI108" s="68"/>
      <c r="AJJ108" s="68"/>
      <c r="AJK108" s="68"/>
      <c r="AJL108" s="68"/>
      <c r="AJM108" s="68"/>
      <c r="AJN108" s="68"/>
      <c r="AJO108" s="68"/>
      <c r="AJP108" s="68"/>
      <c r="AJQ108" s="68"/>
      <c r="AJR108" s="68"/>
      <c r="AJS108" s="68"/>
      <c r="AJT108" s="68"/>
      <c r="AJU108" s="68"/>
      <c r="AJV108" s="68"/>
      <c r="AJW108" s="68"/>
      <c r="AJX108" s="68"/>
      <c r="AJY108" s="68"/>
      <c r="AJZ108" s="68"/>
      <c r="AKA108" s="68"/>
      <c r="AKB108" s="68"/>
      <c r="AKC108" s="68"/>
      <c r="AKD108" s="68"/>
      <c r="AKE108" s="68"/>
      <c r="AKF108" s="68"/>
      <c r="AKG108" s="68"/>
      <c r="AKH108" s="68"/>
      <c r="AKI108" s="68"/>
      <c r="AKJ108" s="68"/>
      <c r="AKK108" s="68"/>
      <c r="AKL108" s="68"/>
      <c r="AKM108" s="68"/>
      <c r="AKN108" s="68"/>
      <c r="AKO108" s="68"/>
      <c r="AKP108" s="68"/>
      <c r="AKQ108" s="68"/>
      <c r="AKR108" s="68"/>
      <c r="AKS108" s="68"/>
      <c r="AKT108" s="68"/>
      <c r="AKU108" s="68"/>
      <c r="AKV108" s="68"/>
      <c r="AKW108" s="68"/>
      <c r="AKX108" s="68"/>
      <c r="AKY108" s="68"/>
      <c r="AKZ108" s="68"/>
      <c r="ALA108" s="68"/>
      <c r="ALB108" s="68"/>
      <c r="ALC108" s="68"/>
      <c r="ALD108" s="68"/>
      <c r="ALE108" s="68"/>
      <c r="ALF108" s="68"/>
      <c r="ALG108" s="68"/>
      <c r="ALH108" s="68"/>
      <c r="ALI108" s="68"/>
      <c r="ALJ108" s="68"/>
      <c r="ALK108" s="68"/>
      <c r="ALL108" s="68"/>
      <c r="ALM108" s="68"/>
      <c r="ALN108" s="68"/>
      <c r="ALO108" s="68"/>
      <c r="ALP108" s="68"/>
      <c r="ALQ108" s="68"/>
      <c r="ALR108" s="68"/>
      <c r="ALS108" s="68"/>
      <c r="ALT108" s="68"/>
      <c r="ALU108" s="68"/>
      <c r="ALV108" s="68"/>
      <c r="ALW108" s="68"/>
      <c r="ALX108" s="68"/>
      <c r="ALY108" s="68"/>
      <c r="ALZ108" s="68"/>
      <c r="AMA108" s="68"/>
      <c r="AMB108" s="68"/>
      <c r="AMC108" s="68"/>
      <c r="AMD108" s="68"/>
      <c r="AME108" s="68"/>
      <c r="AMF108" s="68"/>
      <c r="AMG108" s="68"/>
      <c r="AMH108" s="68"/>
      <c r="AMI108" s="68"/>
      <c r="AMJ108" s="68"/>
      <c r="AMK108" s="68"/>
      <c r="AML108" s="68"/>
      <c r="AMM108" s="68"/>
      <c r="AMN108" s="68"/>
      <c r="AMO108" s="68"/>
      <c r="AMP108" s="68"/>
      <c r="AMQ108" s="68"/>
      <c r="AMR108" s="68"/>
      <c r="AMS108" s="68"/>
      <c r="AMT108" s="68"/>
      <c r="AMU108" s="68"/>
      <c r="AMV108" s="68"/>
      <c r="AMW108" s="68"/>
      <c r="AMX108" s="68"/>
      <c r="AMY108" s="68"/>
      <c r="AMZ108" s="68"/>
      <c r="ANA108" s="68"/>
      <c r="ANB108" s="68"/>
      <c r="ANC108" s="68"/>
      <c r="AND108" s="68"/>
      <c r="ANE108" s="68"/>
      <c r="ANF108" s="68"/>
      <c r="ANG108" s="68"/>
      <c r="ANH108" s="68"/>
      <c r="ANI108" s="68"/>
      <c r="ANJ108" s="68"/>
      <c r="ANK108" s="68"/>
      <c r="ANL108" s="68"/>
      <c r="ANM108" s="68"/>
      <c r="ANN108" s="68"/>
      <c r="ANO108" s="68"/>
      <c r="ANP108" s="68"/>
      <c r="ANQ108" s="68"/>
      <c r="ANR108" s="68"/>
      <c r="ANS108" s="68"/>
      <c r="ANT108" s="68"/>
      <c r="ANU108" s="68"/>
      <c r="ANV108" s="68"/>
      <c r="ANW108" s="68"/>
      <c r="ANX108" s="68"/>
      <c r="ANY108" s="68"/>
      <c r="ANZ108" s="68"/>
      <c r="AOA108" s="68"/>
      <c r="AOB108" s="68"/>
      <c r="AOC108" s="68"/>
      <c r="AOD108" s="68"/>
      <c r="AOE108" s="68"/>
      <c r="AOF108" s="68"/>
      <c r="AOG108" s="68"/>
      <c r="AOH108" s="68"/>
      <c r="AOI108" s="68"/>
      <c r="AOJ108" s="68"/>
      <c r="AOK108" s="68"/>
      <c r="AOL108" s="68"/>
      <c r="AOM108" s="68"/>
      <c r="AON108" s="68"/>
      <c r="AOO108" s="68"/>
      <c r="AOP108" s="68"/>
      <c r="AOQ108" s="68"/>
      <c r="AOR108" s="68"/>
      <c r="AOS108" s="68"/>
      <c r="AOT108" s="68"/>
      <c r="AOU108" s="68"/>
      <c r="AOV108" s="68"/>
      <c r="AOW108" s="68"/>
      <c r="AOX108" s="68"/>
      <c r="AOY108" s="68"/>
      <c r="AOZ108" s="68"/>
      <c r="APA108" s="68"/>
      <c r="APB108" s="68"/>
      <c r="APC108" s="68"/>
      <c r="APD108" s="68"/>
      <c r="APE108" s="68"/>
      <c r="APF108" s="68"/>
      <c r="APG108" s="68"/>
      <c r="APH108" s="68"/>
      <c r="API108" s="68"/>
      <c r="APJ108" s="68"/>
      <c r="APK108" s="68"/>
      <c r="APL108" s="68"/>
      <c r="APM108" s="68"/>
      <c r="APN108" s="68"/>
      <c r="APO108" s="68"/>
      <c r="APP108" s="68"/>
      <c r="APQ108" s="68"/>
      <c r="APR108" s="68"/>
      <c r="APS108" s="68"/>
      <c r="APT108" s="68"/>
      <c r="APU108" s="68"/>
      <c r="APV108" s="68"/>
      <c r="APW108" s="68"/>
      <c r="APX108" s="68"/>
      <c r="APY108" s="68"/>
      <c r="APZ108" s="68"/>
      <c r="AQA108" s="68"/>
      <c r="AQB108" s="68"/>
      <c r="AQC108" s="68"/>
      <c r="AQD108" s="68"/>
      <c r="AQE108" s="68"/>
      <c r="AQF108" s="68"/>
      <c r="AQG108" s="68"/>
      <c r="AQH108" s="68"/>
      <c r="AQI108" s="68"/>
      <c r="AQJ108" s="68"/>
      <c r="AQK108" s="68"/>
      <c r="AQL108" s="68"/>
      <c r="AQM108" s="68"/>
      <c r="AQN108" s="68"/>
      <c r="AQO108" s="68"/>
      <c r="AQP108" s="68"/>
      <c r="AQQ108" s="68"/>
      <c r="AQR108" s="68"/>
      <c r="AQS108" s="68"/>
      <c r="AQT108" s="68"/>
      <c r="AQU108" s="68"/>
      <c r="AQV108" s="68"/>
      <c r="AQW108" s="68"/>
      <c r="AQX108" s="68"/>
      <c r="AQY108" s="68"/>
      <c r="AQZ108" s="68"/>
      <c r="ARA108" s="68"/>
      <c r="ARB108" s="68"/>
      <c r="ARC108" s="68"/>
      <c r="ARD108" s="68"/>
      <c r="ARE108" s="68"/>
      <c r="ARF108" s="68"/>
      <c r="ARG108" s="68"/>
      <c r="ARH108" s="68"/>
      <c r="ARI108" s="68"/>
      <c r="ARJ108" s="68"/>
      <c r="ARK108" s="68"/>
      <c r="ARL108" s="68"/>
      <c r="ARM108" s="68"/>
      <c r="ARN108" s="68"/>
      <c r="ARO108" s="68"/>
      <c r="ARP108" s="68"/>
      <c r="ARQ108" s="68"/>
      <c r="ARR108" s="68"/>
      <c r="ARS108" s="68"/>
      <c r="ART108" s="68"/>
      <c r="ARU108" s="68"/>
      <c r="ARV108" s="68"/>
      <c r="ARW108" s="68"/>
      <c r="ARX108" s="68"/>
      <c r="ARY108" s="68"/>
      <c r="ARZ108" s="68"/>
      <c r="ASA108" s="68"/>
      <c r="ASB108" s="68"/>
      <c r="ASC108" s="68"/>
      <c r="ASD108" s="68"/>
      <c r="ASE108" s="68"/>
      <c r="ASF108" s="68"/>
      <c r="ASG108" s="68"/>
      <c r="ASH108" s="68"/>
      <c r="ASI108" s="68"/>
      <c r="ASJ108" s="68"/>
      <c r="ASK108" s="68"/>
      <c r="ASL108" s="68"/>
      <c r="ASM108" s="68"/>
      <c r="ASN108" s="68"/>
      <c r="ASO108" s="68"/>
      <c r="ASP108" s="68"/>
      <c r="ASQ108" s="68"/>
      <c r="ASR108" s="68"/>
      <c r="ASS108" s="68"/>
      <c r="AST108" s="68"/>
      <c r="ASU108" s="68"/>
      <c r="ASV108" s="68"/>
      <c r="ASW108" s="68"/>
      <c r="ASX108" s="68"/>
      <c r="ASY108" s="68"/>
      <c r="ASZ108" s="68"/>
      <c r="ATA108" s="68"/>
      <c r="ATB108" s="68"/>
      <c r="ATC108" s="68"/>
      <c r="ATD108" s="68"/>
      <c r="ATE108" s="68"/>
      <c r="ATF108" s="68"/>
      <c r="ATG108" s="68"/>
      <c r="ATH108" s="68"/>
      <c r="ATI108" s="68"/>
      <c r="ATJ108" s="68"/>
      <c r="ATK108" s="68"/>
      <c r="ATL108" s="68"/>
      <c r="ATM108" s="68"/>
      <c r="ATN108" s="68"/>
      <c r="ATO108" s="68"/>
      <c r="ATP108" s="68"/>
      <c r="ATQ108" s="68"/>
      <c r="ATR108" s="68"/>
      <c r="ATS108" s="68"/>
      <c r="ATT108" s="68"/>
      <c r="ATU108" s="68"/>
      <c r="ATV108" s="68"/>
      <c r="ATW108" s="68"/>
      <c r="ATX108" s="68"/>
      <c r="ATY108" s="68"/>
      <c r="ATZ108" s="68"/>
      <c r="AUA108" s="68"/>
      <c r="AUB108" s="68"/>
      <c r="AUC108" s="68"/>
      <c r="AUD108" s="68"/>
      <c r="AUE108" s="68"/>
      <c r="AUF108" s="68"/>
      <c r="AUG108" s="68"/>
      <c r="AUH108" s="68"/>
      <c r="AUI108" s="68"/>
      <c r="AUJ108" s="68"/>
      <c r="AUK108" s="68"/>
      <c r="AUL108" s="68"/>
      <c r="AUM108" s="68"/>
      <c r="AUN108" s="68"/>
      <c r="AUO108" s="68"/>
      <c r="AUP108" s="68"/>
      <c r="AUQ108" s="68"/>
      <c r="AUR108" s="68"/>
      <c r="AUS108" s="68"/>
      <c r="AUT108" s="68"/>
      <c r="AUU108" s="68"/>
      <c r="AUV108" s="68"/>
      <c r="AUW108" s="68"/>
      <c r="AUX108" s="68"/>
      <c r="AUY108" s="68"/>
      <c r="AUZ108" s="68"/>
      <c r="AVA108" s="68"/>
      <c r="AVB108" s="68"/>
      <c r="AVC108" s="68"/>
      <c r="AVD108" s="68"/>
      <c r="AVE108" s="68"/>
      <c r="AVF108" s="68"/>
      <c r="AVG108" s="68"/>
      <c r="AVH108" s="68"/>
      <c r="AVI108" s="68"/>
      <c r="AVJ108" s="68"/>
      <c r="AVK108" s="68"/>
      <c r="AVL108" s="68"/>
      <c r="AVM108" s="68"/>
      <c r="AVN108" s="68"/>
      <c r="AVO108" s="68"/>
      <c r="AVP108" s="68"/>
      <c r="AVQ108" s="68"/>
      <c r="AVR108" s="68"/>
      <c r="AVS108" s="68"/>
      <c r="AVT108" s="68"/>
      <c r="AVU108" s="68"/>
      <c r="AVV108" s="68"/>
      <c r="AVW108" s="68"/>
      <c r="AVX108" s="68"/>
      <c r="AVY108" s="68"/>
      <c r="AVZ108" s="68"/>
      <c r="AWA108" s="68"/>
      <c r="AWB108" s="68"/>
      <c r="AWC108" s="68"/>
      <c r="AWD108" s="68"/>
      <c r="AWE108" s="68"/>
      <c r="AWF108" s="68"/>
      <c r="AWG108" s="68"/>
      <c r="AWH108" s="68"/>
      <c r="AWI108" s="68"/>
      <c r="AWJ108" s="68"/>
      <c r="AWK108" s="68"/>
      <c r="AWL108" s="68"/>
      <c r="AWM108" s="68"/>
      <c r="AWN108" s="68"/>
      <c r="AWO108" s="68"/>
      <c r="AWP108" s="68"/>
      <c r="AWQ108" s="68"/>
      <c r="AWR108" s="68"/>
      <c r="AWS108" s="68"/>
      <c r="AWT108" s="68"/>
      <c r="AWU108" s="68"/>
      <c r="AWV108" s="68"/>
      <c r="AWW108" s="68"/>
      <c r="AWX108" s="68"/>
      <c r="AWY108" s="68"/>
      <c r="AWZ108" s="68"/>
      <c r="AXA108" s="68"/>
      <c r="AXB108" s="68"/>
      <c r="AXC108" s="68"/>
      <c r="AXD108" s="68"/>
      <c r="AXE108" s="68"/>
      <c r="AXF108" s="68"/>
      <c r="AXG108" s="68"/>
      <c r="AXH108" s="68"/>
      <c r="AXI108" s="68"/>
      <c r="AXJ108" s="68"/>
      <c r="AXK108" s="68"/>
      <c r="AXL108" s="68"/>
      <c r="AXM108" s="68"/>
      <c r="AXN108" s="68"/>
      <c r="AXO108" s="68"/>
      <c r="AXP108" s="68"/>
      <c r="AXQ108" s="68"/>
      <c r="AXR108" s="68"/>
      <c r="AXS108" s="68"/>
      <c r="AXT108" s="68"/>
      <c r="AXU108" s="68"/>
      <c r="AXV108" s="68"/>
      <c r="AXW108" s="68"/>
      <c r="AXX108" s="68"/>
      <c r="AXY108" s="68"/>
      <c r="AXZ108" s="68"/>
      <c r="AYA108" s="68"/>
      <c r="AYB108" s="68"/>
      <c r="AYC108" s="68"/>
      <c r="AYD108" s="68"/>
      <c r="AYE108" s="68"/>
      <c r="AYF108" s="68"/>
      <c r="AYG108" s="68"/>
      <c r="AYH108" s="68"/>
      <c r="AYI108" s="68"/>
      <c r="AYJ108" s="68"/>
      <c r="AYK108" s="68"/>
      <c r="AYL108" s="68"/>
      <c r="AYM108" s="68"/>
      <c r="AYN108" s="68"/>
      <c r="AYO108" s="68"/>
      <c r="AYP108" s="68"/>
      <c r="AYQ108" s="68"/>
      <c r="AYR108" s="68"/>
      <c r="AYS108" s="68"/>
      <c r="AYT108" s="68"/>
      <c r="AYU108" s="68"/>
      <c r="AYV108" s="68"/>
      <c r="AYW108" s="68"/>
      <c r="AYX108" s="68"/>
      <c r="AYY108" s="68"/>
      <c r="AYZ108" s="68"/>
      <c r="AZA108" s="68"/>
      <c r="AZB108" s="68"/>
      <c r="AZC108" s="68"/>
      <c r="AZD108" s="68"/>
      <c r="AZE108" s="68"/>
      <c r="AZF108" s="68"/>
      <c r="AZG108" s="68"/>
      <c r="AZH108" s="68"/>
      <c r="AZI108" s="68"/>
      <c r="AZJ108" s="68"/>
      <c r="AZK108" s="68"/>
      <c r="AZL108" s="68"/>
      <c r="AZM108" s="68"/>
      <c r="AZN108" s="68"/>
      <c r="AZO108" s="68"/>
      <c r="AZP108" s="68"/>
      <c r="AZQ108" s="68"/>
      <c r="AZR108" s="68"/>
      <c r="AZS108" s="68"/>
      <c r="AZT108" s="68"/>
      <c r="AZU108" s="68"/>
      <c r="AZV108" s="68"/>
      <c r="AZW108" s="68"/>
      <c r="AZX108" s="68"/>
      <c r="AZY108" s="68"/>
      <c r="AZZ108" s="68"/>
      <c r="BAA108" s="68"/>
      <c r="BAB108" s="68"/>
      <c r="BAC108" s="68"/>
      <c r="BAD108" s="68"/>
      <c r="BAE108" s="68"/>
      <c r="BAF108" s="68"/>
      <c r="BAG108" s="68"/>
      <c r="BAH108" s="68"/>
      <c r="BAI108" s="68"/>
      <c r="BAJ108" s="68"/>
      <c r="BAK108" s="68"/>
      <c r="BAL108" s="68"/>
      <c r="BAM108" s="68"/>
      <c r="BAN108" s="68"/>
      <c r="BAO108" s="68"/>
      <c r="BAP108" s="68"/>
      <c r="BAQ108" s="68"/>
      <c r="BAR108" s="68"/>
      <c r="BAS108" s="68"/>
      <c r="BAT108" s="68"/>
      <c r="BAU108" s="68"/>
      <c r="BAV108" s="68"/>
      <c r="BAW108" s="68"/>
      <c r="BAX108" s="68"/>
      <c r="BAY108" s="68"/>
      <c r="BAZ108" s="68"/>
      <c r="BBA108" s="68"/>
      <c r="BBB108" s="68"/>
      <c r="BBC108" s="68"/>
      <c r="BBD108" s="68"/>
      <c r="BBE108" s="68"/>
      <c r="BBF108" s="68"/>
      <c r="BBG108" s="68"/>
      <c r="BBH108" s="68"/>
      <c r="BBI108" s="68"/>
      <c r="BBJ108" s="68"/>
      <c r="BBK108" s="68"/>
      <c r="BBL108" s="68"/>
      <c r="BBM108" s="68"/>
      <c r="BBN108" s="68"/>
      <c r="BBO108" s="68"/>
      <c r="BBP108" s="68"/>
      <c r="BBQ108" s="68"/>
      <c r="BBR108" s="68"/>
      <c r="BBS108" s="68"/>
      <c r="BBT108" s="68"/>
      <c r="BBU108" s="68"/>
      <c r="BBV108" s="68"/>
      <c r="BBW108" s="68"/>
      <c r="BBX108" s="68"/>
      <c r="BBY108" s="68"/>
      <c r="BBZ108" s="68"/>
      <c r="BCA108" s="68"/>
      <c r="BCB108" s="68"/>
      <c r="BCC108" s="68"/>
      <c r="BCD108" s="68"/>
      <c r="BCE108" s="68"/>
      <c r="BCF108" s="68"/>
      <c r="BCG108" s="68"/>
      <c r="BCH108" s="68"/>
      <c r="BCI108" s="68"/>
      <c r="BCJ108" s="68"/>
      <c r="BCK108" s="68"/>
      <c r="BCL108" s="68"/>
      <c r="BCM108" s="68"/>
      <c r="BCN108" s="68"/>
      <c r="BCO108" s="68"/>
      <c r="BCP108" s="68"/>
      <c r="BCQ108" s="68"/>
      <c r="BCR108" s="68"/>
      <c r="BCS108" s="68"/>
      <c r="BCT108" s="68"/>
      <c r="BCU108" s="68"/>
      <c r="BCV108" s="68"/>
      <c r="BCW108" s="68"/>
      <c r="BCX108" s="68"/>
      <c r="BCY108" s="68"/>
      <c r="BCZ108" s="68"/>
      <c r="BDA108" s="68"/>
    </row>
    <row r="109" spans="1:1457" s="67" customFormat="1" ht="30" customHeight="1" x14ac:dyDescent="0.25">
      <c r="A109" s="49">
        <v>27</v>
      </c>
      <c r="B109" s="71" t="s">
        <v>256</v>
      </c>
      <c r="C109" s="71" t="s">
        <v>257</v>
      </c>
      <c r="D109" s="69" t="s">
        <v>708</v>
      </c>
      <c r="E109" s="71" t="s">
        <v>709</v>
      </c>
      <c r="F109" s="51">
        <v>11517174.699999999</v>
      </c>
      <c r="G109" s="70" t="s">
        <v>588</v>
      </c>
      <c r="H109" s="42" t="s">
        <v>586</v>
      </c>
      <c r="I109" s="71" t="s">
        <v>209</v>
      </c>
      <c r="J109" s="71"/>
      <c r="K109" s="69"/>
      <c r="L109" s="69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T109" s="68"/>
      <c r="BU109" s="68"/>
      <c r="BV109" s="68"/>
      <c r="BW109" s="68"/>
      <c r="BX109" s="68"/>
      <c r="BY109" s="68"/>
      <c r="BZ109" s="68"/>
      <c r="CA109" s="68"/>
      <c r="CB109" s="68"/>
      <c r="CC109" s="68"/>
      <c r="CD109" s="68"/>
      <c r="CE109" s="68"/>
      <c r="CF109" s="68"/>
      <c r="CG109" s="68"/>
      <c r="CH109" s="68"/>
      <c r="CI109" s="68"/>
      <c r="CJ109" s="68"/>
      <c r="CK109" s="68"/>
      <c r="CL109" s="68"/>
      <c r="CM109" s="68"/>
      <c r="CN109" s="68"/>
      <c r="CO109" s="68"/>
      <c r="CP109" s="68"/>
      <c r="CQ109" s="68"/>
      <c r="CR109" s="68"/>
      <c r="CS109" s="68"/>
      <c r="CT109" s="68"/>
      <c r="CU109" s="68"/>
      <c r="CV109" s="68"/>
      <c r="CW109" s="68"/>
      <c r="CX109" s="68"/>
      <c r="CY109" s="68"/>
      <c r="CZ109" s="68"/>
      <c r="DA109" s="68"/>
      <c r="DB109" s="68"/>
      <c r="DC109" s="68"/>
      <c r="DD109" s="68"/>
      <c r="DE109" s="68"/>
      <c r="DF109" s="68"/>
      <c r="DG109" s="68"/>
      <c r="DH109" s="68"/>
      <c r="DI109" s="68"/>
      <c r="DJ109" s="68"/>
      <c r="DK109" s="68"/>
      <c r="DL109" s="68"/>
      <c r="DM109" s="68"/>
      <c r="DN109" s="68"/>
      <c r="DO109" s="68"/>
      <c r="DP109" s="68"/>
      <c r="DQ109" s="68"/>
      <c r="DR109" s="68"/>
      <c r="DS109" s="68"/>
      <c r="DT109" s="68"/>
      <c r="DU109" s="68"/>
      <c r="DV109" s="68"/>
      <c r="DW109" s="68"/>
      <c r="DX109" s="68"/>
      <c r="DY109" s="68"/>
      <c r="DZ109" s="68"/>
      <c r="EA109" s="68"/>
      <c r="EB109" s="68"/>
      <c r="EC109" s="68"/>
      <c r="ED109" s="68"/>
      <c r="EE109" s="68"/>
      <c r="EF109" s="68"/>
      <c r="EG109" s="68"/>
      <c r="EH109" s="68"/>
      <c r="EI109" s="68"/>
      <c r="EJ109" s="68"/>
      <c r="EK109" s="68"/>
      <c r="EL109" s="68"/>
      <c r="EM109" s="68"/>
      <c r="EN109" s="68"/>
      <c r="EO109" s="68"/>
      <c r="EP109" s="68"/>
      <c r="EQ109" s="68"/>
      <c r="ER109" s="68"/>
      <c r="ES109" s="68"/>
      <c r="ET109" s="68"/>
      <c r="EU109" s="68"/>
      <c r="EV109" s="68"/>
      <c r="EW109" s="68"/>
      <c r="EX109" s="68"/>
      <c r="EY109" s="68"/>
      <c r="EZ109" s="68"/>
      <c r="FA109" s="68"/>
      <c r="FB109" s="68"/>
      <c r="FC109" s="68"/>
      <c r="FD109" s="68"/>
      <c r="FE109" s="68"/>
      <c r="FF109" s="68"/>
      <c r="FG109" s="68"/>
      <c r="FH109" s="68"/>
      <c r="FI109" s="68"/>
      <c r="FJ109" s="68"/>
      <c r="FK109" s="68"/>
      <c r="FL109" s="68"/>
      <c r="FM109" s="68"/>
      <c r="FN109" s="68"/>
      <c r="FO109" s="68"/>
      <c r="FP109" s="68"/>
      <c r="FQ109" s="68"/>
      <c r="FR109" s="68"/>
      <c r="FS109" s="68"/>
      <c r="FT109" s="68"/>
      <c r="FU109" s="68"/>
      <c r="FV109" s="68"/>
      <c r="FW109" s="68"/>
      <c r="FX109" s="68"/>
      <c r="FY109" s="68"/>
      <c r="FZ109" s="68"/>
      <c r="GA109" s="68"/>
      <c r="GB109" s="68"/>
      <c r="GC109" s="68"/>
      <c r="GD109" s="68"/>
      <c r="GE109" s="68"/>
      <c r="GF109" s="68"/>
      <c r="GG109" s="68"/>
      <c r="GH109" s="68"/>
      <c r="GI109" s="68"/>
      <c r="GJ109" s="68"/>
      <c r="GK109" s="68"/>
      <c r="GL109" s="68"/>
      <c r="GM109" s="68"/>
      <c r="GN109" s="68"/>
      <c r="GO109" s="68"/>
      <c r="GP109" s="68"/>
      <c r="GQ109" s="68"/>
      <c r="GR109" s="68"/>
      <c r="GS109" s="68"/>
      <c r="GT109" s="68"/>
      <c r="GU109" s="68"/>
      <c r="GV109" s="68"/>
      <c r="GW109" s="68"/>
      <c r="GX109" s="68"/>
      <c r="GY109" s="68"/>
      <c r="GZ109" s="68"/>
      <c r="HA109" s="68"/>
      <c r="HB109" s="68"/>
      <c r="HC109" s="68"/>
      <c r="HD109" s="68"/>
      <c r="HE109" s="68"/>
      <c r="HF109" s="68"/>
      <c r="HG109" s="68"/>
      <c r="HH109" s="68"/>
      <c r="HI109" s="68"/>
      <c r="HJ109" s="68"/>
      <c r="HK109" s="68"/>
      <c r="HL109" s="68"/>
      <c r="HM109" s="68"/>
      <c r="HN109" s="68"/>
      <c r="HO109" s="68"/>
      <c r="HP109" s="68"/>
      <c r="HQ109" s="68"/>
      <c r="HR109" s="68"/>
      <c r="HS109" s="68"/>
      <c r="HT109" s="68"/>
      <c r="HU109" s="68"/>
      <c r="HV109" s="68"/>
      <c r="HW109" s="68"/>
      <c r="HX109" s="68"/>
      <c r="HY109" s="68"/>
      <c r="HZ109" s="68"/>
      <c r="IA109" s="68"/>
      <c r="IB109" s="68"/>
      <c r="IC109" s="68"/>
      <c r="ID109" s="68"/>
      <c r="IE109" s="68"/>
      <c r="IF109" s="68"/>
      <c r="IG109" s="68"/>
      <c r="IH109" s="68"/>
      <c r="II109" s="68"/>
      <c r="IJ109" s="68"/>
      <c r="IK109" s="68"/>
      <c r="IL109" s="68"/>
      <c r="IM109" s="68"/>
      <c r="IN109" s="68"/>
      <c r="IO109" s="68"/>
      <c r="IP109" s="68"/>
      <c r="IQ109" s="68"/>
      <c r="IR109" s="68"/>
      <c r="IS109" s="68"/>
      <c r="IT109" s="68"/>
      <c r="IU109" s="68"/>
      <c r="IV109" s="68"/>
      <c r="IW109" s="68"/>
      <c r="IX109" s="68"/>
      <c r="IY109" s="68"/>
      <c r="IZ109" s="68"/>
      <c r="JA109" s="68"/>
      <c r="JB109" s="68"/>
      <c r="JC109" s="68"/>
      <c r="JD109" s="68"/>
      <c r="JE109" s="68"/>
      <c r="JF109" s="68"/>
      <c r="JG109" s="68"/>
      <c r="JH109" s="68"/>
      <c r="JI109" s="68"/>
      <c r="JJ109" s="68"/>
      <c r="JK109" s="68"/>
      <c r="JL109" s="68"/>
      <c r="JM109" s="68"/>
      <c r="JN109" s="68"/>
      <c r="JO109" s="68"/>
      <c r="JP109" s="68"/>
      <c r="JQ109" s="68"/>
      <c r="JR109" s="68"/>
      <c r="JS109" s="68"/>
      <c r="JT109" s="68"/>
      <c r="JU109" s="68"/>
      <c r="JV109" s="68"/>
      <c r="JW109" s="68"/>
      <c r="JX109" s="68"/>
      <c r="JY109" s="68"/>
      <c r="JZ109" s="68"/>
      <c r="KA109" s="68"/>
      <c r="KB109" s="68"/>
      <c r="KC109" s="68"/>
      <c r="KD109" s="68"/>
      <c r="KE109" s="68"/>
      <c r="KF109" s="68"/>
      <c r="KG109" s="68"/>
      <c r="KH109" s="68"/>
      <c r="KI109" s="68"/>
      <c r="KJ109" s="68"/>
      <c r="KK109" s="68"/>
      <c r="KL109" s="68"/>
      <c r="KM109" s="68"/>
      <c r="KN109" s="68"/>
      <c r="KO109" s="68"/>
      <c r="KP109" s="68"/>
      <c r="KQ109" s="68"/>
      <c r="KR109" s="68"/>
      <c r="KS109" s="68"/>
      <c r="KT109" s="68"/>
      <c r="KU109" s="68"/>
      <c r="KV109" s="68"/>
      <c r="KW109" s="68"/>
      <c r="KX109" s="68"/>
      <c r="KY109" s="68"/>
      <c r="KZ109" s="68"/>
      <c r="LA109" s="68"/>
      <c r="LB109" s="68"/>
      <c r="LC109" s="68"/>
      <c r="LD109" s="68"/>
      <c r="LE109" s="68"/>
      <c r="LF109" s="68"/>
      <c r="LG109" s="68"/>
      <c r="LH109" s="68"/>
      <c r="LI109" s="68"/>
      <c r="LJ109" s="68"/>
      <c r="LK109" s="68"/>
      <c r="LL109" s="68"/>
      <c r="LM109" s="68"/>
      <c r="LN109" s="68"/>
      <c r="LO109" s="68"/>
      <c r="LP109" s="68"/>
      <c r="LQ109" s="68"/>
      <c r="LR109" s="68"/>
      <c r="LS109" s="68"/>
      <c r="LT109" s="68"/>
      <c r="LU109" s="68"/>
      <c r="LV109" s="68"/>
      <c r="LW109" s="68"/>
      <c r="LX109" s="68"/>
      <c r="LY109" s="68"/>
      <c r="LZ109" s="68"/>
      <c r="MA109" s="68"/>
      <c r="MB109" s="68"/>
      <c r="MC109" s="68"/>
      <c r="MD109" s="68"/>
      <c r="ME109" s="68"/>
      <c r="MF109" s="68"/>
      <c r="MG109" s="68"/>
      <c r="MH109" s="68"/>
      <c r="MI109" s="68"/>
      <c r="MJ109" s="68"/>
      <c r="MK109" s="68"/>
      <c r="ML109" s="68"/>
      <c r="MM109" s="68"/>
      <c r="MN109" s="68"/>
      <c r="MO109" s="68"/>
      <c r="MP109" s="68"/>
      <c r="MQ109" s="68"/>
      <c r="MR109" s="68"/>
      <c r="MS109" s="68"/>
      <c r="MT109" s="68"/>
      <c r="MU109" s="68"/>
      <c r="MV109" s="68"/>
      <c r="MW109" s="68"/>
      <c r="MX109" s="68"/>
      <c r="MY109" s="68"/>
      <c r="MZ109" s="68"/>
      <c r="NA109" s="68"/>
      <c r="NB109" s="68"/>
      <c r="NC109" s="68"/>
      <c r="ND109" s="68"/>
      <c r="NE109" s="68"/>
      <c r="NF109" s="68"/>
      <c r="NG109" s="68"/>
      <c r="NH109" s="68"/>
      <c r="NI109" s="68"/>
      <c r="NJ109" s="68"/>
      <c r="NK109" s="68"/>
      <c r="NL109" s="68"/>
      <c r="NM109" s="68"/>
      <c r="NN109" s="68"/>
      <c r="NO109" s="68"/>
      <c r="NP109" s="68"/>
      <c r="NQ109" s="68"/>
      <c r="NR109" s="68"/>
      <c r="NS109" s="68"/>
      <c r="NT109" s="68"/>
      <c r="NU109" s="68"/>
      <c r="NV109" s="68"/>
      <c r="NW109" s="68"/>
      <c r="NX109" s="68"/>
      <c r="NY109" s="68"/>
      <c r="NZ109" s="68"/>
      <c r="OA109" s="68"/>
      <c r="OB109" s="68"/>
      <c r="OC109" s="68"/>
      <c r="OD109" s="68"/>
      <c r="OE109" s="68"/>
      <c r="OF109" s="68"/>
      <c r="OG109" s="68"/>
      <c r="OH109" s="68"/>
      <c r="OI109" s="68"/>
      <c r="OJ109" s="68"/>
      <c r="OK109" s="68"/>
      <c r="OL109" s="68"/>
      <c r="OM109" s="68"/>
      <c r="ON109" s="68"/>
      <c r="OO109" s="68"/>
      <c r="OP109" s="68"/>
      <c r="OQ109" s="68"/>
      <c r="OR109" s="68"/>
      <c r="OS109" s="68"/>
      <c r="OT109" s="68"/>
      <c r="OU109" s="68"/>
      <c r="OV109" s="68"/>
      <c r="OW109" s="68"/>
      <c r="OX109" s="68"/>
      <c r="OY109" s="68"/>
      <c r="OZ109" s="68"/>
      <c r="PA109" s="68"/>
      <c r="PB109" s="68"/>
      <c r="PC109" s="68"/>
      <c r="PD109" s="68"/>
      <c r="PE109" s="68"/>
      <c r="PF109" s="68"/>
      <c r="PG109" s="68"/>
      <c r="PH109" s="68"/>
      <c r="PI109" s="68"/>
      <c r="PJ109" s="68"/>
      <c r="PK109" s="68"/>
      <c r="PL109" s="68"/>
      <c r="PM109" s="68"/>
      <c r="PN109" s="68"/>
      <c r="PO109" s="68"/>
      <c r="PP109" s="68"/>
      <c r="PQ109" s="68"/>
      <c r="PR109" s="68"/>
      <c r="PS109" s="68"/>
      <c r="PT109" s="68"/>
      <c r="PU109" s="68"/>
      <c r="PV109" s="68"/>
      <c r="PW109" s="68"/>
      <c r="PX109" s="68"/>
      <c r="PY109" s="68"/>
      <c r="PZ109" s="68"/>
      <c r="QA109" s="68"/>
      <c r="QB109" s="68"/>
      <c r="QC109" s="68"/>
      <c r="QD109" s="68"/>
      <c r="QE109" s="68"/>
      <c r="QF109" s="68"/>
      <c r="QG109" s="68"/>
      <c r="QH109" s="68"/>
      <c r="QI109" s="68"/>
      <c r="QJ109" s="68"/>
      <c r="QK109" s="68"/>
      <c r="QL109" s="68"/>
      <c r="QM109" s="68"/>
      <c r="QN109" s="68"/>
      <c r="QO109" s="68"/>
      <c r="QP109" s="68"/>
      <c r="QQ109" s="68"/>
      <c r="QR109" s="68"/>
      <c r="QS109" s="68"/>
      <c r="QT109" s="68"/>
      <c r="QU109" s="68"/>
      <c r="QV109" s="68"/>
      <c r="QW109" s="68"/>
      <c r="QX109" s="68"/>
      <c r="QY109" s="68"/>
      <c r="QZ109" s="68"/>
      <c r="RA109" s="68"/>
      <c r="RB109" s="68"/>
      <c r="RC109" s="68"/>
      <c r="RD109" s="68"/>
      <c r="RE109" s="68"/>
      <c r="RF109" s="68"/>
      <c r="RG109" s="68"/>
      <c r="RH109" s="68"/>
      <c r="RI109" s="68"/>
      <c r="RJ109" s="68"/>
      <c r="RK109" s="68"/>
      <c r="RL109" s="68"/>
      <c r="RM109" s="68"/>
      <c r="RN109" s="68"/>
      <c r="RO109" s="68"/>
      <c r="RP109" s="68"/>
      <c r="RQ109" s="68"/>
      <c r="RR109" s="68"/>
      <c r="RS109" s="68"/>
      <c r="RT109" s="68"/>
      <c r="RU109" s="68"/>
      <c r="RV109" s="68"/>
      <c r="RW109" s="68"/>
      <c r="RX109" s="68"/>
      <c r="RY109" s="68"/>
      <c r="RZ109" s="68"/>
      <c r="SA109" s="68"/>
      <c r="SB109" s="68"/>
      <c r="SC109" s="68"/>
      <c r="SD109" s="68"/>
      <c r="SE109" s="68"/>
      <c r="SF109" s="68"/>
      <c r="SG109" s="68"/>
      <c r="SH109" s="68"/>
      <c r="SI109" s="68"/>
      <c r="SJ109" s="68"/>
      <c r="SK109" s="68"/>
      <c r="SL109" s="68"/>
      <c r="SM109" s="68"/>
      <c r="SN109" s="68"/>
      <c r="SO109" s="68"/>
      <c r="SP109" s="68"/>
      <c r="SQ109" s="68"/>
      <c r="SR109" s="68"/>
      <c r="SS109" s="68"/>
      <c r="ST109" s="68"/>
      <c r="SU109" s="68"/>
      <c r="SV109" s="68"/>
      <c r="SW109" s="68"/>
      <c r="SX109" s="68"/>
      <c r="SY109" s="68"/>
      <c r="SZ109" s="68"/>
      <c r="TA109" s="68"/>
      <c r="TB109" s="68"/>
      <c r="TC109" s="68"/>
      <c r="TD109" s="68"/>
      <c r="TE109" s="68"/>
      <c r="TF109" s="68"/>
      <c r="TG109" s="68"/>
      <c r="TH109" s="68"/>
      <c r="TI109" s="68"/>
      <c r="TJ109" s="68"/>
      <c r="TK109" s="68"/>
      <c r="TL109" s="68"/>
      <c r="TM109" s="68"/>
      <c r="TN109" s="68"/>
      <c r="TO109" s="68"/>
      <c r="TP109" s="68"/>
      <c r="TQ109" s="68"/>
      <c r="TR109" s="68"/>
      <c r="TS109" s="68"/>
      <c r="TT109" s="68"/>
      <c r="TU109" s="68"/>
      <c r="TV109" s="68"/>
      <c r="TW109" s="68"/>
      <c r="TX109" s="68"/>
      <c r="TY109" s="68"/>
      <c r="TZ109" s="68"/>
      <c r="UA109" s="68"/>
      <c r="UB109" s="68"/>
      <c r="UC109" s="68"/>
      <c r="UD109" s="68"/>
      <c r="UE109" s="68"/>
      <c r="UF109" s="68"/>
      <c r="UG109" s="68"/>
      <c r="UH109" s="68"/>
      <c r="UI109" s="68"/>
      <c r="UJ109" s="68"/>
      <c r="UK109" s="68"/>
      <c r="UL109" s="68"/>
      <c r="UM109" s="68"/>
      <c r="UN109" s="68"/>
      <c r="UO109" s="68"/>
      <c r="UP109" s="68"/>
      <c r="UQ109" s="68"/>
      <c r="UR109" s="68"/>
      <c r="US109" s="68"/>
      <c r="UT109" s="68"/>
      <c r="UU109" s="68"/>
      <c r="UV109" s="68"/>
      <c r="UW109" s="68"/>
      <c r="UX109" s="68"/>
      <c r="UY109" s="68"/>
      <c r="UZ109" s="68"/>
      <c r="VA109" s="68"/>
      <c r="VB109" s="68"/>
      <c r="VC109" s="68"/>
      <c r="VD109" s="68"/>
      <c r="VE109" s="68"/>
      <c r="VF109" s="68"/>
      <c r="VG109" s="68"/>
      <c r="VH109" s="68"/>
      <c r="VI109" s="68"/>
      <c r="VJ109" s="68"/>
      <c r="VK109" s="68"/>
      <c r="VL109" s="68"/>
      <c r="VM109" s="68"/>
      <c r="VN109" s="68"/>
      <c r="VO109" s="68"/>
      <c r="VP109" s="68"/>
      <c r="VQ109" s="68"/>
      <c r="VR109" s="68"/>
      <c r="VS109" s="68"/>
      <c r="VT109" s="68"/>
      <c r="VU109" s="68"/>
      <c r="VV109" s="68"/>
      <c r="VW109" s="68"/>
      <c r="VX109" s="68"/>
      <c r="VY109" s="68"/>
      <c r="VZ109" s="68"/>
      <c r="WA109" s="68"/>
      <c r="WB109" s="68"/>
      <c r="WC109" s="68"/>
      <c r="WD109" s="68"/>
      <c r="WE109" s="68"/>
      <c r="WF109" s="68"/>
      <c r="WG109" s="68"/>
      <c r="WH109" s="68"/>
      <c r="WI109" s="68"/>
      <c r="WJ109" s="68"/>
      <c r="WK109" s="68"/>
      <c r="WL109" s="68"/>
      <c r="WM109" s="68"/>
      <c r="WN109" s="68"/>
      <c r="WO109" s="68"/>
      <c r="WP109" s="68"/>
      <c r="WQ109" s="68"/>
      <c r="WR109" s="68"/>
      <c r="WS109" s="68"/>
      <c r="WT109" s="68"/>
      <c r="WU109" s="68"/>
      <c r="WV109" s="68"/>
      <c r="WW109" s="68"/>
      <c r="WX109" s="68"/>
      <c r="WY109" s="68"/>
      <c r="WZ109" s="68"/>
      <c r="XA109" s="68"/>
      <c r="XB109" s="68"/>
      <c r="XC109" s="68"/>
      <c r="XD109" s="68"/>
      <c r="XE109" s="68"/>
      <c r="XF109" s="68"/>
      <c r="XG109" s="68"/>
      <c r="XH109" s="68"/>
      <c r="XI109" s="68"/>
      <c r="XJ109" s="68"/>
      <c r="XK109" s="68"/>
      <c r="XL109" s="68"/>
      <c r="XM109" s="68"/>
      <c r="XN109" s="68"/>
      <c r="XO109" s="68"/>
      <c r="XP109" s="68"/>
      <c r="XQ109" s="68"/>
      <c r="XR109" s="68"/>
      <c r="XS109" s="68"/>
      <c r="XT109" s="68"/>
      <c r="XU109" s="68"/>
      <c r="XV109" s="68"/>
      <c r="XW109" s="68"/>
      <c r="XX109" s="68"/>
      <c r="XY109" s="68"/>
      <c r="XZ109" s="68"/>
      <c r="YA109" s="68"/>
      <c r="YB109" s="68"/>
      <c r="YC109" s="68"/>
      <c r="YD109" s="68"/>
      <c r="YE109" s="68"/>
      <c r="YF109" s="68"/>
      <c r="YG109" s="68"/>
      <c r="YH109" s="68"/>
      <c r="YI109" s="68"/>
      <c r="YJ109" s="68"/>
      <c r="YK109" s="68"/>
      <c r="YL109" s="68"/>
      <c r="YM109" s="68"/>
      <c r="YN109" s="68"/>
      <c r="YO109" s="68"/>
      <c r="YP109" s="68"/>
      <c r="YQ109" s="68"/>
      <c r="YR109" s="68"/>
      <c r="YS109" s="68"/>
      <c r="YT109" s="68"/>
      <c r="YU109" s="68"/>
      <c r="YV109" s="68"/>
      <c r="YW109" s="68"/>
      <c r="YX109" s="68"/>
      <c r="YY109" s="68"/>
      <c r="YZ109" s="68"/>
      <c r="ZA109" s="68"/>
      <c r="ZB109" s="68"/>
      <c r="ZC109" s="68"/>
      <c r="ZD109" s="68"/>
      <c r="ZE109" s="68"/>
      <c r="ZF109" s="68"/>
      <c r="ZG109" s="68"/>
      <c r="ZH109" s="68"/>
      <c r="ZI109" s="68"/>
      <c r="ZJ109" s="68"/>
      <c r="ZK109" s="68"/>
      <c r="ZL109" s="68"/>
      <c r="ZM109" s="68"/>
      <c r="ZN109" s="68"/>
      <c r="ZO109" s="68"/>
      <c r="ZP109" s="68"/>
      <c r="ZQ109" s="68"/>
      <c r="ZR109" s="68"/>
      <c r="ZS109" s="68"/>
      <c r="ZT109" s="68"/>
      <c r="ZU109" s="68"/>
      <c r="ZV109" s="68"/>
      <c r="ZW109" s="68"/>
      <c r="ZX109" s="68"/>
      <c r="ZY109" s="68"/>
      <c r="ZZ109" s="68"/>
      <c r="AAA109" s="68"/>
      <c r="AAB109" s="68"/>
      <c r="AAC109" s="68"/>
      <c r="AAD109" s="68"/>
      <c r="AAE109" s="68"/>
      <c r="AAF109" s="68"/>
      <c r="AAG109" s="68"/>
      <c r="AAH109" s="68"/>
      <c r="AAI109" s="68"/>
      <c r="AAJ109" s="68"/>
      <c r="AAK109" s="68"/>
      <c r="AAL109" s="68"/>
      <c r="AAM109" s="68"/>
      <c r="AAN109" s="68"/>
      <c r="AAO109" s="68"/>
      <c r="AAP109" s="68"/>
      <c r="AAQ109" s="68"/>
      <c r="AAR109" s="68"/>
      <c r="AAS109" s="68"/>
      <c r="AAT109" s="68"/>
      <c r="AAU109" s="68"/>
      <c r="AAV109" s="68"/>
      <c r="AAW109" s="68"/>
      <c r="AAX109" s="68"/>
      <c r="AAY109" s="68"/>
      <c r="AAZ109" s="68"/>
      <c r="ABA109" s="68"/>
      <c r="ABB109" s="68"/>
      <c r="ABC109" s="68"/>
      <c r="ABD109" s="68"/>
      <c r="ABE109" s="68"/>
      <c r="ABF109" s="68"/>
      <c r="ABG109" s="68"/>
      <c r="ABH109" s="68"/>
      <c r="ABI109" s="68"/>
      <c r="ABJ109" s="68"/>
      <c r="ABK109" s="68"/>
      <c r="ABL109" s="68"/>
      <c r="ABM109" s="68"/>
      <c r="ABN109" s="68"/>
      <c r="ABO109" s="68"/>
      <c r="ABP109" s="68"/>
      <c r="ABQ109" s="68"/>
      <c r="ABR109" s="68"/>
      <c r="ABS109" s="68"/>
      <c r="ABT109" s="68"/>
      <c r="ABU109" s="68"/>
      <c r="ABV109" s="68"/>
      <c r="ABW109" s="68"/>
      <c r="ABX109" s="68"/>
      <c r="ABY109" s="68"/>
      <c r="ABZ109" s="68"/>
      <c r="ACA109" s="68"/>
      <c r="ACB109" s="68"/>
      <c r="ACC109" s="68"/>
      <c r="ACD109" s="68"/>
      <c r="ACE109" s="68"/>
      <c r="ACF109" s="68"/>
      <c r="ACG109" s="68"/>
      <c r="ACH109" s="68"/>
      <c r="ACI109" s="68"/>
      <c r="ACJ109" s="68"/>
      <c r="ACK109" s="68"/>
      <c r="ACL109" s="68"/>
      <c r="ACM109" s="68"/>
      <c r="ACN109" s="68"/>
      <c r="ACO109" s="68"/>
      <c r="ACP109" s="68"/>
      <c r="ACQ109" s="68"/>
      <c r="ACR109" s="68"/>
      <c r="ACS109" s="68"/>
      <c r="ACT109" s="68"/>
      <c r="ACU109" s="68"/>
      <c r="ACV109" s="68"/>
      <c r="ACW109" s="68"/>
      <c r="ACX109" s="68"/>
      <c r="ACY109" s="68"/>
      <c r="ACZ109" s="68"/>
      <c r="ADA109" s="68"/>
      <c r="ADB109" s="68"/>
      <c r="ADC109" s="68"/>
      <c r="ADD109" s="68"/>
      <c r="ADE109" s="68"/>
      <c r="ADF109" s="68"/>
      <c r="ADG109" s="68"/>
      <c r="ADH109" s="68"/>
      <c r="ADI109" s="68"/>
      <c r="ADJ109" s="68"/>
      <c r="ADK109" s="68"/>
      <c r="ADL109" s="68"/>
      <c r="ADM109" s="68"/>
      <c r="ADN109" s="68"/>
      <c r="ADO109" s="68"/>
      <c r="ADP109" s="68"/>
      <c r="ADQ109" s="68"/>
      <c r="ADR109" s="68"/>
      <c r="ADS109" s="68"/>
      <c r="ADT109" s="68"/>
      <c r="ADU109" s="68"/>
      <c r="ADV109" s="68"/>
      <c r="ADW109" s="68"/>
      <c r="ADX109" s="68"/>
      <c r="ADY109" s="68"/>
      <c r="ADZ109" s="68"/>
      <c r="AEA109" s="68"/>
      <c r="AEB109" s="68"/>
      <c r="AEC109" s="68"/>
      <c r="AED109" s="68"/>
      <c r="AEE109" s="68"/>
      <c r="AEF109" s="68"/>
      <c r="AEG109" s="68"/>
      <c r="AEH109" s="68"/>
      <c r="AEI109" s="68"/>
      <c r="AEJ109" s="68"/>
      <c r="AEK109" s="68"/>
      <c r="AEL109" s="68"/>
      <c r="AEM109" s="68"/>
      <c r="AEN109" s="68"/>
      <c r="AEO109" s="68"/>
      <c r="AEP109" s="68"/>
      <c r="AEQ109" s="68"/>
      <c r="AER109" s="68"/>
      <c r="AES109" s="68"/>
      <c r="AET109" s="68"/>
      <c r="AEU109" s="68"/>
      <c r="AEV109" s="68"/>
      <c r="AEW109" s="68"/>
      <c r="AEX109" s="68"/>
      <c r="AEY109" s="68"/>
      <c r="AEZ109" s="68"/>
      <c r="AFA109" s="68"/>
      <c r="AFB109" s="68"/>
      <c r="AFC109" s="68"/>
      <c r="AFD109" s="68"/>
      <c r="AFE109" s="68"/>
      <c r="AFF109" s="68"/>
      <c r="AFG109" s="68"/>
      <c r="AFH109" s="68"/>
      <c r="AFI109" s="68"/>
      <c r="AFJ109" s="68"/>
      <c r="AFK109" s="68"/>
      <c r="AFL109" s="68"/>
      <c r="AFM109" s="68"/>
      <c r="AFN109" s="68"/>
      <c r="AFO109" s="68"/>
      <c r="AFP109" s="68"/>
      <c r="AFQ109" s="68"/>
      <c r="AFR109" s="68"/>
      <c r="AFS109" s="68"/>
      <c r="AFT109" s="68"/>
      <c r="AFU109" s="68"/>
      <c r="AFV109" s="68"/>
      <c r="AFW109" s="68"/>
      <c r="AFX109" s="68"/>
      <c r="AFY109" s="68"/>
      <c r="AFZ109" s="68"/>
      <c r="AGA109" s="68"/>
      <c r="AGB109" s="68"/>
      <c r="AGC109" s="68"/>
      <c r="AGD109" s="68"/>
      <c r="AGE109" s="68"/>
      <c r="AGF109" s="68"/>
      <c r="AGG109" s="68"/>
      <c r="AGH109" s="68"/>
      <c r="AGI109" s="68"/>
      <c r="AGJ109" s="68"/>
      <c r="AGK109" s="68"/>
      <c r="AGL109" s="68"/>
      <c r="AGM109" s="68"/>
      <c r="AGN109" s="68"/>
      <c r="AGO109" s="68"/>
      <c r="AGP109" s="68"/>
      <c r="AGQ109" s="68"/>
      <c r="AGR109" s="68"/>
      <c r="AGS109" s="68"/>
      <c r="AGT109" s="68"/>
      <c r="AGU109" s="68"/>
      <c r="AGV109" s="68"/>
      <c r="AGW109" s="68"/>
      <c r="AGX109" s="68"/>
      <c r="AGY109" s="68"/>
      <c r="AGZ109" s="68"/>
      <c r="AHA109" s="68"/>
      <c r="AHB109" s="68"/>
      <c r="AHC109" s="68"/>
      <c r="AHD109" s="68"/>
      <c r="AHE109" s="68"/>
      <c r="AHF109" s="68"/>
      <c r="AHG109" s="68"/>
      <c r="AHH109" s="68"/>
      <c r="AHI109" s="68"/>
      <c r="AHJ109" s="68"/>
      <c r="AHK109" s="68"/>
      <c r="AHL109" s="68"/>
      <c r="AHM109" s="68"/>
      <c r="AHN109" s="68"/>
      <c r="AHO109" s="68"/>
      <c r="AHP109" s="68"/>
      <c r="AHQ109" s="68"/>
      <c r="AHR109" s="68"/>
      <c r="AHS109" s="68"/>
      <c r="AHT109" s="68"/>
      <c r="AHU109" s="68"/>
      <c r="AHV109" s="68"/>
      <c r="AHW109" s="68"/>
      <c r="AHX109" s="68"/>
      <c r="AHY109" s="68"/>
      <c r="AHZ109" s="68"/>
      <c r="AIA109" s="68"/>
      <c r="AIB109" s="68"/>
      <c r="AIC109" s="68"/>
      <c r="AID109" s="68"/>
      <c r="AIE109" s="68"/>
      <c r="AIF109" s="68"/>
      <c r="AIG109" s="68"/>
      <c r="AIH109" s="68"/>
      <c r="AII109" s="68"/>
      <c r="AIJ109" s="68"/>
      <c r="AIK109" s="68"/>
      <c r="AIL109" s="68"/>
      <c r="AIM109" s="68"/>
      <c r="AIN109" s="68"/>
      <c r="AIO109" s="68"/>
      <c r="AIP109" s="68"/>
      <c r="AIQ109" s="68"/>
      <c r="AIR109" s="68"/>
      <c r="AIS109" s="68"/>
      <c r="AIT109" s="68"/>
      <c r="AIU109" s="68"/>
      <c r="AIV109" s="68"/>
      <c r="AIW109" s="68"/>
      <c r="AIX109" s="68"/>
      <c r="AIY109" s="68"/>
      <c r="AIZ109" s="68"/>
      <c r="AJA109" s="68"/>
      <c r="AJB109" s="68"/>
      <c r="AJC109" s="68"/>
      <c r="AJD109" s="68"/>
      <c r="AJE109" s="68"/>
      <c r="AJF109" s="68"/>
      <c r="AJG109" s="68"/>
      <c r="AJH109" s="68"/>
      <c r="AJI109" s="68"/>
      <c r="AJJ109" s="68"/>
      <c r="AJK109" s="68"/>
      <c r="AJL109" s="68"/>
      <c r="AJM109" s="68"/>
      <c r="AJN109" s="68"/>
      <c r="AJO109" s="68"/>
      <c r="AJP109" s="68"/>
      <c r="AJQ109" s="68"/>
      <c r="AJR109" s="68"/>
      <c r="AJS109" s="68"/>
      <c r="AJT109" s="68"/>
      <c r="AJU109" s="68"/>
      <c r="AJV109" s="68"/>
      <c r="AJW109" s="68"/>
      <c r="AJX109" s="68"/>
      <c r="AJY109" s="68"/>
      <c r="AJZ109" s="68"/>
      <c r="AKA109" s="68"/>
      <c r="AKB109" s="68"/>
      <c r="AKC109" s="68"/>
      <c r="AKD109" s="68"/>
      <c r="AKE109" s="68"/>
      <c r="AKF109" s="68"/>
      <c r="AKG109" s="68"/>
      <c r="AKH109" s="68"/>
      <c r="AKI109" s="68"/>
      <c r="AKJ109" s="68"/>
      <c r="AKK109" s="68"/>
      <c r="AKL109" s="68"/>
      <c r="AKM109" s="68"/>
      <c r="AKN109" s="68"/>
      <c r="AKO109" s="68"/>
      <c r="AKP109" s="68"/>
      <c r="AKQ109" s="68"/>
      <c r="AKR109" s="68"/>
      <c r="AKS109" s="68"/>
      <c r="AKT109" s="68"/>
      <c r="AKU109" s="68"/>
      <c r="AKV109" s="68"/>
      <c r="AKW109" s="68"/>
      <c r="AKX109" s="68"/>
      <c r="AKY109" s="68"/>
      <c r="AKZ109" s="68"/>
      <c r="ALA109" s="68"/>
      <c r="ALB109" s="68"/>
      <c r="ALC109" s="68"/>
      <c r="ALD109" s="68"/>
      <c r="ALE109" s="68"/>
      <c r="ALF109" s="68"/>
      <c r="ALG109" s="68"/>
      <c r="ALH109" s="68"/>
      <c r="ALI109" s="68"/>
      <c r="ALJ109" s="68"/>
      <c r="ALK109" s="68"/>
      <c r="ALL109" s="68"/>
      <c r="ALM109" s="68"/>
      <c r="ALN109" s="68"/>
      <c r="ALO109" s="68"/>
      <c r="ALP109" s="68"/>
      <c r="ALQ109" s="68"/>
      <c r="ALR109" s="68"/>
      <c r="ALS109" s="68"/>
      <c r="ALT109" s="68"/>
      <c r="ALU109" s="68"/>
      <c r="ALV109" s="68"/>
      <c r="ALW109" s="68"/>
      <c r="ALX109" s="68"/>
      <c r="ALY109" s="68"/>
      <c r="ALZ109" s="68"/>
      <c r="AMA109" s="68"/>
      <c r="AMB109" s="68"/>
      <c r="AMC109" s="68"/>
      <c r="AMD109" s="68"/>
      <c r="AME109" s="68"/>
      <c r="AMF109" s="68"/>
      <c r="AMG109" s="68"/>
      <c r="AMH109" s="68"/>
      <c r="AMI109" s="68"/>
      <c r="AMJ109" s="68"/>
      <c r="AMK109" s="68"/>
      <c r="AML109" s="68"/>
      <c r="AMM109" s="68"/>
      <c r="AMN109" s="68"/>
      <c r="AMO109" s="68"/>
      <c r="AMP109" s="68"/>
      <c r="AMQ109" s="68"/>
      <c r="AMR109" s="68"/>
      <c r="AMS109" s="68"/>
      <c r="AMT109" s="68"/>
      <c r="AMU109" s="68"/>
      <c r="AMV109" s="68"/>
      <c r="AMW109" s="68"/>
      <c r="AMX109" s="68"/>
      <c r="AMY109" s="68"/>
      <c r="AMZ109" s="68"/>
      <c r="ANA109" s="68"/>
      <c r="ANB109" s="68"/>
      <c r="ANC109" s="68"/>
      <c r="AND109" s="68"/>
      <c r="ANE109" s="68"/>
      <c r="ANF109" s="68"/>
      <c r="ANG109" s="68"/>
      <c r="ANH109" s="68"/>
      <c r="ANI109" s="68"/>
      <c r="ANJ109" s="68"/>
      <c r="ANK109" s="68"/>
      <c r="ANL109" s="68"/>
      <c r="ANM109" s="68"/>
      <c r="ANN109" s="68"/>
      <c r="ANO109" s="68"/>
      <c r="ANP109" s="68"/>
      <c r="ANQ109" s="68"/>
      <c r="ANR109" s="68"/>
      <c r="ANS109" s="68"/>
      <c r="ANT109" s="68"/>
      <c r="ANU109" s="68"/>
      <c r="ANV109" s="68"/>
      <c r="ANW109" s="68"/>
      <c r="ANX109" s="68"/>
      <c r="ANY109" s="68"/>
      <c r="ANZ109" s="68"/>
      <c r="AOA109" s="68"/>
      <c r="AOB109" s="68"/>
      <c r="AOC109" s="68"/>
      <c r="AOD109" s="68"/>
      <c r="AOE109" s="68"/>
      <c r="AOF109" s="68"/>
      <c r="AOG109" s="68"/>
      <c r="AOH109" s="68"/>
      <c r="AOI109" s="68"/>
      <c r="AOJ109" s="68"/>
      <c r="AOK109" s="68"/>
      <c r="AOL109" s="68"/>
      <c r="AOM109" s="68"/>
      <c r="AON109" s="68"/>
      <c r="AOO109" s="68"/>
      <c r="AOP109" s="68"/>
      <c r="AOQ109" s="68"/>
      <c r="AOR109" s="68"/>
      <c r="AOS109" s="68"/>
      <c r="AOT109" s="68"/>
      <c r="AOU109" s="68"/>
      <c r="AOV109" s="68"/>
      <c r="AOW109" s="68"/>
      <c r="AOX109" s="68"/>
      <c r="AOY109" s="68"/>
      <c r="AOZ109" s="68"/>
      <c r="APA109" s="68"/>
      <c r="APB109" s="68"/>
      <c r="APC109" s="68"/>
      <c r="APD109" s="68"/>
      <c r="APE109" s="68"/>
      <c r="APF109" s="68"/>
      <c r="APG109" s="68"/>
      <c r="APH109" s="68"/>
      <c r="API109" s="68"/>
      <c r="APJ109" s="68"/>
      <c r="APK109" s="68"/>
      <c r="APL109" s="68"/>
      <c r="APM109" s="68"/>
      <c r="APN109" s="68"/>
      <c r="APO109" s="68"/>
      <c r="APP109" s="68"/>
      <c r="APQ109" s="68"/>
      <c r="APR109" s="68"/>
      <c r="APS109" s="68"/>
      <c r="APT109" s="68"/>
      <c r="APU109" s="68"/>
      <c r="APV109" s="68"/>
      <c r="APW109" s="68"/>
      <c r="APX109" s="68"/>
      <c r="APY109" s="68"/>
      <c r="APZ109" s="68"/>
      <c r="AQA109" s="68"/>
      <c r="AQB109" s="68"/>
      <c r="AQC109" s="68"/>
      <c r="AQD109" s="68"/>
      <c r="AQE109" s="68"/>
      <c r="AQF109" s="68"/>
      <c r="AQG109" s="68"/>
      <c r="AQH109" s="68"/>
      <c r="AQI109" s="68"/>
      <c r="AQJ109" s="68"/>
      <c r="AQK109" s="68"/>
      <c r="AQL109" s="68"/>
      <c r="AQM109" s="68"/>
      <c r="AQN109" s="68"/>
      <c r="AQO109" s="68"/>
      <c r="AQP109" s="68"/>
      <c r="AQQ109" s="68"/>
      <c r="AQR109" s="68"/>
      <c r="AQS109" s="68"/>
      <c r="AQT109" s="68"/>
      <c r="AQU109" s="68"/>
      <c r="AQV109" s="68"/>
      <c r="AQW109" s="68"/>
      <c r="AQX109" s="68"/>
      <c r="AQY109" s="68"/>
      <c r="AQZ109" s="68"/>
      <c r="ARA109" s="68"/>
      <c r="ARB109" s="68"/>
      <c r="ARC109" s="68"/>
      <c r="ARD109" s="68"/>
      <c r="ARE109" s="68"/>
      <c r="ARF109" s="68"/>
      <c r="ARG109" s="68"/>
      <c r="ARH109" s="68"/>
      <c r="ARI109" s="68"/>
      <c r="ARJ109" s="68"/>
      <c r="ARK109" s="68"/>
      <c r="ARL109" s="68"/>
      <c r="ARM109" s="68"/>
      <c r="ARN109" s="68"/>
      <c r="ARO109" s="68"/>
      <c r="ARP109" s="68"/>
      <c r="ARQ109" s="68"/>
      <c r="ARR109" s="68"/>
      <c r="ARS109" s="68"/>
      <c r="ART109" s="68"/>
      <c r="ARU109" s="68"/>
      <c r="ARV109" s="68"/>
      <c r="ARW109" s="68"/>
      <c r="ARX109" s="68"/>
      <c r="ARY109" s="68"/>
      <c r="ARZ109" s="68"/>
      <c r="ASA109" s="68"/>
      <c r="ASB109" s="68"/>
      <c r="ASC109" s="68"/>
      <c r="ASD109" s="68"/>
      <c r="ASE109" s="68"/>
      <c r="ASF109" s="68"/>
      <c r="ASG109" s="68"/>
      <c r="ASH109" s="68"/>
      <c r="ASI109" s="68"/>
      <c r="ASJ109" s="68"/>
      <c r="ASK109" s="68"/>
      <c r="ASL109" s="68"/>
      <c r="ASM109" s="68"/>
      <c r="ASN109" s="68"/>
      <c r="ASO109" s="68"/>
      <c r="ASP109" s="68"/>
      <c r="ASQ109" s="68"/>
      <c r="ASR109" s="68"/>
      <c r="ASS109" s="68"/>
      <c r="AST109" s="68"/>
      <c r="ASU109" s="68"/>
      <c r="ASV109" s="68"/>
      <c r="ASW109" s="68"/>
      <c r="ASX109" s="68"/>
      <c r="ASY109" s="68"/>
      <c r="ASZ109" s="68"/>
      <c r="ATA109" s="68"/>
      <c r="ATB109" s="68"/>
      <c r="ATC109" s="68"/>
      <c r="ATD109" s="68"/>
      <c r="ATE109" s="68"/>
      <c r="ATF109" s="68"/>
      <c r="ATG109" s="68"/>
      <c r="ATH109" s="68"/>
      <c r="ATI109" s="68"/>
      <c r="ATJ109" s="68"/>
      <c r="ATK109" s="68"/>
      <c r="ATL109" s="68"/>
      <c r="ATM109" s="68"/>
      <c r="ATN109" s="68"/>
      <c r="ATO109" s="68"/>
      <c r="ATP109" s="68"/>
      <c r="ATQ109" s="68"/>
      <c r="ATR109" s="68"/>
      <c r="ATS109" s="68"/>
      <c r="ATT109" s="68"/>
      <c r="ATU109" s="68"/>
      <c r="ATV109" s="68"/>
      <c r="ATW109" s="68"/>
      <c r="ATX109" s="68"/>
      <c r="ATY109" s="68"/>
      <c r="ATZ109" s="68"/>
      <c r="AUA109" s="68"/>
      <c r="AUB109" s="68"/>
      <c r="AUC109" s="68"/>
      <c r="AUD109" s="68"/>
      <c r="AUE109" s="68"/>
      <c r="AUF109" s="68"/>
      <c r="AUG109" s="68"/>
      <c r="AUH109" s="68"/>
      <c r="AUI109" s="68"/>
      <c r="AUJ109" s="68"/>
      <c r="AUK109" s="68"/>
      <c r="AUL109" s="68"/>
      <c r="AUM109" s="68"/>
      <c r="AUN109" s="68"/>
      <c r="AUO109" s="68"/>
      <c r="AUP109" s="68"/>
      <c r="AUQ109" s="68"/>
      <c r="AUR109" s="68"/>
      <c r="AUS109" s="68"/>
      <c r="AUT109" s="68"/>
      <c r="AUU109" s="68"/>
      <c r="AUV109" s="68"/>
      <c r="AUW109" s="68"/>
      <c r="AUX109" s="68"/>
      <c r="AUY109" s="68"/>
      <c r="AUZ109" s="68"/>
      <c r="AVA109" s="68"/>
      <c r="AVB109" s="68"/>
      <c r="AVC109" s="68"/>
      <c r="AVD109" s="68"/>
      <c r="AVE109" s="68"/>
      <c r="AVF109" s="68"/>
      <c r="AVG109" s="68"/>
      <c r="AVH109" s="68"/>
      <c r="AVI109" s="68"/>
      <c r="AVJ109" s="68"/>
      <c r="AVK109" s="68"/>
      <c r="AVL109" s="68"/>
      <c r="AVM109" s="68"/>
      <c r="AVN109" s="68"/>
      <c r="AVO109" s="68"/>
      <c r="AVP109" s="68"/>
      <c r="AVQ109" s="68"/>
      <c r="AVR109" s="68"/>
      <c r="AVS109" s="68"/>
      <c r="AVT109" s="68"/>
      <c r="AVU109" s="68"/>
      <c r="AVV109" s="68"/>
      <c r="AVW109" s="68"/>
      <c r="AVX109" s="68"/>
      <c r="AVY109" s="68"/>
      <c r="AVZ109" s="68"/>
      <c r="AWA109" s="68"/>
      <c r="AWB109" s="68"/>
      <c r="AWC109" s="68"/>
      <c r="AWD109" s="68"/>
      <c r="AWE109" s="68"/>
      <c r="AWF109" s="68"/>
      <c r="AWG109" s="68"/>
      <c r="AWH109" s="68"/>
      <c r="AWI109" s="68"/>
      <c r="AWJ109" s="68"/>
      <c r="AWK109" s="68"/>
      <c r="AWL109" s="68"/>
      <c r="AWM109" s="68"/>
      <c r="AWN109" s="68"/>
      <c r="AWO109" s="68"/>
      <c r="AWP109" s="68"/>
      <c r="AWQ109" s="68"/>
      <c r="AWR109" s="68"/>
      <c r="AWS109" s="68"/>
      <c r="AWT109" s="68"/>
      <c r="AWU109" s="68"/>
      <c r="AWV109" s="68"/>
      <c r="AWW109" s="68"/>
      <c r="AWX109" s="68"/>
      <c r="AWY109" s="68"/>
      <c r="AWZ109" s="68"/>
      <c r="AXA109" s="68"/>
      <c r="AXB109" s="68"/>
      <c r="AXC109" s="68"/>
      <c r="AXD109" s="68"/>
      <c r="AXE109" s="68"/>
      <c r="AXF109" s="68"/>
      <c r="AXG109" s="68"/>
      <c r="AXH109" s="68"/>
      <c r="AXI109" s="68"/>
      <c r="AXJ109" s="68"/>
      <c r="AXK109" s="68"/>
      <c r="AXL109" s="68"/>
      <c r="AXM109" s="68"/>
      <c r="AXN109" s="68"/>
      <c r="AXO109" s="68"/>
      <c r="AXP109" s="68"/>
      <c r="AXQ109" s="68"/>
      <c r="AXR109" s="68"/>
      <c r="AXS109" s="68"/>
      <c r="AXT109" s="68"/>
      <c r="AXU109" s="68"/>
      <c r="AXV109" s="68"/>
      <c r="AXW109" s="68"/>
      <c r="AXX109" s="68"/>
      <c r="AXY109" s="68"/>
      <c r="AXZ109" s="68"/>
      <c r="AYA109" s="68"/>
      <c r="AYB109" s="68"/>
      <c r="AYC109" s="68"/>
      <c r="AYD109" s="68"/>
      <c r="AYE109" s="68"/>
      <c r="AYF109" s="68"/>
      <c r="AYG109" s="68"/>
      <c r="AYH109" s="68"/>
      <c r="AYI109" s="68"/>
      <c r="AYJ109" s="68"/>
      <c r="AYK109" s="68"/>
      <c r="AYL109" s="68"/>
      <c r="AYM109" s="68"/>
      <c r="AYN109" s="68"/>
      <c r="AYO109" s="68"/>
      <c r="AYP109" s="68"/>
      <c r="AYQ109" s="68"/>
      <c r="AYR109" s="68"/>
      <c r="AYS109" s="68"/>
      <c r="AYT109" s="68"/>
      <c r="AYU109" s="68"/>
      <c r="AYV109" s="68"/>
      <c r="AYW109" s="68"/>
      <c r="AYX109" s="68"/>
      <c r="AYY109" s="68"/>
      <c r="AYZ109" s="68"/>
      <c r="AZA109" s="68"/>
      <c r="AZB109" s="68"/>
      <c r="AZC109" s="68"/>
      <c r="AZD109" s="68"/>
      <c r="AZE109" s="68"/>
      <c r="AZF109" s="68"/>
      <c r="AZG109" s="68"/>
      <c r="AZH109" s="68"/>
      <c r="AZI109" s="68"/>
      <c r="AZJ109" s="68"/>
      <c r="AZK109" s="68"/>
      <c r="AZL109" s="68"/>
      <c r="AZM109" s="68"/>
      <c r="AZN109" s="68"/>
      <c r="AZO109" s="68"/>
      <c r="AZP109" s="68"/>
      <c r="AZQ109" s="68"/>
      <c r="AZR109" s="68"/>
      <c r="AZS109" s="68"/>
      <c r="AZT109" s="68"/>
      <c r="AZU109" s="68"/>
      <c r="AZV109" s="68"/>
      <c r="AZW109" s="68"/>
      <c r="AZX109" s="68"/>
      <c r="AZY109" s="68"/>
      <c r="AZZ109" s="68"/>
      <c r="BAA109" s="68"/>
      <c r="BAB109" s="68"/>
      <c r="BAC109" s="68"/>
      <c r="BAD109" s="68"/>
      <c r="BAE109" s="68"/>
      <c r="BAF109" s="68"/>
      <c r="BAG109" s="68"/>
      <c r="BAH109" s="68"/>
      <c r="BAI109" s="68"/>
      <c r="BAJ109" s="68"/>
      <c r="BAK109" s="68"/>
      <c r="BAL109" s="68"/>
      <c r="BAM109" s="68"/>
      <c r="BAN109" s="68"/>
      <c r="BAO109" s="68"/>
      <c r="BAP109" s="68"/>
      <c r="BAQ109" s="68"/>
      <c r="BAR109" s="68"/>
      <c r="BAS109" s="68"/>
      <c r="BAT109" s="68"/>
      <c r="BAU109" s="68"/>
      <c r="BAV109" s="68"/>
      <c r="BAW109" s="68"/>
      <c r="BAX109" s="68"/>
      <c r="BAY109" s="68"/>
      <c r="BAZ109" s="68"/>
      <c r="BBA109" s="68"/>
      <c r="BBB109" s="68"/>
      <c r="BBC109" s="68"/>
      <c r="BBD109" s="68"/>
      <c r="BBE109" s="68"/>
      <c r="BBF109" s="68"/>
      <c r="BBG109" s="68"/>
      <c r="BBH109" s="68"/>
      <c r="BBI109" s="68"/>
      <c r="BBJ109" s="68"/>
      <c r="BBK109" s="68"/>
      <c r="BBL109" s="68"/>
      <c r="BBM109" s="68"/>
      <c r="BBN109" s="68"/>
      <c r="BBO109" s="68"/>
      <c r="BBP109" s="68"/>
      <c r="BBQ109" s="68"/>
      <c r="BBR109" s="68"/>
      <c r="BBS109" s="68"/>
      <c r="BBT109" s="68"/>
      <c r="BBU109" s="68"/>
      <c r="BBV109" s="68"/>
      <c r="BBW109" s="68"/>
      <c r="BBX109" s="68"/>
      <c r="BBY109" s="68"/>
      <c r="BBZ109" s="68"/>
      <c r="BCA109" s="68"/>
      <c r="BCB109" s="68"/>
      <c r="BCC109" s="68"/>
      <c r="BCD109" s="68"/>
      <c r="BCE109" s="68"/>
      <c r="BCF109" s="68"/>
      <c r="BCG109" s="68"/>
      <c r="BCH109" s="68"/>
      <c r="BCI109" s="68"/>
      <c r="BCJ109" s="68"/>
      <c r="BCK109" s="68"/>
      <c r="BCL109" s="68"/>
      <c r="BCM109" s="68"/>
      <c r="BCN109" s="68"/>
      <c r="BCO109" s="68"/>
      <c r="BCP109" s="68"/>
      <c r="BCQ109" s="68"/>
      <c r="BCR109" s="68"/>
      <c r="BCS109" s="68"/>
      <c r="BCT109" s="68"/>
      <c r="BCU109" s="68"/>
      <c r="BCV109" s="68"/>
      <c r="BCW109" s="68"/>
      <c r="BCX109" s="68"/>
      <c r="BCY109" s="68"/>
      <c r="BCZ109" s="68"/>
      <c r="BDA109" s="68"/>
    </row>
    <row r="110" spans="1:1457" s="67" customFormat="1" ht="24.75" customHeight="1" x14ac:dyDescent="0.25">
      <c r="A110" s="49">
        <v>28</v>
      </c>
      <c r="B110" s="71" t="s">
        <v>213</v>
      </c>
      <c r="C110" s="71" t="s">
        <v>214</v>
      </c>
      <c r="D110" s="69" t="s">
        <v>708</v>
      </c>
      <c r="E110" s="71" t="s">
        <v>709</v>
      </c>
      <c r="F110" s="51">
        <v>4604300</v>
      </c>
      <c r="G110" s="70" t="s">
        <v>588</v>
      </c>
      <c r="H110" s="42" t="s">
        <v>586</v>
      </c>
      <c r="I110" s="71" t="s">
        <v>209</v>
      </c>
      <c r="J110" s="71"/>
      <c r="K110" s="69"/>
      <c r="L110" s="69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  <c r="BW110" s="68"/>
      <c r="BX110" s="68"/>
      <c r="BY110" s="68"/>
      <c r="BZ110" s="68"/>
      <c r="CA110" s="68"/>
      <c r="CB110" s="68"/>
      <c r="CC110" s="68"/>
      <c r="CD110" s="68"/>
      <c r="CE110" s="68"/>
      <c r="CF110" s="68"/>
      <c r="CG110" s="68"/>
      <c r="CH110" s="68"/>
      <c r="CI110" s="68"/>
      <c r="CJ110" s="68"/>
      <c r="CK110" s="68"/>
      <c r="CL110" s="68"/>
      <c r="CM110" s="68"/>
      <c r="CN110" s="68"/>
      <c r="CO110" s="68"/>
      <c r="CP110" s="68"/>
      <c r="CQ110" s="68"/>
      <c r="CR110" s="68"/>
      <c r="CS110" s="68"/>
      <c r="CT110" s="68"/>
      <c r="CU110" s="68"/>
      <c r="CV110" s="68"/>
      <c r="CW110" s="68"/>
      <c r="CX110" s="68"/>
      <c r="CY110" s="68"/>
      <c r="CZ110" s="68"/>
      <c r="DA110" s="68"/>
      <c r="DB110" s="68"/>
      <c r="DC110" s="68"/>
      <c r="DD110" s="68"/>
      <c r="DE110" s="68"/>
      <c r="DF110" s="68"/>
      <c r="DG110" s="68"/>
      <c r="DH110" s="68"/>
      <c r="DI110" s="68"/>
      <c r="DJ110" s="68"/>
      <c r="DK110" s="68"/>
      <c r="DL110" s="68"/>
      <c r="DM110" s="68"/>
      <c r="DN110" s="68"/>
      <c r="DO110" s="68"/>
      <c r="DP110" s="68"/>
      <c r="DQ110" s="68"/>
      <c r="DR110" s="68"/>
      <c r="DS110" s="68"/>
      <c r="DT110" s="68"/>
      <c r="DU110" s="68"/>
      <c r="DV110" s="68"/>
      <c r="DW110" s="68"/>
      <c r="DX110" s="68"/>
      <c r="DY110" s="68"/>
      <c r="DZ110" s="68"/>
      <c r="EA110" s="68"/>
      <c r="EB110" s="68"/>
      <c r="EC110" s="68"/>
      <c r="ED110" s="68"/>
      <c r="EE110" s="68"/>
      <c r="EF110" s="68"/>
      <c r="EG110" s="68"/>
      <c r="EH110" s="68"/>
      <c r="EI110" s="68"/>
      <c r="EJ110" s="68"/>
      <c r="EK110" s="68"/>
      <c r="EL110" s="68"/>
      <c r="EM110" s="68"/>
      <c r="EN110" s="68"/>
      <c r="EO110" s="68"/>
      <c r="EP110" s="68"/>
      <c r="EQ110" s="68"/>
      <c r="ER110" s="68"/>
      <c r="ES110" s="68"/>
      <c r="ET110" s="68"/>
      <c r="EU110" s="68"/>
      <c r="EV110" s="68"/>
      <c r="EW110" s="68"/>
      <c r="EX110" s="68"/>
      <c r="EY110" s="68"/>
      <c r="EZ110" s="68"/>
      <c r="FA110" s="68"/>
      <c r="FB110" s="68"/>
      <c r="FC110" s="68"/>
      <c r="FD110" s="68"/>
      <c r="FE110" s="68"/>
      <c r="FF110" s="68"/>
      <c r="FG110" s="68"/>
      <c r="FH110" s="68"/>
      <c r="FI110" s="68"/>
      <c r="FJ110" s="68"/>
      <c r="FK110" s="68"/>
      <c r="FL110" s="68"/>
      <c r="FM110" s="68"/>
      <c r="FN110" s="68"/>
      <c r="FO110" s="68"/>
      <c r="FP110" s="68"/>
      <c r="FQ110" s="68"/>
      <c r="FR110" s="68"/>
      <c r="FS110" s="68"/>
      <c r="FT110" s="68"/>
      <c r="FU110" s="68"/>
      <c r="FV110" s="68"/>
      <c r="FW110" s="68"/>
      <c r="FX110" s="68"/>
      <c r="FY110" s="68"/>
      <c r="FZ110" s="68"/>
      <c r="GA110" s="68"/>
      <c r="GB110" s="68"/>
      <c r="GC110" s="68"/>
      <c r="GD110" s="68"/>
      <c r="GE110" s="68"/>
      <c r="GF110" s="68"/>
      <c r="GG110" s="68"/>
      <c r="GH110" s="68"/>
      <c r="GI110" s="68"/>
      <c r="GJ110" s="68"/>
      <c r="GK110" s="68"/>
      <c r="GL110" s="68"/>
      <c r="GM110" s="68"/>
      <c r="GN110" s="68"/>
      <c r="GO110" s="68"/>
      <c r="GP110" s="68"/>
      <c r="GQ110" s="68"/>
      <c r="GR110" s="68"/>
      <c r="GS110" s="68"/>
      <c r="GT110" s="68"/>
      <c r="GU110" s="68"/>
      <c r="GV110" s="68"/>
      <c r="GW110" s="68"/>
      <c r="GX110" s="68"/>
      <c r="GY110" s="68"/>
      <c r="GZ110" s="68"/>
      <c r="HA110" s="68"/>
      <c r="HB110" s="68"/>
      <c r="HC110" s="68"/>
      <c r="HD110" s="68"/>
      <c r="HE110" s="68"/>
      <c r="HF110" s="68"/>
      <c r="HG110" s="68"/>
      <c r="HH110" s="68"/>
      <c r="HI110" s="68"/>
      <c r="HJ110" s="68"/>
      <c r="HK110" s="68"/>
      <c r="HL110" s="68"/>
      <c r="HM110" s="68"/>
      <c r="HN110" s="68"/>
      <c r="HO110" s="68"/>
      <c r="HP110" s="68"/>
      <c r="HQ110" s="68"/>
      <c r="HR110" s="68"/>
      <c r="HS110" s="68"/>
      <c r="HT110" s="68"/>
      <c r="HU110" s="68"/>
      <c r="HV110" s="68"/>
      <c r="HW110" s="68"/>
      <c r="HX110" s="68"/>
      <c r="HY110" s="68"/>
      <c r="HZ110" s="68"/>
      <c r="IA110" s="68"/>
      <c r="IB110" s="68"/>
      <c r="IC110" s="68"/>
      <c r="ID110" s="68"/>
      <c r="IE110" s="68"/>
      <c r="IF110" s="68"/>
      <c r="IG110" s="68"/>
      <c r="IH110" s="68"/>
      <c r="II110" s="68"/>
      <c r="IJ110" s="68"/>
      <c r="IK110" s="68"/>
      <c r="IL110" s="68"/>
      <c r="IM110" s="68"/>
      <c r="IN110" s="68"/>
      <c r="IO110" s="68"/>
      <c r="IP110" s="68"/>
      <c r="IQ110" s="68"/>
      <c r="IR110" s="68"/>
      <c r="IS110" s="68"/>
      <c r="IT110" s="68"/>
      <c r="IU110" s="68"/>
      <c r="IV110" s="68"/>
      <c r="IW110" s="68"/>
      <c r="IX110" s="68"/>
      <c r="IY110" s="68"/>
      <c r="IZ110" s="68"/>
      <c r="JA110" s="68"/>
      <c r="JB110" s="68"/>
      <c r="JC110" s="68"/>
      <c r="JD110" s="68"/>
      <c r="JE110" s="68"/>
      <c r="JF110" s="68"/>
      <c r="JG110" s="68"/>
      <c r="JH110" s="68"/>
      <c r="JI110" s="68"/>
      <c r="JJ110" s="68"/>
      <c r="JK110" s="68"/>
      <c r="JL110" s="68"/>
      <c r="JM110" s="68"/>
      <c r="JN110" s="68"/>
      <c r="JO110" s="68"/>
      <c r="JP110" s="68"/>
      <c r="JQ110" s="68"/>
      <c r="JR110" s="68"/>
      <c r="JS110" s="68"/>
      <c r="JT110" s="68"/>
      <c r="JU110" s="68"/>
      <c r="JV110" s="68"/>
      <c r="JW110" s="68"/>
      <c r="JX110" s="68"/>
      <c r="JY110" s="68"/>
      <c r="JZ110" s="68"/>
      <c r="KA110" s="68"/>
      <c r="KB110" s="68"/>
      <c r="KC110" s="68"/>
      <c r="KD110" s="68"/>
      <c r="KE110" s="68"/>
      <c r="KF110" s="68"/>
      <c r="KG110" s="68"/>
      <c r="KH110" s="68"/>
      <c r="KI110" s="68"/>
      <c r="KJ110" s="68"/>
      <c r="KK110" s="68"/>
      <c r="KL110" s="68"/>
      <c r="KM110" s="68"/>
      <c r="KN110" s="68"/>
      <c r="KO110" s="68"/>
      <c r="KP110" s="68"/>
      <c r="KQ110" s="68"/>
      <c r="KR110" s="68"/>
      <c r="KS110" s="68"/>
      <c r="KT110" s="68"/>
      <c r="KU110" s="68"/>
      <c r="KV110" s="68"/>
      <c r="KW110" s="68"/>
      <c r="KX110" s="68"/>
      <c r="KY110" s="68"/>
      <c r="KZ110" s="68"/>
      <c r="LA110" s="68"/>
      <c r="LB110" s="68"/>
      <c r="LC110" s="68"/>
      <c r="LD110" s="68"/>
      <c r="LE110" s="68"/>
      <c r="LF110" s="68"/>
      <c r="LG110" s="68"/>
      <c r="LH110" s="68"/>
      <c r="LI110" s="68"/>
      <c r="LJ110" s="68"/>
      <c r="LK110" s="68"/>
      <c r="LL110" s="68"/>
      <c r="LM110" s="68"/>
      <c r="LN110" s="68"/>
      <c r="LO110" s="68"/>
      <c r="LP110" s="68"/>
      <c r="LQ110" s="68"/>
      <c r="LR110" s="68"/>
      <c r="LS110" s="68"/>
      <c r="LT110" s="68"/>
      <c r="LU110" s="68"/>
      <c r="LV110" s="68"/>
      <c r="LW110" s="68"/>
      <c r="LX110" s="68"/>
      <c r="LY110" s="68"/>
      <c r="LZ110" s="68"/>
      <c r="MA110" s="68"/>
      <c r="MB110" s="68"/>
      <c r="MC110" s="68"/>
      <c r="MD110" s="68"/>
      <c r="ME110" s="68"/>
      <c r="MF110" s="68"/>
      <c r="MG110" s="68"/>
      <c r="MH110" s="68"/>
      <c r="MI110" s="68"/>
      <c r="MJ110" s="68"/>
      <c r="MK110" s="68"/>
      <c r="ML110" s="68"/>
      <c r="MM110" s="68"/>
      <c r="MN110" s="68"/>
      <c r="MO110" s="68"/>
      <c r="MP110" s="68"/>
      <c r="MQ110" s="68"/>
      <c r="MR110" s="68"/>
      <c r="MS110" s="68"/>
      <c r="MT110" s="68"/>
      <c r="MU110" s="68"/>
      <c r="MV110" s="68"/>
      <c r="MW110" s="68"/>
      <c r="MX110" s="68"/>
      <c r="MY110" s="68"/>
      <c r="MZ110" s="68"/>
      <c r="NA110" s="68"/>
      <c r="NB110" s="68"/>
      <c r="NC110" s="68"/>
      <c r="ND110" s="68"/>
      <c r="NE110" s="68"/>
      <c r="NF110" s="68"/>
      <c r="NG110" s="68"/>
      <c r="NH110" s="68"/>
      <c r="NI110" s="68"/>
      <c r="NJ110" s="68"/>
      <c r="NK110" s="68"/>
      <c r="NL110" s="68"/>
      <c r="NM110" s="68"/>
      <c r="NN110" s="68"/>
      <c r="NO110" s="68"/>
      <c r="NP110" s="68"/>
      <c r="NQ110" s="68"/>
      <c r="NR110" s="68"/>
      <c r="NS110" s="68"/>
      <c r="NT110" s="68"/>
      <c r="NU110" s="68"/>
      <c r="NV110" s="68"/>
      <c r="NW110" s="68"/>
      <c r="NX110" s="68"/>
      <c r="NY110" s="68"/>
      <c r="NZ110" s="68"/>
      <c r="OA110" s="68"/>
      <c r="OB110" s="68"/>
      <c r="OC110" s="68"/>
      <c r="OD110" s="68"/>
      <c r="OE110" s="68"/>
      <c r="OF110" s="68"/>
      <c r="OG110" s="68"/>
      <c r="OH110" s="68"/>
      <c r="OI110" s="68"/>
      <c r="OJ110" s="68"/>
      <c r="OK110" s="68"/>
      <c r="OL110" s="68"/>
      <c r="OM110" s="68"/>
      <c r="ON110" s="68"/>
      <c r="OO110" s="68"/>
      <c r="OP110" s="68"/>
      <c r="OQ110" s="68"/>
      <c r="OR110" s="68"/>
      <c r="OS110" s="68"/>
      <c r="OT110" s="68"/>
      <c r="OU110" s="68"/>
      <c r="OV110" s="68"/>
      <c r="OW110" s="68"/>
      <c r="OX110" s="68"/>
      <c r="OY110" s="68"/>
      <c r="OZ110" s="68"/>
      <c r="PA110" s="68"/>
      <c r="PB110" s="68"/>
      <c r="PC110" s="68"/>
      <c r="PD110" s="68"/>
      <c r="PE110" s="68"/>
      <c r="PF110" s="68"/>
      <c r="PG110" s="68"/>
      <c r="PH110" s="68"/>
      <c r="PI110" s="68"/>
      <c r="PJ110" s="68"/>
      <c r="PK110" s="68"/>
      <c r="PL110" s="68"/>
      <c r="PM110" s="68"/>
      <c r="PN110" s="68"/>
      <c r="PO110" s="68"/>
      <c r="PP110" s="68"/>
      <c r="PQ110" s="68"/>
      <c r="PR110" s="68"/>
      <c r="PS110" s="68"/>
      <c r="PT110" s="68"/>
      <c r="PU110" s="68"/>
      <c r="PV110" s="68"/>
      <c r="PW110" s="68"/>
      <c r="PX110" s="68"/>
      <c r="PY110" s="68"/>
      <c r="PZ110" s="68"/>
      <c r="QA110" s="68"/>
      <c r="QB110" s="68"/>
      <c r="QC110" s="68"/>
      <c r="QD110" s="68"/>
      <c r="QE110" s="68"/>
      <c r="QF110" s="68"/>
      <c r="QG110" s="68"/>
      <c r="QH110" s="68"/>
      <c r="QI110" s="68"/>
      <c r="QJ110" s="68"/>
      <c r="QK110" s="68"/>
      <c r="QL110" s="68"/>
      <c r="QM110" s="68"/>
      <c r="QN110" s="68"/>
      <c r="QO110" s="68"/>
      <c r="QP110" s="68"/>
      <c r="QQ110" s="68"/>
      <c r="QR110" s="68"/>
      <c r="QS110" s="68"/>
      <c r="QT110" s="68"/>
      <c r="QU110" s="68"/>
      <c r="QV110" s="68"/>
      <c r="QW110" s="68"/>
      <c r="QX110" s="68"/>
      <c r="QY110" s="68"/>
      <c r="QZ110" s="68"/>
      <c r="RA110" s="68"/>
      <c r="RB110" s="68"/>
      <c r="RC110" s="68"/>
      <c r="RD110" s="68"/>
      <c r="RE110" s="68"/>
      <c r="RF110" s="68"/>
      <c r="RG110" s="68"/>
      <c r="RH110" s="68"/>
      <c r="RI110" s="68"/>
      <c r="RJ110" s="68"/>
      <c r="RK110" s="68"/>
      <c r="RL110" s="68"/>
      <c r="RM110" s="68"/>
      <c r="RN110" s="68"/>
      <c r="RO110" s="68"/>
      <c r="RP110" s="68"/>
      <c r="RQ110" s="68"/>
      <c r="RR110" s="68"/>
      <c r="RS110" s="68"/>
      <c r="RT110" s="68"/>
      <c r="RU110" s="68"/>
      <c r="RV110" s="68"/>
      <c r="RW110" s="68"/>
      <c r="RX110" s="68"/>
      <c r="RY110" s="68"/>
      <c r="RZ110" s="68"/>
      <c r="SA110" s="68"/>
      <c r="SB110" s="68"/>
      <c r="SC110" s="68"/>
      <c r="SD110" s="68"/>
      <c r="SE110" s="68"/>
      <c r="SF110" s="68"/>
      <c r="SG110" s="68"/>
      <c r="SH110" s="68"/>
      <c r="SI110" s="68"/>
      <c r="SJ110" s="68"/>
      <c r="SK110" s="68"/>
      <c r="SL110" s="68"/>
      <c r="SM110" s="68"/>
      <c r="SN110" s="68"/>
      <c r="SO110" s="68"/>
      <c r="SP110" s="68"/>
      <c r="SQ110" s="68"/>
      <c r="SR110" s="68"/>
      <c r="SS110" s="68"/>
      <c r="ST110" s="68"/>
      <c r="SU110" s="68"/>
      <c r="SV110" s="68"/>
      <c r="SW110" s="68"/>
      <c r="SX110" s="68"/>
      <c r="SY110" s="68"/>
      <c r="SZ110" s="68"/>
      <c r="TA110" s="68"/>
      <c r="TB110" s="68"/>
      <c r="TC110" s="68"/>
      <c r="TD110" s="68"/>
      <c r="TE110" s="68"/>
      <c r="TF110" s="68"/>
      <c r="TG110" s="68"/>
      <c r="TH110" s="68"/>
      <c r="TI110" s="68"/>
      <c r="TJ110" s="68"/>
      <c r="TK110" s="68"/>
      <c r="TL110" s="68"/>
      <c r="TM110" s="68"/>
      <c r="TN110" s="68"/>
      <c r="TO110" s="68"/>
      <c r="TP110" s="68"/>
      <c r="TQ110" s="68"/>
      <c r="TR110" s="68"/>
      <c r="TS110" s="68"/>
      <c r="TT110" s="68"/>
      <c r="TU110" s="68"/>
      <c r="TV110" s="68"/>
      <c r="TW110" s="68"/>
      <c r="TX110" s="68"/>
      <c r="TY110" s="68"/>
      <c r="TZ110" s="68"/>
      <c r="UA110" s="68"/>
      <c r="UB110" s="68"/>
      <c r="UC110" s="68"/>
      <c r="UD110" s="68"/>
      <c r="UE110" s="68"/>
      <c r="UF110" s="68"/>
      <c r="UG110" s="68"/>
      <c r="UH110" s="68"/>
      <c r="UI110" s="68"/>
      <c r="UJ110" s="68"/>
      <c r="UK110" s="68"/>
      <c r="UL110" s="68"/>
      <c r="UM110" s="68"/>
      <c r="UN110" s="68"/>
      <c r="UO110" s="68"/>
      <c r="UP110" s="68"/>
      <c r="UQ110" s="68"/>
      <c r="UR110" s="68"/>
      <c r="US110" s="68"/>
      <c r="UT110" s="68"/>
      <c r="UU110" s="68"/>
      <c r="UV110" s="68"/>
      <c r="UW110" s="68"/>
      <c r="UX110" s="68"/>
      <c r="UY110" s="68"/>
      <c r="UZ110" s="68"/>
      <c r="VA110" s="68"/>
      <c r="VB110" s="68"/>
      <c r="VC110" s="68"/>
      <c r="VD110" s="68"/>
      <c r="VE110" s="68"/>
      <c r="VF110" s="68"/>
      <c r="VG110" s="68"/>
      <c r="VH110" s="68"/>
      <c r="VI110" s="68"/>
      <c r="VJ110" s="68"/>
      <c r="VK110" s="68"/>
      <c r="VL110" s="68"/>
      <c r="VM110" s="68"/>
      <c r="VN110" s="68"/>
      <c r="VO110" s="68"/>
      <c r="VP110" s="68"/>
      <c r="VQ110" s="68"/>
      <c r="VR110" s="68"/>
      <c r="VS110" s="68"/>
      <c r="VT110" s="68"/>
      <c r="VU110" s="68"/>
      <c r="VV110" s="68"/>
      <c r="VW110" s="68"/>
      <c r="VX110" s="68"/>
      <c r="VY110" s="68"/>
      <c r="VZ110" s="68"/>
      <c r="WA110" s="68"/>
      <c r="WB110" s="68"/>
      <c r="WC110" s="68"/>
      <c r="WD110" s="68"/>
      <c r="WE110" s="68"/>
      <c r="WF110" s="68"/>
      <c r="WG110" s="68"/>
      <c r="WH110" s="68"/>
      <c r="WI110" s="68"/>
      <c r="WJ110" s="68"/>
      <c r="WK110" s="68"/>
      <c r="WL110" s="68"/>
      <c r="WM110" s="68"/>
      <c r="WN110" s="68"/>
      <c r="WO110" s="68"/>
      <c r="WP110" s="68"/>
      <c r="WQ110" s="68"/>
      <c r="WR110" s="68"/>
      <c r="WS110" s="68"/>
      <c r="WT110" s="68"/>
      <c r="WU110" s="68"/>
      <c r="WV110" s="68"/>
      <c r="WW110" s="68"/>
      <c r="WX110" s="68"/>
      <c r="WY110" s="68"/>
      <c r="WZ110" s="68"/>
      <c r="XA110" s="68"/>
      <c r="XB110" s="68"/>
      <c r="XC110" s="68"/>
      <c r="XD110" s="68"/>
      <c r="XE110" s="68"/>
      <c r="XF110" s="68"/>
      <c r="XG110" s="68"/>
      <c r="XH110" s="68"/>
      <c r="XI110" s="68"/>
      <c r="XJ110" s="68"/>
      <c r="XK110" s="68"/>
      <c r="XL110" s="68"/>
      <c r="XM110" s="68"/>
      <c r="XN110" s="68"/>
      <c r="XO110" s="68"/>
      <c r="XP110" s="68"/>
      <c r="XQ110" s="68"/>
      <c r="XR110" s="68"/>
      <c r="XS110" s="68"/>
      <c r="XT110" s="68"/>
      <c r="XU110" s="68"/>
      <c r="XV110" s="68"/>
      <c r="XW110" s="68"/>
      <c r="XX110" s="68"/>
      <c r="XY110" s="68"/>
      <c r="XZ110" s="68"/>
      <c r="YA110" s="68"/>
      <c r="YB110" s="68"/>
      <c r="YC110" s="68"/>
      <c r="YD110" s="68"/>
      <c r="YE110" s="68"/>
      <c r="YF110" s="68"/>
      <c r="YG110" s="68"/>
      <c r="YH110" s="68"/>
      <c r="YI110" s="68"/>
      <c r="YJ110" s="68"/>
      <c r="YK110" s="68"/>
      <c r="YL110" s="68"/>
      <c r="YM110" s="68"/>
      <c r="YN110" s="68"/>
      <c r="YO110" s="68"/>
      <c r="YP110" s="68"/>
      <c r="YQ110" s="68"/>
      <c r="YR110" s="68"/>
      <c r="YS110" s="68"/>
      <c r="YT110" s="68"/>
      <c r="YU110" s="68"/>
      <c r="YV110" s="68"/>
      <c r="YW110" s="68"/>
      <c r="YX110" s="68"/>
      <c r="YY110" s="68"/>
      <c r="YZ110" s="68"/>
      <c r="ZA110" s="68"/>
      <c r="ZB110" s="68"/>
      <c r="ZC110" s="68"/>
      <c r="ZD110" s="68"/>
      <c r="ZE110" s="68"/>
      <c r="ZF110" s="68"/>
      <c r="ZG110" s="68"/>
      <c r="ZH110" s="68"/>
      <c r="ZI110" s="68"/>
      <c r="ZJ110" s="68"/>
      <c r="ZK110" s="68"/>
      <c r="ZL110" s="68"/>
      <c r="ZM110" s="68"/>
      <c r="ZN110" s="68"/>
      <c r="ZO110" s="68"/>
      <c r="ZP110" s="68"/>
      <c r="ZQ110" s="68"/>
      <c r="ZR110" s="68"/>
      <c r="ZS110" s="68"/>
      <c r="ZT110" s="68"/>
      <c r="ZU110" s="68"/>
      <c r="ZV110" s="68"/>
      <c r="ZW110" s="68"/>
      <c r="ZX110" s="68"/>
      <c r="ZY110" s="68"/>
      <c r="ZZ110" s="68"/>
      <c r="AAA110" s="68"/>
      <c r="AAB110" s="68"/>
      <c r="AAC110" s="68"/>
      <c r="AAD110" s="68"/>
      <c r="AAE110" s="68"/>
      <c r="AAF110" s="68"/>
      <c r="AAG110" s="68"/>
      <c r="AAH110" s="68"/>
      <c r="AAI110" s="68"/>
      <c r="AAJ110" s="68"/>
      <c r="AAK110" s="68"/>
      <c r="AAL110" s="68"/>
      <c r="AAM110" s="68"/>
      <c r="AAN110" s="68"/>
      <c r="AAO110" s="68"/>
      <c r="AAP110" s="68"/>
      <c r="AAQ110" s="68"/>
      <c r="AAR110" s="68"/>
      <c r="AAS110" s="68"/>
      <c r="AAT110" s="68"/>
      <c r="AAU110" s="68"/>
      <c r="AAV110" s="68"/>
      <c r="AAW110" s="68"/>
      <c r="AAX110" s="68"/>
      <c r="AAY110" s="68"/>
      <c r="AAZ110" s="68"/>
      <c r="ABA110" s="68"/>
      <c r="ABB110" s="68"/>
      <c r="ABC110" s="68"/>
      <c r="ABD110" s="68"/>
      <c r="ABE110" s="68"/>
      <c r="ABF110" s="68"/>
      <c r="ABG110" s="68"/>
      <c r="ABH110" s="68"/>
      <c r="ABI110" s="68"/>
      <c r="ABJ110" s="68"/>
      <c r="ABK110" s="68"/>
      <c r="ABL110" s="68"/>
      <c r="ABM110" s="68"/>
      <c r="ABN110" s="68"/>
      <c r="ABO110" s="68"/>
      <c r="ABP110" s="68"/>
      <c r="ABQ110" s="68"/>
      <c r="ABR110" s="68"/>
      <c r="ABS110" s="68"/>
      <c r="ABT110" s="68"/>
      <c r="ABU110" s="68"/>
      <c r="ABV110" s="68"/>
      <c r="ABW110" s="68"/>
      <c r="ABX110" s="68"/>
      <c r="ABY110" s="68"/>
      <c r="ABZ110" s="68"/>
      <c r="ACA110" s="68"/>
      <c r="ACB110" s="68"/>
      <c r="ACC110" s="68"/>
      <c r="ACD110" s="68"/>
      <c r="ACE110" s="68"/>
      <c r="ACF110" s="68"/>
      <c r="ACG110" s="68"/>
      <c r="ACH110" s="68"/>
      <c r="ACI110" s="68"/>
      <c r="ACJ110" s="68"/>
      <c r="ACK110" s="68"/>
      <c r="ACL110" s="68"/>
      <c r="ACM110" s="68"/>
      <c r="ACN110" s="68"/>
      <c r="ACO110" s="68"/>
      <c r="ACP110" s="68"/>
      <c r="ACQ110" s="68"/>
      <c r="ACR110" s="68"/>
      <c r="ACS110" s="68"/>
      <c r="ACT110" s="68"/>
      <c r="ACU110" s="68"/>
      <c r="ACV110" s="68"/>
      <c r="ACW110" s="68"/>
      <c r="ACX110" s="68"/>
      <c r="ACY110" s="68"/>
      <c r="ACZ110" s="68"/>
      <c r="ADA110" s="68"/>
      <c r="ADB110" s="68"/>
      <c r="ADC110" s="68"/>
      <c r="ADD110" s="68"/>
      <c r="ADE110" s="68"/>
      <c r="ADF110" s="68"/>
      <c r="ADG110" s="68"/>
      <c r="ADH110" s="68"/>
      <c r="ADI110" s="68"/>
      <c r="ADJ110" s="68"/>
      <c r="ADK110" s="68"/>
      <c r="ADL110" s="68"/>
      <c r="ADM110" s="68"/>
      <c r="ADN110" s="68"/>
      <c r="ADO110" s="68"/>
      <c r="ADP110" s="68"/>
      <c r="ADQ110" s="68"/>
      <c r="ADR110" s="68"/>
      <c r="ADS110" s="68"/>
      <c r="ADT110" s="68"/>
      <c r="ADU110" s="68"/>
      <c r="ADV110" s="68"/>
      <c r="ADW110" s="68"/>
      <c r="ADX110" s="68"/>
      <c r="ADY110" s="68"/>
      <c r="ADZ110" s="68"/>
      <c r="AEA110" s="68"/>
      <c r="AEB110" s="68"/>
      <c r="AEC110" s="68"/>
      <c r="AED110" s="68"/>
      <c r="AEE110" s="68"/>
      <c r="AEF110" s="68"/>
      <c r="AEG110" s="68"/>
      <c r="AEH110" s="68"/>
      <c r="AEI110" s="68"/>
      <c r="AEJ110" s="68"/>
      <c r="AEK110" s="68"/>
      <c r="AEL110" s="68"/>
      <c r="AEM110" s="68"/>
      <c r="AEN110" s="68"/>
      <c r="AEO110" s="68"/>
      <c r="AEP110" s="68"/>
      <c r="AEQ110" s="68"/>
      <c r="AER110" s="68"/>
      <c r="AES110" s="68"/>
      <c r="AET110" s="68"/>
      <c r="AEU110" s="68"/>
      <c r="AEV110" s="68"/>
      <c r="AEW110" s="68"/>
      <c r="AEX110" s="68"/>
      <c r="AEY110" s="68"/>
      <c r="AEZ110" s="68"/>
      <c r="AFA110" s="68"/>
      <c r="AFB110" s="68"/>
      <c r="AFC110" s="68"/>
      <c r="AFD110" s="68"/>
      <c r="AFE110" s="68"/>
      <c r="AFF110" s="68"/>
      <c r="AFG110" s="68"/>
      <c r="AFH110" s="68"/>
      <c r="AFI110" s="68"/>
      <c r="AFJ110" s="68"/>
      <c r="AFK110" s="68"/>
      <c r="AFL110" s="68"/>
      <c r="AFM110" s="68"/>
      <c r="AFN110" s="68"/>
      <c r="AFO110" s="68"/>
      <c r="AFP110" s="68"/>
      <c r="AFQ110" s="68"/>
      <c r="AFR110" s="68"/>
      <c r="AFS110" s="68"/>
      <c r="AFT110" s="68"/>
      <c r="AFU110" s="68"/>
      <c r="AFV110" s="68"/>
      <c r="AFW110" s="68"/>
      <c r="AFX110" s="68"/>
      <c r="AFY110" s="68"/>
      <c r="AFZ110" s="68"/>
      <c r="AGA110" s="68"/>
      <c r="AGB110" s="68"/>
      <c r="AGC110" s="68"/>
      <c r="AGD110" s="68"/>
      <c r="AGE110" s="68"/>
      <c r="AGF110" s="68"/>
      <c r="AGG110" s="68"/>
      <c r="AGH110" s="68"/>
      <c r="AGI110" s="68"/>
      <c r="AGJ110" s="68"/>
      <c r="AGK110" s="68"/>
      <c r="AGL110" s="68"/>
      <c r="AGM110" s="68"/>
      <c r="AGN110" s="68"/>
      <c r="AGO110" s="68"/>
      <c r="AGP110" s="68"/>
      <c r="AGQ110" s="68"/>
      <c r="AGR110" s="68"/>
      <c r="AGS110" s="68"/>
      <c r="AGT110" s="68"/>
      <c r="AGU110" s="68"/>
      <c r="AGV110" s="68"/>
      <c r="AGW110" s="68"/>
      <c r="AGX110" s="68"/>
      <c r="AGY110" s="68"/>
      <c r="AGZ110" s="68"/>
      <c r="AHA110" s="68"/>
      <c r="AHB110" s="68"/>
      <c r="AHC110" s="68"/>
      <c r="AHD110" s="68"/>
      <c r="AHE110" s="68"/>
      <c r="AHF110" s="68"/>
      <c r="AHG110" s="68"/>
      <c r="AHH110" s="68"/>
      <c r="AHI110" s="68"/>
      <c r="AHJ110" s="68"/>
      <c r="AHK110" s="68"/>
      <c r="AHL110" s="68"/>
      <c r="AHM110" s="68"/>
      <c r="AHN110" s="68"/>
      <c r="AHO110" s="68"/>
      <c r="AHP110" s="68"/>
      <c r="AHQ110" s="68"/>
      <c r="AHR110" s="68"/>
      <c r="AHS110" s="68"/>
      <c r="AHT110" s="68"/>
      <c r="AHU110" s="68"/>
      <c r="AHV110" s="68"/>
      <c r="AHW110" s="68"/>
      <c r="AHX110" s="68"/>
      <c r="AHY110" s="68"/>
      <c r="AHZ110" s="68"/>
      <c r="AIA110" s="68"/>
      <c r="AIB110" s="68"/>
      <c r="AIC110" s="68"/>
      <c r="AID110" s="68"/>
      <c r="AIE110" s="68"/>
      <c r="AIF110" s="68"/>
      <c r="AIG110" s="68"/>
      <c r="AIH110" s="68"/>
      <c r="AII110" s="68"/>
      <c r="AIJ110" s="68"/>
      <c r="AIK110" s="68"/>
      <c r="AIL110" s="68"/>
      <c r="AIM110" s="68"/>
      <c r="AIN110" s="68"/>
      <c r="AIO110" s="68"/>
      <c r="AIP110" s="68"/>
      <c r="AIQ110" s="68"/>
      <c r="AIR110" s="68"/>
      <c r="AIS110" s="68"/>
      <c r="AIT110" s="68"/>
      <c r="AIU110" s="68"/>
      <c r="AIV110" s="68"/>
      <c r="AIW110" s="68"/>
      <c r="AIX110" s="68"/>
      <c r="AIY110" s="68"/>
      <c r="AIZ110" s="68"/>
      <c r="AJA110" s="68"/>
      <c r="AJB110" s="68"/>
      <c r="AJC110" s="68"/>
      <c r="AJD110" s="68"/>
      <c r="AJE110" s="68"/>
      <c r="AJF110" s="68"/>
      <c r="AJG110" s="68"/>
      <c r="AJH110" s="68"/>
      <c r="AJI110" s="68"/>
      <c r="AJJ110" s="68"/>
      <c r="AJK110" s="68"/>
      <c r="AJL110" s="68"/>
      <c r="AJM110" s="68"/>
      <c r="AJN110" s="68"/>
      <c r="AJO110" s="68"/>
      <c r="AJP110" s="68"/>
      <c r="AJQ110" s="68"/>
      <c r="AJR110" s="68"/>
      <c r="AJS110" s="68"/>
      <c r="AJT110" s="68"/>
      <c r="AJU110" s="68"/>
      <c r="AJV110" s="68"/>
      <c r="AJW110" s="68"/>
      <c r="AJX110" s="68"/>
      <c r="AJY110" s="68"/>
      <c r="AJZ110" s="68"/>
      <c r="AKA110" s="68"/>
      <c r="AKB110" s="68"/>
      <c r="AKC110" s="68"/>
      <c r="AKD110" s="68"/>
      <c r="AKE110" s="68"/>
      <c r="AKF110" s="68"/>
      <c r="AKG110" s="68"/>
      <c r="AKH110" s="68"/>
      <c r="AKI110" s="68"/>
      <c r="AKJ110" s="68"/>
      <c r="AKK110" s="68"/>
      <c r="AKL110" s="68"/>
      <c r="AKM110" s="68"/>
      <c r="AKN110" s="68"/>
      <c r="AKO110" s="68"/>
      <c r="AKP110" s="68"/>
      <c r="AKQ110" s="68"/>
      <c r="AKR110" s="68"/>
      <c r="AKS110" s="68"/>
      <c r="AKT110" s="68"/>
      <c r="AKU110" s="68"/>
      <c r="AKV110" s="68"/>
      <c r="AKW110" s="68"/>
      <c r="AKX110" s="68"/>
      <c r="AKY110" s="68"/>
      <c r="AKZ110" s="68"/>
      <c r="ALA110" s="68"/>
      <c r="ALB110" s="68"/>
      <c r="ALC110" s="68"/>
      <c r="ALD110" s="68"/>
      <c r="ALE110" s="68"/>
      <c r="ALF110" s="68"/>
      <c r="ALG110" s="68"/>
      <c r="ALH110" s="68"/>
      <c r="ALI110" s="68"/>
      <c r="ALJ110" s="68"/>
      <c r="ALK110" s="68"/>
      <c r="ALL110" s="68"/>
      <c r="ALM110" s="68"/>
      <c r="ALN110" s="68"/>
      <c r="ALO110" s="68"/>
      <c r="ALP110" s="68"/>
      <c r="ALQ110" s="68"/>
      <c r="ALR110" s="68"/>
      <c r="ALS110" s="68"/>
      <c r="ALT110" s="68"/>
      <c r="ALU110" s="68"/>
      <c r="ALV110" s="68"/>
      <c r="ALW110" s="68"/>
      <c r="ALX110" s="68"/>
      <c r="ALY110" s="68"/>
      <c r="ALZ110" s="68"/>
      <c r="AMA110" s="68"/>
      <c r="AMB110" s="68"/>
      <c r="AMC110" s="68"/>
      <c r="AMD110" s="68"/>
      <c r="AME110" s="68"/>
      <c r="AMF110" s="68"/>
      <c r="AMG110" s="68"/>
      <c r="AMH110" s="68"/>
      <c r="AMI110" s="68"/>
      <c r="AMJ110" s="68"/>
      <c r="AMK110" s="68"/>
      <c r="AML110" s="68"/>
      <c r="AMM110" s="68"/>
      <c r="AMN110" s="68"/>
      <c r="AMO110" s="68"/>
      <c r="AMP110" s="68"/>
      <c r="AMQ110" s="68"/>
      <c r="AMR110" s="68"/>
      <c r="AMS110" s="68"/>
      <c r="AMT110" s="68"/>
      <c r="AMU110" s="68"/>
      <c r="AMV110" s="68"/>
      <c r="AMW110" s="68"/>
      <c r="AMX110" s="68"/>
      <c r="AMY110" s="68"/>
      <c r="AMZ110" s="68"/>
      <c r="ANA110" s="68"/>
      <c r="ANB110" s="68"/>
      <c r="ANC110" s="68"/>
      <c r="AND110" s="68"/>
      <c r="ANE110" s="68"/>
      <c r="ANF110" s="68"/>
      <c r="ANG110" s="68"/>
      <c r="ANH110" s="68"/>
      <c r="ANI110" s="68"/>
      <c r="ANJ110" s="68"/>
      <c r="ANK110" s="68"/>
      <c r="ANL110" s="68"/>
      <c r="ANM110" s="68"/>
      <c r="ANN110" s="68"/>
      <c r="ANO110" s="68"/>
      <c r="ANP110" s="68"/>
      <c r="ANQ110" s="68"/>
      <c r="ANR110" s="68"/>
      <c r="ANS110" s="68"/>
      <c r="ANT110" s="68"/>
      <c r="ANU110" s="68"/>
      <c r="ANV110" s="68"/>
      <c r="ANW110" s="68"/>
      <c r="ANX110" s="68"/>
      <c r="ANY110" s="68"/>
      <c r="ANZ110" s="68"/>
      <c r="AOA110" s="68"/>
      <c r="AOB110" s="68"/>
      <c r="AOC110" s="68"/>
      <c r="AOD110" s="68"/>
      <c r="AOE110" s="68"/>
      <c r="AOF110" s="68"/>
      <c r="AOG110" s="68"/>
      <c r="AOH110" s="68"/>
      <c r="AOI110" s="68"/>
      <c r="AOJ110" s="68"/>
      <c r="AOK110" s="68"/>
      <c r="AOL110" s="68"/>
      <c r="AOM110" s="68"/>
      <c r="AON110" s="68"/>
      <c r="AOO110" s="68"/>
      <c r="AOP110" s="68"/>
      <c r="AOQ110" s="68"/>
      <c r="AOR110" s="68"/>
      <c r="AOS110" s="68"/>
      <c r="AOT110" s="68"/>
      <c r="AOU110" s="68"/>
      <c r="AOV110" s="68"/>
      <c r="AOW110" s="68"/>
      <c r="AOX110" s="68"/>
      <c r="AOY110" s="68"/>
      <c r="AOZ110" s="68"/>
      <c r="APA110" s="68"/>
      <c r="APB110" s="68"/>
      <c r="APC110" s="68"/>
      <c r="APD110" s="68"/>
      <c r="APE110" s="68"/>
      <c r="APF110" s="68"/>
      <c r="APG110" s="68"/>
      <c r="APH110" s="68"/>
      <c r="API110" s="68"/>
      <c r="APJ110" s="68"/>
      <c r="APK110" s="68"/>
      <c r="APL110" s="68"/>
      <c r="APM110" s="68"/>
      <c r="APN110" s="68"/>
      <c r="APO110" s="68"/>
      <c r="APP110" s="68"/>
      <c r="APQ110" s="68"/>
      <c r="APR110" s="68"/>
      <c r="APS110" s="68"/>
      <c r="APT110" s="68"/>
      <c r="APU110" s="68"/>
      <c r="APV110" s="68"/>
      <c r="APW110" s="68"/>
      <c r="APX110" s="68"/>
      <c r="APY110" s="68"/>
      <c r="APZ110" s="68"/>
      <c r="AQA110" s="68"/>
      <c r="AQB110" s="68"/>
      <c r="AQC110" s="68"/>
      <c r="AQD110" s="68"/>
      <c r="AQE110" s="68"/>
      <c r="AQF110" s="68"/>
      <c r="AQG110" s="68"/>
      <c r="AQH110" s="68"/>
      <c r="AQI110" s="68"/>
      <c r="AQJ110" s="68"/>
      <c r="AQK110" s="68"/>
      <c r="AQL110" s="68"/>
      <c r="AQM110" s="68"/>
      <c r="AQN110" s="68"/>
      <c r="AQO110" s="68"/>
      <c r="AQP110" s="68"/>
      <c r="AQQ110" s="68"/>
      <c r="AQR110" s="68"/>
      <c r="AQS110" s="68"/>
      <c r="AQT110" s="68"/>
      <c r="AQU110" s="68"/>
      <c r="AQV110" s="68"/>
      <c r="AQW110" s="68"/>
      <c r="AQX110" s="68"/>
      <c r="AQY110" s="68"/>
      <c r="AQZ110" s="68"/>
      <c r="ARA110" s="68"/>
      <c r="ARB110" s="68"/>
      <c r="ARC110" s="68"/>
      <c r="ARD110" s="68"/>
      <c r="ARE110" s="68"/>
      <c r="ARF110" s="68"/>
      <c r="ARG110" s="68"/>
      <c r="ARH110" s="68"/>
      <c r="ARI110" s="68"/>
      <c r="ARJ110" s="68"/>
      <c r="ARK110" s="68"/>
      <c r="ARL110" s="68"/>
      <c r="ARM110" s="68"/>
      <c r="ARN110" s="68"/>
      <c r="ARO110" s="68"/>
      <c r="ARP110" s="68"/>
      <c r="ARQ110" s="68"/>
      <c r="ARR110" s="68"/>
      <c r="ARS110" s="68"/>
      <c r="ART110" s="68"/>
      <c r="ARU110" s="68"/>
      <c r="ARV110" s="68"/>
      <c r="ARW110" s="68"/>
      <c r="ARX110" s="68"/>
      <c r="ARY110" s="68"/>
      <c r="ARZ110" s="68"/>
      <c r="ASA110" s="68"/>
      <c r="ASB110" s="68"/>
      <c r="ASC110" s="68"/>
      <c r="ASD110" s="68"/>
      <c r="ASE110" s="68"/>
      <c r="ASF110" s="68"/>
      <c r="ASG110" s="68"/>
      <c r="ASH110" s="68"/>
      <c r="ASI110" s="68"/>
      <c r="ASJ110" s="68"/>
      <c r="ASK110" s="68"/>
      <c r="ASL110" s="68"/>
      <c r="ASM110" s="68"/>
      <c r="ASN110" s="68"/>
      <c r="ASO110" s="68"/>
      <c r="ASP110" s="68"/>
      <c r="ASQ110" s="68"/>
      <c r="ASR110" s="68"/>
      <c r="ASS110" s="68"/>
      <c r="AST110" s="68"/>
      <c r="ASU110" s="68"/>
      <c r="ASV110" s="68"/>
      <c r="ASW110" s="68"/>
      <c r="ASX110" s="68"/>
      <c r="ASY110" s="68"/>
      <c r="ASZ110" s="68"/>
      <c r="ATA110" s="68"/>
      <c r="ATB110" s="68"/>
      <c r="ATC110" s="68"/>
      <c r="ATD110" s="68"/>
      <c r="ATE110" s="68"/>
      <c r="ATF110" s="68"/>
      <c r="ATG110" s="68"/>
      <c r="ATH110" s="68"/>
      <c r="ATI110" s="68"/>
      <c r="ATJ110" s="68"/>
      <c r="ATK110" s="68"/>
      <c r="ATL110" s="68"/>
      <c r="ATM110" s="68"/>
      <c r="ATN110" s="68"/>
      <c r="ATO110" s="68"/>
      <c r="ATP110" s="68"/>
      <c r="ATQ110" s="68"/>
      <c r="ATR110" s="68"/>
      <c r="ATS110" s="68"/>
      <c r="ATT110" s="68"/>
      <c r="ATU110" s="68"/>
      <c r="ATV110" s="68"/>
      <c r="ATW110" s="68"/>
      <c r="ATX110" s="68"/>
      <c r="ATY110" s="68"/>
      <c r="ATZ110" s="68"/>
      <c r="AUA110" s="68"/>
      <c r="AUB110" s="68"/>
      <c r="AUC110" s="68"/>
      <c r="AUD110" s="68"/>
      <c r="AUE110" s="68"/>
      <c r="AUF110" s="68"/>
      <c r="AUG110" s="68"/>
      <c r="AUH110" s="68"/>
      <c r="AUI110" s="68"/>
      <c r="AUJ110" s="68"/>
      <c r="AUK110" s="68"/>
      <c r="AUL110" s="68"/>
      <c r="AUM110" s="68"/>
      <c r="AUN110" s="68"/>
      <c r="AUO110" s="68"/>
      <c r="AUP110" s="68"/>
      <c r="AUQ110" s="68"/>
      <c r="AUR110" s="68"/>
      <c r="AUS110" s="68"/>
      <c r="AUT110" s="68"/>
      <c r="AUU110" s="68"/>
      <c r="AUV110" s="68"/>
      <c r="AUW110" s="68"/>
      <c r="AUX110" s="68"/>
      <c r="AUY110" s="68"/>
      <c r="AUZ110" s="68"/>
      <c r="AVA110" s="68"/>
      <c r="AVB110" s="68"/>
      <c r="AVC110" s="68"/>
      <c r="AVD110" s="68"/>
      <c r="AVE110" s="68"/>
      <c r="AVF110" s="68"/>
      <c r="AVG110" s="68"/>
      <c r="AVH110" s="68"/>
      <c r="AVI110" s="68"/>
      <c r="AVJ110" s="68"/>
      <c r="AVK110" s="68"/>
      <c r="AVL110" s="68"/>
      <c r="AVM110" s="68"/>
      <c r="AVN110" s="68"/>
      <c r="AVO110" s="68"/>
      <c r="AVP110" s="68"/>
      <c r="AVQ110" s="68"/>
      <c r="AVR110" s="68"/>
      <c r="AVS110" s="68"/>
      <c r="AVT110" s="68"/>
      <c r="AVU110" s="68"/>
      <c r="AVV110" s="68"/>
      <c r="AVW110" s="68"/>
      <c r="AVX110" s="68"/>
      <c r="AVY110" s="68"/>
      <c r="AVZ110" s="68"/>
      <c r="AWA110" s="68"/>
      <c r="AWB110" s="68"/>
      <c r="AWC110" s="68"/>
      <c r="AWD110" s="68"/>
      <c r="AWE110" s="68"/>
      <c r="AWF110" s="68"/>
      <c r="AWG110" s="68"/>
      <c r="AWH110" s="68"/>
      <c r="AWI110" s="68"/>
      <c r="AWJ110" s="68"/>
      <c r="AWK110" s="68"/>
      <c r="AWL110" s="68"/>
      <c r="AWM110" s="68"/>
      <c r="AWN110" s="68"/>
      <c r="AWO110" s="68"/>
      <c r="AWP110" s="68"/>
      <c r="AWQ110" s="68"/>
      <c r="AWR110" s="68"/>
      <c r="AWS110" s="68"/>
      <c r="AWT110" s="68"/>
      <c r="AWU110" s="68"/>
      <c r="AWV110" s="68"/>
      <c r="AWW110" s="68"/>
      <c r="AWX110" s="68"/>
      <c r="AWY110" s="68"/>
      <c r="AWZ110" s="68"/>
      <c r="AXA110" s="68"/>
      <c r="AXB110" s="68"/>
      <c r="AXC110" s="68"/>
      <c r="AXD110" s="68"/>
      <c r="AXE110" s="68"/>
      <c r="AXF110" s="68"/>
      <c r="AXG110" s="68"/>
      <c r="AXH110" s="68"/>
      <c r="AXI110" s="68"/>
      <c r="AXJ110" s="68"/>
      <c r="AXK110" s="68"/>
      <c r="AXL110" s="68"/>
      <c r="AXM110" s="68"/>
      <c r="AXN110" s="68"/>
      <c r="AXO110" s="68"/>
      <c r="AXP110" s="68"/>
      <c r="AXQ110" s="68"/>
      <c r="AXR110" s="68"/>
      <c r="AXS110" s="68"/>
      <c r="AXT110" s="68"/>
      <c r="AXU110" s="68"/>
      <c r="AXV110" s="68"/>
      <c r="AXW110" s="68"/>
      <c r="AXX110" s="68"/>
      <c r="AXY110" s="68"/>
      <c r="AXZ110" s="68"/>
      <c r="AYA110" s="68"/>
      <c r="AYB110" s="68"/>
      <c r="AYC110" s="68"/>
      <c r="AYD110" s="68"/>
      <c r="AYE110" s="68"/>
      <c r="AYF110" s="68"/>
      <c r="AYG110" s="68"/>
      <c r="AYH110" s="68"/>
      <c r="AYI110" s="68"/>
      <c r="AYJ110" s="68"/>
      <c r="AYK110" s="68"/>
      <c r="AYL110" s="68"/>
      <c r="AYM110" s="68"/>
      <c r="AYN110" s="68"/>
      <c r="AYO110" s="68"/>
      <c r="AYP110" s="68"/>
      <c r="AYQ110" s="68"/>
      <c r="AYR110" s="68"/>
      <c r="AYS110" s="68"/>
      <c r="AYT110" s="68"/>
      <c r="AYU110" s="68"/>
      <c r="AYV110" s="68"/>
      <c r="AYW110" s="68"/>
      <c r="AYX110" s="68"/>
      <c r="AYY110" s="68"/>
      <c r="AYZ110" s="68"/>
      <c r="AZA110" s="68"/>
      <c r="AZB110" s="68"/>
      <c r="AZC110" s="68"/>
      <c r="AZD110" s="68"/>
      <c r="AZE110" s="68"/>
      <c r="AZF110" s="68"/>
      <c r="AZG110" s="68"/>
      <c r="AZH110" s="68"/>
      <c r="AZI110" s="68"/>
      <c r="AZJ110" s="68"/>
      <c r="AZK110" s="68"/>
      <c r="AZL110" s="68"/>
      <c r="AZM110" s="68"/>
      <c r="AZN110" s="68"/>
      <c r="AZO110" s="68"/>
      <c r="AZP110" s="68"/>
      <c r="AZQ110" s="68"/>
      <c r="AZR110" s="68"/>
      <c r="AZS110" s="68"/>
      <c r="AZT110" s="68"/>
      <c r="AZU110" s="68"/>
      <c r="AZV110" s="68"/>
      <c r="AZW110" s="68"/>
      <c r="AZX110" s="68"/>
      <c r="AZY110" s="68"/>
      <c r="AZZ110" s="68"/>
      <c r="BAA110" s="68"/>
      <c r="BAB110" s="68"/>
      <c r="BAC110" s="68"/>
      <c r="BAD110" s="68"/>
      <c r="BAE110" s="68"/>
      <c r="BAF110" s="68"/>
      <c r="BAG110" s="68"/>
      <c r="BAH110" s="68"/>
      <c r="BAI110" s="68"/>
      <c r="BAJ110" s="68"/>
      <c r="BAK110" s="68"/>
      <c r="BAL110" s="68"/>
      <c r="BAM110" s="68"/>
      <c r="BAN110" s="68"/>
      <c r="BAO110" s="68"/>
      <c r="BAP110" s="68"/>
      <c r="BAQ110" s="68"/>
      <c r="BAR110" s="68"/>
      <c r="BAS110" s="68"/>
      <c r="BAT110" s="68"/>
      <c r="BAU110" s="68"/>
      <c r="BAV110" s="68"/>
      <c r="BAW110" s="68"/>
      <c r="BAX110" s="68"/>
      <c r="BAY110" s="68"/>
      <c r="BAZ110" s="68"/>
      <c r="BBA110" s="68"/>
      <c r="BBB110" s="68"/>
      <c r="BBC110" s="68"/>
      <c r="BBD110" s="68"/>
      <c r="BBE110" s="68"/>
      <c r="BBF110" s="68"/>
      <c r="BBG110" s="68"/>
      <c r="BBH110" s="68"/>
      <c r="BBI110" s="68"/>
      <c r="BBJ110" s="68"/>
      <c r="BBK110" s="68"/>
      <c r="BBL110" s="68"/>
      <c r="BBM110" s="68"/>
      <c r="BBN110" s="68"/>
      <c r="BBO110" s="68"/>
      <c r="BBP110" s="68"/>
      <c r="BBQ110" s="68"/>
      <c r="BBR110" s="68"/>
      <c r="BBS110" s="68"/>
      <c r="BBT110" s="68"/>
      <c r="BBU110" s="68"/>
      <c r="BBV110" s="68"/>
      <c r="BBW110" s="68"/>
      <c r="BBX110" s="68"/>
      <c r="BBY110" s="68"/>
      <c r="BBZ110" s="68"/>
      <c r="BCA110" s="68"/>
      <c r="BCB110" s="68"/>
      <c r="BCC110" s="68"/>
      <c r="BCD110" s="68"/>
      <c r="BCE110" s="68"/>
      <c r="BCF110" s="68"/>
      <c r="BCG110" s="68"/>
      <c r="BCH110" s="68"/>
      <c r="BCI110" s="68"/>
      <c r="BCJ110" s="68"/>
      <c r="BCK110" s="68"/>
      <c r="BCL110" s="68"/>
      <c r="BCM110" s="68"/>
      <c r="BCN110" s="68"/>
      <c r="BCO110" s="68"/>
      <c r="BCP110" s="68"/>
      <c r="BCQ110" s="68"/>
      <c r="BCR110" s="68"/>
      <c r="BCS110" s="68"/>
      <c r="BCT110" s="68"/>
      <c r="BCU110" s="68"/>
      <c r="BCV110" s="68"/>
      <c r="BCW110" s="68"/>
      <c r="BCX110" s="68"/>
      <c r="BCY110" s="68"/>
      <c r="BCZ110" s="68"/>
      <c r="BDA110" s="68"/>
    </row>
    <row r="111" spans="1:1457" s="67" customFormat="1" ht="24.75" customHeight="1" x14ac:dyDescent="0.25">
      <c r="A111" s="49">
        <v>29</v>
      </c>
      <c r="B111" s="71" t="s">
        <v>215</v>
      </c>
      <c r="C111" s="71" t="s">
        <v>216</v>
      </c>
      <c r="D111" s="69" t="s">
        <v>708</v>
      </c>
      <c r="E111" s="71" t="s">
        <v>709</v>
      </c>
      <c r="F111" s="51">
        <v>1154859.3</v>
      </c>
      <c r="G111" s="70" t="s">
        <v>588</v>
      </c>
      <c r="H111" s="42" t="s">
        <v>586</v>
      </c>
      <c r="I111" s="71" t="s">
        <v>174</v>
      </c>
      <c r="J111" s="71"/>
      <c r="K111" s="69"/>
      <c r="L111" s="69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  <c r="BW111" s="68"/>
      <c r="BX111" s="68"/>
      <c r="BY111" s="68"/>
      <c r="BZ111" s="68"/>
      <c r="CA111" s="68"/>
      <c r="CB111" s="68"/>
      <c r="CC111" s="68"/>
      <c r="CD111" s="68"/>
      <c r="CE111" s="68"/>
      <c r="CF111" s="68"/>
      <c r="CG111" s="68"/>
      <c r="CH111" s="68"/>
      <c r="CI111" s="68"/>
      <c r="CJ111" s="68"/>
      <c r="CK111" s="68"/>
      <c r="CL111" s="68"/>
      <c r="CM111" s="68"/>
      <c r="CN111" s="68"/>
      <c r="CO111" s="68"/>
      <c r="CP111" s="68"/>
      <c r="CQ111" s="68"/>
      <c r="CR111" s="68"/>
      <c r="CS111" s="68"/>
      <c r="CT111" s="68"/>
      <c r="CU111" s="68"/>
      <c r="CV111" s="68"/>
      <c r="CW111" s="68"/>
      <c r="CX111" s="68"/>
      <c r="CY111" s="68"/>
      <c r="CZ111" s="68"/>
      <c r="DA111" s="68"/>
      <c r="DB111" s="68"/>
      <c r="DC111" s="68"/>
      <c r="DD111" s="68"/>
      <c r="DE111" s="68"/>
      <c r="DF111" s="68"/>
      <c r="DG111" s="68"/>
      <c r="DH111" s="68"/>
      <c r="DI111" s="68"/>
      <c r="DJ111" s="68"/>
      <c r="DK111" s="68"/>
      <c r="DL111" s="68"/>
      <c r="DM111" s="68"/>
      <c r="DN111" s="68"/>
      <c r="DO111" s="68"/>
      <c r="DP111" s="68"/>
      <c r="DQ111" s="68"/>
      <c r="DR111" s="68"/>
      <c r="DS111" s="68"/>
      <c r="DT111" s="68"/>
      <c r="DU111" s="68"/>
      <c r="DV111" s="68"/>
      <c r="DW111" s="68"/>
      <c r="DX111" s="68"/>
      <c r="DY111" s="68"/>
      <c r="DZ111" s="68"/>
      <c r="EA111" s="68"/>
      <c r="EB111" s="68"/>
      <c r="EC111" s="68"/>
      <c r="ED111" s="68"/>
      <c r="EE111" s="68"/>
      <c r="EF111" s="68"/>
      <c r="EG111" s="68"/>
      <c r="EH111" s="68"/>
      <c r="EI111" s="68"/>
      <c r="EJ111" s="68"/>
      <c r="EK111" s="68"/>
      <c r="EL111" s="68"/>
      <c r="EM111" s="68"/>
      <c r="EN111" s="68"/>
      <c r="EO111" s="68"/>
      <c r="EP111" s="68"/>
      <c r="EQ111" s="68"/>
      <c r="ER111" s="68"/>
      <c r="ES111" s="68"/>
      <c r="ET111" s="68"/>
      <c r="EU111" s="68"/>
      <c r="EV111" s="68"/>
      <c r="EW111" s="68"/>
      <c r="EX111" s="68"/>
      <c r="EY111" s="68"/>
      <c r="EZ111" s="68"/>
      <c r="FA111" s="68"/>
      <c r="FB111" s="68"/>
      <c r="FC111" s="68"/>
      <c r="FD111" s="68"/>
      <c r="FE111" s="68"/>
      <c r="FF111" s="68"/>
      <c r="FG111" s="68"/>
      <c r="FH111" s="68"/>
      <c r="FI111" s="68"/>
      <c r="FJ111" s="68"/>
      <c r="FK111" s="68"/>
      <c r="FL111" s="68"/>
      <c r="FM111" s="68"/>
      <c r="FN111" s="68"/>
      <c r="FO111" s="68"/>
      <c r="FP111" s="68"/>
      <c r="FQ111" s="68"/>
      <c r="FR111" s="68"/>
      <c r="FS111" s="68"/>
      <c r="FT111" s="68"/>
      <c r="FU111" s="68"/>
      <c r="FV111" s="68"/>
      <c r="FW111" s="68"/>
      <c r="FX111" s="68"/>
      <c r="FY111" s="68"/>
      <c r="FZ111" s="68"/>
      <c r="GA111" s="68"/>
      <c r="GB111" s="68"/>
      <c r="GC111" s="68"/>
      <c r="GD111" s="68"/>
      <c r="GE111" s="68"/>
      <c r="GF111" s="68"/>
      <c r="GG111" s="68"/>
      <c r="GH111" s="68"/>
      <c r="GI111" s="68"/>
      <c r="GJ111" s="68"/>
      <c r="GK111" s="68"/>
      <c r="GL111" s="68"/>
      <c r="GM111" s="68"/>
      <c r="GN111" s="68"/>
      <c r="GO111" s="68"/>
      <c r="GP111" s="68"/>
      <c r="GQ111" s="68"/>
      <c r="GR111" s="68"/>
      <c r="GS111" s="68"/>
      <c r="GT111" s="68"/>
      <c r="GU111" s="68"/>
      <c r="GV111" s="68"/>
      <c r="GW111" s="68"/>
      <c r="GX111" s="68"/>
      <c r="GY111" s="68"/>
      <c r="GZ111" s="68"/>
      <c r="HA111" s="68"/>
      <c r="HB111" s="68"/>
      <c r="HC111" s="68"/>
      <c r="HD111" s="68"/>
      <c r="HE111" s="68"/>
      <c r="HF111" s="68"/>
      <c r="HG111" s="68"/>
      <c r="HH111" s="68"/>
      <c r="HI111" s="68"/>
      <c r="HJ111" s="68"/>
      <c r="HK111" s="68"/>
      <c r="HL111" s="68"/>
      <c r="HM111" s="68"/>
      <c r="HN111" s="68"/>
      <c r="HO111" s="68"/>
      <c r="HP111" s="68"/>
      <c r="HQ111" s="68"/>
      <c r="HR111" s="68"/>
      <c r="HS111" s="68"/>
      <c r="HT111" s="68"/>
      <c r="HU111" s="68"/>
      <c r="HV111" s="68"/>
      <c r="HW111" s="68"/>
      <c r="HX111" s="68"/>
      <c r="HY111" s="68"/>
      <c r="HZ111" s="68"/>
      <c r="IA111" s="68"/>
      <c r="IB111" s="68"/>
      <c r="IC111" s="68"/>
      <c r="ID111" s="68"/>
      <c r="IE111" s="68"/>
      <c r="IF111" s="68"/>
      <c r="IG111" s="68"/>
      <c r="IH111" s="68"/>
      <c r="II111" s="68"/>
      <c r="IJ111" s="68"/>
      <c r="IK111" s="68"/>
      <c r="IL111" s="68"/>
      <c r="IM111" s="68"/>
      <c r="IN111" s="68"/>
      <c r="IO111" s="68"/>
      <c r="IP111" s="68"/>
      <c r="IQ111" s="68"/>
      <c r="IR111" s="68"/>
      <c r="IS111" s="68"/>
      <c r="IT111" s="68"/>
      <c r="IU111" s="68"/>
      <c r="IV111" s="68"/>
      <c r="IW111" s="68"/>
      <c r="IX111" s="68"/>
      <c r="IY111" s="68"/>
      <c r="IZ111" s="68"/>
      <c r="JA111" s="68"/>
      <c r="JB111" s="68"/>
      <c r="JC111" s="68"/>
      <c r="JD111" s="68"/>
      <c r="JE111" s="68"/>
      <c r="JF111" s="68"/>
      <c r="JG111" s="68"/>
      <c r="JH111" s="68"/>
      <c r="JI111" s="68"/>
      <c r="JJ111" s="68"/>
      <c r="JK111" s="68"/>
      <c r="JL111" s="68"/>
      <c r="JM111" s="68"/>
      <c r="JN111" s="68"/>
      <c r="JO111" s="68"/>
      <c r="JP111" s="68"/>
      <c r="JQ111" s="68"/>
      <c r="JR111" s="68"/>
      <c r="JS111" s="68"/>
      <c r="JT111" s="68"/>
      <c r="JU111" s="68"/>
      <c r="JV111" s="68"/>
      <c r="JW111" s="68"/>
      <c r="JX111" s="68"/>
      <c r="JY111" s="68"/>
      <c r="JZ111" s="68"/>
      <c r="KA111" s="68"/>
      <c r="KB111" s="68"/>
      <c r="KC111" s="68"/>
      <c r="KD111" s="68"/>
      <c r="KE111" s="68"/>
      <c r="KF111" s="68"/>
      <c r="KG111" s="68"/>
      <c r="KH111" s="68"/>
      <c r="KI111" s="68"/>
      <c r="KJ111" s="68"/>
      <c r="KK111" s="68"/>
      <c r="KL111" s="68"/>
      <c r="KM111" s="68"/>
      <c r="KN111" s="68"/>
      <c r="KO111" s="68"/>
      <c r="KP111" s="68"/>
      <c r="KQ111" s="68"/>
      <c r="KR111" s="68"/>
      <c r="KS111" s="68"/>
      <c r="KT111" s="68"/>
      <c r="KU111" s="68"/>
      <c r="KV111" s="68"/>
      <c r="KW111" s="68"/>
      <c r="KX111" s="68"/>
      <c r="KY111" s="68"/>
      <c r="KZ111" s="68"/>
      <c r="LA111" s="68"/>
      <c r="LB111" s="68"/>
      <c r="LC111" s="68"/>
      <c r="LD111" s="68"/>
      <c r="LE111" s="68"/>
      <c r="LF111" s="68"/>
      <c r="LG111" s="68"/>
      <c r="LH111" s="68"/>
      <c r="LI111" s="68"/>
      <c r="LJ111" s="68"/>
      <c r="LK111" s="68"/>
      <c r="LL111" s="68"/>
      <c r="LM111" s="68"/>
      <c r="LN111" s="68"/>
      <c r="LO111" s="68"/>
      <c r="LP111" s="68"/>
      <c r="LQ111" s="68"/>
      <c r="LR111" s="68"/>
      <c r="LS111" s="68"/>
      <c r="LT111" s="68"/>
      <c r="LU111" s="68"/>
      <c r="LV111" s="68"/>
      <c r="LW111" s="68"/>
      <c r="LX111" s="68"/>
      <c r="LY111" s="68"/>
      <c r="LZ111" s="68"/>
      <c r="MA111" s="68"/>
      <c r="MB111" s="68"/>
      <c r="MC111" s="68"/>
      <c r="MD111" s="68"/>
      <c r="ME111" s="68"/>
      <c r="MF111" s="68"/>
      <c r="MG111" s="68"/>
      <c r="MH111" s="68"/>
      <c r="MI111" s="68"/>
      <c r="MJ111" s="68"/>
      <c r="MK111" s="68"/>
      <c r="ML111" s="68"/>
      <c r="MM111" s="68"/>
      <c r="MN111" s="68"/>
      <c r="MO111" s="68"/>
      <c r="MP111" s="68"/>
      <c r="MQ111" s="68"/>
      <c r="MR111" s="68"/>
      <c r="MS111" s="68"/>
      <c r="MT111" s="68"/>
      <c r="MU111" s="68"/>
      <c r="MV111" s="68"/>
      <c r="MW111" s="68"/>
      <c r="MX111" s="68"/>
      <c r="MY111" s="68"/>
      <c r="MZ111" s="68"/>
      <c r="NA111" s="68"/>
      <c r="NB111" s="68"/>
      <c r="NC111" s="68"/>
      <c r="ND111" s="68"/>
      <c r="NE111" s="68"/>
      <c r="NF111" s="68"/>
      <c r="NG111" s="68"/>
      <c r="NH111" s="68"/>
      <c r="NI111" s="68"/>
      <c r="NJ111" s="68"/>
      <c r="NK111" s="68"/>
      <c r="NL111" s="68"/>
      <c r="NM111" s="68"/>
      <c r="NN111" s="68"/>
      <c r="NO111" s="68"/>
      <c r="NP111" s="68"/>
      <c r="NQ111" s="68"/>
      <c r="NR111" s="68"/>
      <c r="NS111" s="68"/>
      <c r="NT111" s="68"/>
      <c r="NU111" s="68"/>
      <c r="NV111" s="68"/>
      <c r="NW111" s="68"/>
      <c r="NX111" s="68"/>
      <c r="NY111" s="68"/>
      <c r="NZ111" s="68"/>
      <c r="OA111" s="68"/>
      <c r="OB111" s="68"/>
      <c r="OC111" s="68"/>
      <c r="OD111" s="68"/>
      <c r="OE111" s="68"/>
      <c r="OF111" s="68"/>
      <c r="OG111" s="68"/>
      <c r="OH111" s="68"/>
      <c r="OI111" s="68"/>
      <c r="OJ111" s="68"/>
      <c r="OK111" s="68"/>
      <c r="OL111" s="68"/>
      <c r="OM111" s="68"/>
      <c r="ON111" s="68"/>
      <c r="OO111" s="68"/>
      <c r="OP111" s="68"/>
      <c r="OQ111" s="68"/>
      <c r="OR111" s="68"/>
      <c r="OS111" s="68"/>
      <c r="OT111" s="68"/>
      <c r="OU111" s="68"/>
      <c r="OV111" s="68"/>
      <c r="OW111" s="68"/>
      <c r="OX111" s="68"/>
      <c r="OY111" s="68"/>
      <c r="OZ111" s="68"/>
      <c r="PA111" s="68"/>
      <c r="PB111" s="68"/>
      <c r="PC111" s="68"/>
      <c r="PD111" s="68"/>
      <c r="PE111" s="68"/>
      <c r="PF111" s="68"/>
      <c r="PG111" s="68"/>
      <c r="PH111" s="68"/>
      <c r="PI111" s="68"/>
      <c r="PJ111" s="68"/>
      <c r="PK111" s="68"/>
      <c r="PL111" s="68"/>
      <c r="PM111" s="68"/>
      <c r="PN111" s="68"/>
      <c r="PO111" s="68"/>
      <c r="PP111" s="68"/>
      <c r="PQ111" s="68"/>
      <c r="PR111" s="68"/>
      <c r="PS111" s="68"/>
      <c r="PT111" s="68"/>
      <c r="PU111" s="68"/>
      <c r="PV111" s="68"/>
      <c r="PW111" s="68"/>
      <c r="PX111" s="68"/>
      <c r="PY111" s="68"/>
      <c r="PZ111" s="68"/>
      <c r="QA111" s="68"/>
      <c r="QB111" s="68"/>
      <c r="QC111" s="68"/>
      <c r="QD111" s="68"/>
      <c r="QE111" s="68"/>
      <c r="QF111" s="68"/>
      <c r="QG111" s="68"/>
      <c r="QH111" s="68"/>
      <c r="QI111" s="68"/>
      <c r="QJ111" s="68"/>
      <c r="QK111" s="68"/>
      <c r="QL111" s="68"/>
      <c r="QM111" s="68"/>
      <c r="QN111" s="68"/>
      <c r="QO111" s="68"/>
      <c r="QP111" s="68"/>
      <c r="QQ111" s="68"/>
      <c r="QR111" s="68"/>
      <c r="QS111" s="68"/>
      <c r="QT111" s="68"/>
      <c r="QU111" s="68"/>
      <c r="QV111" s="68"/>
      <c r="QW111" s="68"/>
      <c r="QX111" s="68"/>
      <c r="QY111" s="68"/>
      <c r="QZ111" s="68"/>
      <c r="RA111" s="68"/>
      <c r="RB111" s="68"/>
      <c r="RC111" s="68"/>
      <c r="RD111" s="68"/>
      <c r="RE111" s="68"/>
      <c r="RF111" s="68"/>
      <c r="RG111" s="68"/>
      <c r="RH111" s="68"/>
      <c r="RI111" s="68"/>
      <c r="RJ111" s="68"/>
      <c r="RK111" s="68"/>
      <c r="RL111" s="68"/>
      <c r="RM111" s="68"/>
      <c r="RN111" s="68"/>
      <c r="RO111" s="68"/>
      <c r="RP111" s="68"/>
      <c r="RQ111" s="68"/>
      <c r="RR111" s="68"/>
      <c r="RS111" s="68"/>
      <c r="RT111" s="68"/>
      <c r="RU111" s="68"/>
      <c r="RV111" s="68"/>
      <c r="RW111" s="68"/>
      <c r="RX111" s="68"/>
      <c r="RY111" s="68"/>
      <c r="RZ111" s="68"/>
      <c r="SA111" s="68"/>
      <c r="SB111" s="68"/>
      <c r="SC111" s="68"/>
      <c r="SD111" s="68"/>
      <c r="SE111" s="68"/>
      <c r="SF111" s="68"/>
      <c r="SG111" s="68"/>
      <c r="SH111" s="68"/>
      <c r="SI111" s="68"/>
      <c r="SJ111" s="68"/>
      <c r="SK111" s="68"/>
      <c r="SL111" s="68"/>
      <c r="SM111" s="68"/>
      <c r="SN111" s="68"/>
      <c r="SO111" s="68"/>
      <c r="SP111" s="68"/>
      <c r="SQ111" s="68"/>
      <c r="SR111" s="68"/>
      <c r="SS111" s="68"/>
      <c r="ST111" s="68"/>
      <c r="SU111" s="68"/>
      <c r="SV111" s="68"/>
      <c r="SW111" s="68"/>
      <c r="SX111" s="68"/>
      <c r="SY111" s="68"/>
      <c r="SZ111" s="68"/>
      <c r="TA111" s="68"/>
      <c r="TB111" s="68"/>
      <c r="TC111" s="68"/>
      <c r="TD111" s="68"/>
      <c r="TE111" s="68"/>
      <c r="TF111" s="68"/>
      <c r="TG111" s="68"/>
      <c r="TH111" s="68"/>
      <c r="TI111" s="68"/>
      <c r="TJ111" s="68"/>
      <c r="TK111" s="68"/>
      <c r="TL111" s="68"/>
      <c r="TM111" s="68"/>
      <c r="TN111" s="68"/>
      <c r="TO111" s="68"/>
      <c r="TP111" s="68"/>
      <c r="TQ111" s="68"/>
      <c r="TR111" s="68"/>
      <c r="TS111" s="68"/>
      <c r="TT111" s="68"/>
      <c r="TU111" s="68"/>
      <c r="TV111" s="68"/>
      <c r="TW111" s="68"/>
      <c r="TX111" s="68"/>
      <c r="TY111" s="68"/>
      <c r="TZ111" s="68"/>
      <c r="UA111" s="68"/>
      <c r="UB111" s="68"/>
      <c r="UC111" s="68"/>
      <c r="UD111" s="68"/>
      <c r="UE111" s="68"/>
      <c r="UF111" s="68"/>
      <c r="UG111" s="68"/>
      <c r="UH111" s="68"/>
      <c r="UI111" s="68"/>
      <c r="UJ111" s="68"/>
      <c r="UK111" s="68"/>
      <c r="UL111" s="68"/>
      <c r="UM111" s="68"/>
      <c r="UN111" s="68"/>
      <c r="UO111" s="68"/>
      <c r="UP111" s="68"/>
      <c r="UQ111" s="68"/>
      <c r="UR111" s="68"/>
      <c r="US111" s="68"/>
      <c r="UT111" s="68"/>
      <c r="UU111" s="68"/>
      <c r="UV111" s="68"/>
      <c r="UW111" s="68"/>
      <c r="UX111" s="68"/>
      <c r="UY111" s="68"/>
      <c r="UZ111" s="68"/>
      <c r="VA111" s="68"/>
      <c r="VB111" s="68"/>
      <c r="VC111" s="68"/>
      <c r="VD111" s="68"/>
      <c r="VE111" s="68"/>
      <c r="VF111" s="68"/>
      <c r="VG111" s="68"/>
      <c r="VH111" s="68"/>
      <c r="VI111" s="68"/>
      <c r="VJ111" s="68"/>
      <c r="VK111" s="68"/>
      <c r="VL111" s="68"/>
      <c r="VM111" s="68"/>
      <c r="VN111" s="68"/>
      <c r="VO111" s="68"/>
      <c r="VP111" s="68"/>
      <c r="VQ111" s="68"/>
      <c r="VR111" s="68"/>
      <c r="VS111" s="68"/>
      <c r="VT111" s="68"/>
      <c r="VU111" s="68"/>
      <c r="VV111" s="68"/>
      <c r="VW111" s="68"/>
      <c r="VX111" s="68"/>
      <c r="VY111" s="68"/>
      <c r="VZ111" s="68"/>
      <c r="WA111" s="68"/>
      <c r="WB111" s="68"/>
      <c r="WC111" s="68"/>
      <c r="WD111" s="68"/>
      <c r="WE111" s="68"/>
      <c r="WF111" s="68"/>
      <c r="WG111" s="68"/>
      <c r="WH111" s="68"/>
      <c r="WI111" s="68"/>
      <c r="WJ111" s="68"/>
      <c r="WK111" s="68"/>
      <c r="WL111" s="68"/>
      <c r="WM111" s="68"/>
      <c r="WN111" s="68"/>
      <c r="WO111" s="68"/>
      <c r="WP111" s="68"/>
      <c r="WQ111" s="68"/>
      <c r="WR111" s="68"/>
      <c r="WS111" s="68"/>
      <c r="WT111" s="68"/>
      <c r="WU111" s="68"/>
      <c r="WV111" s="68"/>
      <c r="WW111" s="68"/>
      <c r="WX111" s="68"/>
      <c r="WY111" s="68"/>
      <c r="WZ111" s="68"/>
      <c r="XA111" s="68"/>
      <c r="XB111" s="68"/>
      <c r="XC111" s="68"/>
      <c r="XD111" s="68"/>
      <c r="XE111" s="68"/>
      <c r="XF111" s="68"/>
      <c r="XG111" s="68"/>
      <c r="XH111" s="68"/>
      <c r="XI111" s="68"/>
      <c r="XJ111" s="68"/>
      <c r="XK111" s="68"/>
      <c r="XL111" s="68"/>
      <c r="XM111" s="68"/>
      <c r="XN111" s="68"/>
      <c r="XO111" s="68"/>
      <c r="XP111" s="68"/>
      <c r="XQ111" s="68"/>
      <c r="XR111" s="68"/>
      <c r="XS111" s="68"/>
      <c r="XT111" s="68"/>
      <c r="XU111" s="68"/>
      <c r="XV111" s="68"/>
      <c r="XW111" s="68"/>
      <c r="XX111" s="68"/>
      <c r="XY111" s="68"/>
      <c r="XZ111" s="68"/>
      <c r="YA111" s="68"/>
      <c r="YB111" s="68"/>
      <c r="YC111" s="68"/>
      <c r="YD111" s="68"/>
      <c r="YE111" s="68"/>
      <c r="YF111" s="68"/>
      <c r="YG111" s="68"/>
      <c r="YH111" s="68"/>
      <c r="YI111" s="68"/>
      <c r="YJ111" s="68"/>
      <c r="YK111" s="68"/>
      <c r="YL111" s="68"/>
      <c r="YM111" s="68"/>
      <c r="YN111" s="68"/>
      <c r="YO111" s="68"/>
      <c r="YP111" s="68"/>
      <c r="YQ111" s="68"/>
      <c r="YR111" s="68"/>
      <c r="YS111" s="68"/>
      <c r="YT111" s="68"/>
      <c r="YU111" s="68"/>
      <c r="YV111" s="68"/>
      <c r="YW111" s="68"/>
      <c r="YX111" s="68"/>
      <c r="YY111" s="68"/>
      <c r="YZ111" s="68"/>
      <c r="ZA111" s="68"/>
      <c r="ZB111" s="68"/>
      <c r="ZC111" s="68"/>
      <c r="ZD111" s="68"/>
      <c r="ZE111" s="68"/>
      <c r="ZF111" s="68"/>
      <c r="ZG111" s="68"/>
      <c r="ZH111" s="68"/>
      <c r="ZI111" s="68"/>
      <c r="ZJ111" s="68"/>
      <c r="ZK111" s="68"/>
      <c r="ZL111" s="68"/>
      <c r="ZM111" s="68"/>
      <c r="ZN111" s="68"/>
      <c r="ZO111" s="68"/>
      <c r="ZP111" s="68"/>
      <c r="ZQ111" s="68"/>
      <c r="ZR111" s="68"/>
      <c r="ZS111" s="68"/>
      <c r="ZT111" s="68"/>
      <c r="ZU111" s="68"/>
      <c r="ZV111" s="68"/>
      <c r="ZW111" s="68"/>
      <c r="ZX111" s="68"/>
      <c r="ZY111" s="68"/>
      <c r="ZZ111" s="68"/>
      <c r="AAA111" s="68"/>
      <c r="AAB111" s="68"/>
      <c r="AAC111" s="68"/>
      <c r="AAD111" s="68"/>
      <c r="AAE111" s="68"/>
      <c r="AAF111" s="68"/>
      <c r="AAG111" s="68"/>
      <c r="AAH111" s="68"/>
      <c r="AAI111" s="68"/>
      <c r="AAJ111" s="68"/>
      <c r="AAK111" s="68"/>
      <c r="AAL111" s="68"/>
      <c r="AAM111" s="68"/>
      <c r="AAN111" s="68"/>
      <c r="AAO111" s="68"/>
      <c r="AAP111" s="68"/>
      <c r="AAQ111" s="68"/>
      <c r="AAR111" s="68"/>
      <c r="AAS111" s="68"/>
      <c r="AAT111" s="68"/>
      <c r="AAU111" s="68"/>
      <c r="AAV111" s="68"/>
      <c r="AAW111" s="68"/>
      <c r="AAX111" s="68"/>
      <c r="AAY111" s="68"/>
      <c r="AAZ111" s="68"/>
      <c r="ABA111" s="68"/>
      <c r="ABB111" s="68"/>
      <c r="ABC111" s="68"/>
      <c r="ABD111" s="68"/>
      <c r="ABE111" s="68"/>
      <c r="ABF111" s="68"/>
      <c r="ABG111" s="68"/>
      <c r="ABH111" s="68"/>
      <c r="ABI111" s="68"/>
      <c r="ABJ111" s="68"/>
      <c r="ABK111" s="68"/>
      <c r="ABL111" s="68"/>
      <c r="ABM111" s="68"/>
      <c r="ABN111" s="68"/>
      <c r="ABO111" s="68"/>
      <c r="ABP111" s="68"/>
      <c r="ABQ111" s="68"/>
      <c r="ABR111" s="68"/>
      <c r="ABS111" s="68"/>
      <c r="ABT111" s="68"/>
      <c r="ABU111" s="68"/>
      <c r="ABV111" s="68"/>
      <c r="ABW111" s="68"/>
      <c r="ABX111" s="68"/>
      <c r="ABY111" s="68"/>
      <c r="ABZ111" s="68"/>
      <c r="ACA111" s="68"/>
      <c r="ACB111" s="68"/>
      <c r="ACC111" s="68"/>
      <c r="ACD111" s="68"/>
      <c r="ACE111" s="68"/>
      <c r="ACF111" s="68"/>
      <c r="ACG111" s="68"/>
      <c r="ACH111" s="68"/>
      <c r="ACI111" s="68"/>
      <c r="ACJ111" s="68"/>
      <c r="ACK111" s="68"/>
      <c r="ACL111" s="68"/>
      <c r="ACM111" s="68"/>
      <c r="ACN111" s="68"/>
      <c r="ACO111" s="68"/>
      <c r="ACP111" s="68"/>
      <c r="ACQ111" s="68"/>
      <c r="ACR111" s="68"/>
      <c r="ACS111" s="68"/>
      <c r="ACT111" s="68"/>
      <c r="ACU111" s="68"/>
      <c r="ACV111" s="68"/>
      <c r="ACW111" s="68"/>
      <c r="ACX111" s="68"/>
      <c r="ACY111" s="68"/>
      <c r="ACZ111" s="68"/>
      <c r="ADA111" s="68"/>
      <c r="ADB111" s="68"/>
      <c r="ADC111" s="68"/>
      <c r="ADD111" s="68"/>
      <c r="ADE111" s="68"/>
      <c r="ADF111" s="68"/>
      <c r="ADG111" s="68"/>
      <c r="ADH111" s="68"/>
      <c r="ADI111" s="68"/>
      <c r="ADJ111" s="68"/>
      <c r="ADK111" s="68"/>
      <c r="ADL111" s="68"/>
      <c r="ADM111" s="68"/>
      <c r="ADN111" s="68"/>
      <c r="ADO111" s="68"/>
      <c r="ADP111" s="68"/>
      <c r="ADQ111" s="68"/>
      <c r="ADR111" s="68"/>
      <c r="ADS111" s="68"/>
      <c r="ADT111" s="68"/>
      <c r="ADU111" s="68"/>
      <c r="ADV111" s="68"/>
      <c r="ADW111" s="68"/>
      <c r="ADX111" s="68"/>
      <c r="ADY111" s="68"/>
      <c r="ADZ111" s="68"/>
      <c r="AEA111" s="68"/>
      <c r="AEB111" s="68"/>
      <c r="AEC111" s="68"/>
      <c r="AED111" s="68"/>
      <c r="AEE111" s="68"/>
      <c r="AEF111" s="68"/>
      <c r="AEG111" s="68"/>
      <c r="AEH111" s="68"/>
      <c r="AEI111" s="68"/>
      <c r="AEJ111" s="68"/>
      <c r="AEK111" s="68"/>
      <c r="AEL111" s="68"/>
      <c r="AEM111" s="68"/>
      <c r="AEN111" s="68"/>
      <c r="AEO111" s="68"/>
      <c r="AEP111" s="68"/>
      <c r="AEQ111" s="68"/>
      <c r="AER111" s="68"/>
      <c r="AES111" s="68"/>
      <c r="AET111" s="68"/>
      <c r="AEU111" s="68"/>
      <c r="AEV111" s="68"/>
      <c r="AEW111" s="68"/>
      <c r="AEX111" s="68"/>
      <c r="AEY111" s="68"/>
      <c r="AEZ111" s="68"/>
      <c r="AFA111" s="68"/>
      <c r="AFB111" s="68"/>
      <c r="AFC111" s="68"/>
      <c r="AFD111" s="68"/>
      <c r="AFE111" s="68"/>
      <c r="AFF111" s="68"/>
      <c r="AFG111" s="68"/>
      <c r="AFH111" s="68"/>
      <c r="AFI111" s="68"/>
      <c r="AFJ111" s="68"/>
      <c r="AFK111" s="68"/>
      <c r="AFL111" s="68"/>
      <c r="AFM111" s="68"/>
      <c r="AFN111" s="68"/>
      <c r="AFO111" s="68"/>
      <c r="AFP111" s="68"/>
      <c r="AFQ111" s="68"/>
      <c r="AFR111" s="68"/>
      <c r="AFS111" s="68"/>
      <c r="AFT111" s="68"/>
      <c r="AFU111" s="68"/>
      <c r="AFV111" s="68"/>
      <c r="AFW111" s="68"/>
      <c r="AFX111" s="68"/>
      <c r="AFY111" s="68"/>
      <c r="AFZ111" s="68"/>
      <c r="AGA111" s="68"/>
      <c r="AGB111" s="68"/>
      <c r="AGC111" s="68"/>
      <c r="AGD111" s="68"/>
      <c r="AGE111" s="68"/>
      <c r="AGF111" s="68"/>
      <c r="AGG111" s="68"/>
      <c r="AGH111" s="68"/>
      <c r="AGI111" s="68"/>
      <c r="AGJ111" s="68"/>
      <c r="AGK111" s="68"/>
      <c r="AGL111" s="68"/>
      <c r="AGM111" s="68"/>
      <c r="AGN111" s="68"/>
      <c r="AGO111" s="68"/>
      <c r="AGP111" s="68"/>
      <c r="AGQ111" s="68"/>
      <c r="AGR111" s="68"/>
      <c r="AGS111" s="68"/>
      <c r="AGT111" s="68"/>
      <c r="AGU111" s="68"/>
      <c r="AGV111" s="68"/>
      <c r="AGW111" s="68"/>
      <c r="AGX111" s="68"/>
      <c r="AGY111" s="68"/>
      <c r="AGZ111" s="68"/>
      <c r="AHA111" s="68"/>
      <c r="AHB111" s="68"/>
      <c r="AHC111" s="68"/>
      <c r="AHD111" s="68"/>
      <c r="AHE111" s="68"/>
      <c r="AHF111" s="68"/>
      <c r="AHG111" s="68"/>
      <c r="AHH111" s="68"/>
      <c r="AHI111" s="68"/>
      <c r="AHJ111" s="68"/>
      <c r="AHK111" s="68"/>
      <c r="AHL111" s="68"/>
      <c r="AHM111" s="68"/>
      <c r="AHN111" s="68"/>
      <c r="AHO111" s="68"/>
      <c r="AHP111" s="68"/>
      <c r="AHQ111" s="68"/>
      <c r="AHR111" s="68"/>
      <c r="AHS111" s="68"/>
      <c r="AHT111" s="68"/>
      <c r="AHU111" s="68"/>
      <c r="AHV111" s="68"/>
      <c r="AHW111" s="68"/>
      <c r="AHX111" s="68"/>
      <c r="AHY111" s="68"/>
      <c r="AHZ111" s="68"/>
      <c r="AIA111" s="68"/>
      <c r="AIB111" s="68"/>
      <c r="AIC111" s="68"/>
      <c r="AID111" s="68"/>
      <c r="AIE111" s="68"/>
      <c r="AIF111" s="68"/>
      <c r="AIG111" s="68"/>
      <c r="AIH111" s="68"/>
      <c r="AII111" s="68"/>
      <c r="AIJ111" s="68"/>
      <c r="AIK111" s="68"/>
      <c r="AIL111" s="68"/>
      <c r="AIM111" s="68"/>
      <c r="AIN111" s="68"/>
      <c r="AIO111" s="68"/>
      <c r="AIP111" s="68"/>
      <c r="AIQ111" s="68"/>
      <c r="AIR111" s="68"/>
      <c r="AIS111" s="68"/>
      <c r="AIT111" s="68"/>
      <c r="AIU111" s="68"/>
      <c r="AIV111" s="68"/>
      <c r="AIW111" s="68"/>
      <c r="AIX111" s="68"/>
      <c r="AIY111" s="68"/>
      <c r="AIZ111" s="68"/>
      <c r="AJA111" s="68"/>
      <c r="AJB111" s="68"/>
      <c r="AJC111" s="68"/>
      <c r="AJD111" s="68"/>
      <c r="AJE111" s="68"/>
      <c r="AJF111" s="68"/>
      <c r="AJG111" s="68"/>
      <c r="AJH111" s="68"/>
      <c r="AJI111" s="68"/>
      <c r="AJJ111" s="68"/>
      <c r="AJK111" s="68"/>
      <c r="AJL111" s="68"/>
      <c r="AJM111" s="68"/>
      <c r="AJN111" s="68"/>
      <c r="AJO111" s="68"/>
      <c r="AJP111" s="68"/>
      <c r="AJQ111" s="68"/>
      <c r="AJR111" s="68"/>
      <c r="AJS111" s="68"/>
      <c r="AJT111" s="68"/>
      <c r="AJU111" s="68"/>
      <c r="AJV111" s="68"/>
      <c r="AJW111" s="68"/>
      <c r="AJX111" s="68"/>
      <c r="AJY111" s="68"/>
      <c r="AJZ111" s="68"/>
      <c r="AKA111" s="68"/>
      <c r="AKB111" s="68"/>
      <c r="AKC111" s="68"/>
      <c r="AKD111" s="68"/>
      <c r="AKE111" s="68"/>
      <c r="AKF111" s="68"/>
      <c r="AKG111" s="68"/>
      <c r="AKH111" s="68"/>
      <c r="AKI111" s="68"/>
      <c r="AKJ111" s="68"/>
      <c r="AKK111" s="68"/>
      <c r="AKL111" s="68"/>
      <c r="AKM111" s="68"/>
      <c r="AKN111" s="68"/>
      <c r="AKO111" s="68"/>
      <c r="AKP111" s="68"/>
      <c r="AKQ111" s="68"/>
      <c r="AKR111" s="68"/>
      <c r="AKS111" s="68"/>
      <c r="AKT111" s="68"/>
      <c r="AKU111" s="68"/>
      <c r="AKV111" s="68"/>
      <c r="AKW111" s="68"/>
      <c r="AKX111" s="68"/>
      <c r="AKY111" s="68"/>
      <c r="AKZ111" s="68"/>
      <c r="ALA111" s="68"/>
      <c r="ALB111" s="68"/>
      <c r="ALC111" s="68"/>
      <c r="ALD111" s="68"/>
      <c r="ALE111" s="68"/>
      <c r="ALF111" s="68"/>
      <c r="ALG111" s="68"/>
      <c r="ALH111" s="68"/>
      <c r="ALI111" s="68"/>
      <c r="ALJ111" s="68"/>
      <c r="ALK111" s="68"/>
      <c r="ALL111" s="68"/>
      <c r="ALM111" s="68"/>
      <c r="ALN111" s="68"/>
      <c r="ALO111" s="68"/>
      <c r="ALP111" s="68"/>
      <c r="ALQ111" s="68"/>
      <c r="ALR111" s="68"/>
      <c r="ALS111" s="68"/>
      <c r="ALT111" s="68"/>
      <c r="ALU111" s="68"/>
      <c r="ALV111" s="68"/>
      <c r="ALW111" s="68"/>
      <c r="ALX111" s="68"/>
      <c r="ALY111" s="68"/>
      <c r="ALZ111" s="68"/>
      <c r="AMA111" s="68"/>
      <c r="AMB111" s="68"/>
      <c r="AMC111" s="68"/>
      <c r="AMD111" s="68"/>
      <c r="AME111" s="68"/>
      <c r="AMF111" s="68"/>
      <c r="AMG111" s="68"/>
      <c r="AMH111" s="68"/>
      <c r="AMI111" s="68"/>
      <c r="AMJ111" s="68"/>
      <c r="AMK111" s="68"/>
      <c r="AML111" s="68"/>
      <c r="AMM111" s="68"/>
      <c r="AMN111" s="68"/>
      <c r="AMO111" s="68"/>
      <c r="AMP111" s="68"/>
      <c r="AMQ111" s="68"/>
      <c r="AMR111" s="68"/>
      <c r="AMS111" s="68"/>
      <c r="AMT111" s="68"/>
      <c r="AMU111" s="68"/>
      <c r="AMV111" s="68"/>
      <c r="AMW111" s="68"/>
      <c r="AMX111" s="68"/>
      <c r="AMY111" s="68"/>
      <c r="AMZ111" s="68"/>
      <c r="ANA111" s="68"/>
      <c r="ANB111" s="68"/>
      <c r="ANC111" s="68"/>
      <c r="AND111" s="68"/>
      <c r="ANE111" s="68"/>
      <c r="ANF111" s="68"/>
      <c r="ANG111" s="68"/>
      <c r="ANH111" s="68"/>
      <c r="ANI111" s="68"/>
      <c r="ANJ111" s="68"/>
      <c r="ANK111" s="68"/>
      <c r="ANL111" s="68"/>
      <c r="ANM111" s="68"/>
      <c r="ANN111" s="68"/>
      <c r="ANO111" s="68"/>
      <c r="ANP111" s="68"/>
      <c r="ANQ111" s="68"/>
      <c r="ANR111" s="68"/>
      <c r="ANS111" s="68"/>
      <c r="ANT111" s="68"/>
      <c r="ANU111" s="68"/>
      <c r="ANV111" s="68"/>
      <c r="ANW111" s="68"/>
      <c r="ANX111" s="68"/>
      <c r="ANY111" s="68"/>
      <c r="ANZ111" s="68"/>
      <c r="AOA111" s="68"/>
      <c r="AOB111" s="68"/>
      <c r="AOC111" s="68"/>
      <c r="AOD111" s="68"/>
      <c r="AOE111" s="68"/>
      <c r="AOF111" s="68"/>
      <c r="AOG111" s="68"/>
      <c r="AOH111" s="68"/>
      <c r="AOI111" s="68"/>
      <c r="AOJ111" s="68"/>
      <c r="AOK111" s="68"/>
      <c r="AOL111" s="68"/>
      <c r="AOM111" s="68"/>
      <c r="AON111" s="68"/>
      <c r="AOO111" s="68"/>
      <c r="AOP111" s="68"/>
      <c r="AOQ111" s="68"/>
      <c r="AOR111" s="68"/>
      <c r="AOS111" s="68"/>
      <c r="AOT111" s="68"/>
      <c r="AOU111" s="68"/>
      <c r="AOV111" s="68"/>
      <c r="AOW111" s="68"/>
      <c r="AOX111" s="68"/>
      <c r="AOY111" s="68"/>
      <c r="AOZ111" s="68"/>
      <c r="APA111" s="68"/>
      <c r="APB111" s="68"/>
      <c r="APC111" s="68"/>
      <c r="APD111" s="68"/>
      <c r="APE111" s="68"/>
      <c r="APF111" s="68"/>
      <c r="APG111" s="68"/>
      <c r="APH111" s="68"/>
      <c r="API111" s="68"/>
      <c r="APJ111" s="68"/>
      <c r="APK111" s="68"/>
      <c r="APL111" s="68"/>
      <c r="APM111" s="68"/>
      <c r="APN111" s="68"/>
      <c r="APO111" s="68"/>
      <c r="APP111" s="68"/>
      <c r="APQ111" s="68"/>
      <c r="APR111" s="68"/>
      <c r="APS111" s="68"/>
      <c r="APT111" s="68"/>
      <c r="APU111" s="68"/>
      <c r="APV111" s="68"/>
      <c r="APW111" s="68"/>
      <c r="APX111" s="68"/>
      <c r="APY111" s="68"/>
      <c r="APZ111" s="68"/>
      <c r="AQA111" s="68"/>
      <c r="AQB111" s="68"/>
      <c r="AQC111" s="68"/>
      <c r="AQD111" s="68"/>
      <c r="AQE111" s="68"/>
      <c r="AQF111" s="68"/>
      <c r="AQG111" s="68"/>
      <c r="AQH111" s="68"/>
      <c r="AQI111" s="68"/>
      <c r="AQJ111" s="68"/>
      <c r="AQK111" s="68"/>
      <c r="AQL111" s="68"/>
      <c r="AQM111" s="68"/>
      <c r="AQN111" s="68"/>
      <c r="AQO111" s="68"/>
      <c r="AQP111" s="68"/>
      <c r="AQQ111" s="68"/>
      <c r="AQR111" s="68"/>
      <c r="AQS111" s="68"/>
      <c r="AQT111" s="68"/>
      <c r="AQU111" s="68"/>
      <c r="AQV111" s="68"/>
      <c r="AQW111" s="68"/>
      <c r="AQX111" s="68"/>
      <c r="AQY111" s="68"/>
      <c r="AQZ111" s="68"/>
      <c r="ARA111" s="68"/>
      <c r="ARB111" s="68"/>
      <c r="ARC111" s="68"/>
      <c r="ARD111" s="68"/>
      <c r="ARE111" s="68"/>
      <c r="ARF111" s="68"/>
      <c r="ARG111" s="68"/>
      <c r="ARH111" s="68"/>
      <c r="ARI111" s="68"/>
      <c r="ARJ111" s="68"/>
      <c r="ARK111" s="68"/>
      <c r="ARL111" s="68"/>
      <c r="ARM111" s="68"/>
      <c r="ARN111" s="68"/>
      <c r="ARO111" s="68"/>
      <c r="ARP111" s="68"/>
      <c r="ARQ111" s="68"/>
      <c r="ARR111" s="68"/>
      <c r="ARS111" s="68"/>
      <c r="ART111" s="68"/>
      <c r="ARU111" s="68"/>
      <c r="ARV111" s="68"/>
      <c r="ARW111" s="68"/>
      <c r="ARX111" s="68"/>
      <c r="ARY111" s="68"/>
      <c r="ARZ111" s="68"/>
      <c r="ASA111" s="68"/>
      <c r="ASB111" s="68"/>
      <c r="ASC111" s="68"/>
      <c r="ASD111" s="68"/>
      <c r="ASE111" s="68"/>
      <c r="ASF111" s="68"/>
      <c r="ASG111" s="68"/>
      <c r="ASH111" s="68"/>
      <c r="ASI111" s="68"/>
      <c r="ASJ111" s="68"/>
      <c r="ASK111" s="68"/>
      <c r="ASL111" s="68"/>
      <c r="ASM111" s="68"/>
      <c r="ASN111" s="68"/>
      <c r="ASO111" s="68"/>
      <c r="ASP111" s="68"/>
      <c r="ASQ111" s="68"/>
      <c r="ASR111" s="68"/>
      <c r="ASS111" s="68"/>
      <c r="AST111" s="68"/>
      <c r="ASU111" s="68"/>
      <c r="ASV111" s="68"/>
      <c r="ASW111" s="68"/>
      <c r="ASX111" s="68"/>
      <c r="ASY111" s="68"/>
      <c r="ASZ111" s="68"/>
      <c r="ATA111" s="68"/>
      <c r="ATB111" s="68"/>
      <c r="ATC111" s="68"/>
      <c r="ATD111" s="68"/>
      <c r="ATE111" s="68"/>
      <c r="ATF111" s="68"/>
      <c r="ATG111" s="68"/>
      <c r="ATH111" s="68"/>
      <c r="ATI111" s="68"/>
      <c r="ATJ111" s="68"/>
      <c r="ATK111" s="68"/>
      <c r="ATL111" s="68"/>
      <c r="ATM111" s="68"/>
      <c r="ATN111" s="68"/>
      <c r="ATO111" s="68"/>
      <c r="ATP111" s="68"/>
      <c r="ATQ111" s="68"/>
      <c r="ATR111" s="68"/>
      <c r="ATS111" s="68"/>
      <c r="ATT111" s="68"/>
      <c r="ATU111" s="68"/>
      <c r="ATV111" s="68"/>
      <c r="ATW111" s="68"/>
      <c r="ATX111" s="68"/>
      <c r="ATY111" s="68"/>
      <c r="ATZ111" s="68"/>
      <c r="AUA111" s="68"/>
      <c r="AUB111" s="68"/>
      <c r="AUC111" s="68"/>
      <c r="AUD111" s="68"/>
      <c r="AUE111" s="68"/>
      <c r="AUF111" s="68"/>
      <c r="AUG111" s="68"/>
      <c r="AUH111" s="68"/>
      <c r="AUI111" s="68"/>
      <c r="AUJ111" s="68"/>
      <c r="AUK111" s="68"/>
      <c r="AUL111" s="68"/>
      <c r="AUM111" s="68"/>
      <c r="AUN111" s="68"/>
      <c r="AUO111" s="68"/>
      <c r="AUP111" s="68"/>
      <c r="AUQ111" s="68"/>
      <c r="AUR111" s="68"/>
      <c r="AUS111" s="68"/>
      <c r="AUT111" s="68"/>
      <c r="AUU111" s="68"/>
      <c r="AUV111" s="68"/>
      <c r="AUW111" s="68"/>
      <c r="AUX111" s="68"/>
      <c r="AUY111" s="68"/>
      <c r="AUZ111" s="68"/>
      <c r="AVA111" s="68"/>
      <c r="AVB111" s="68"/>
      <c r="AVC111" s="68"/>
      <c r="AVD111" s="68"/>
      <c r="AVE111" s="68"/>
      <c r="AVF111" s="68"/>
      <c r="AVG111" s="68"/>
      <c r="AVH111" s="68"/>
      <c r="AVI111" s="68"/>
      <c r="AVJ111" s="68"/>
      <c r="AVK111" s="68"/>
      <c r="AVL111" s="68"/>
      <c r="AVM111" s="68"/>
      <c r="AVN111" s="68"/>
      <c r="AVO111" s="68"/>
      <c r="AVP111" s="68"/>
      <c r="AVQ111" s="68"/>
      <c r="AVR111" s="68"/>
      <c r="AVS111" s="68"/>
      <c r="AVT111" s="68"/>
      <c r="AVU111" s="68"/>
      <c r="AVV111" s="68"/>
      <c r="AVW111" s="68"/>
      <c r="AVX111" s="68"/>
      <c r="AVY111" s="68"/>
      <c r="AVZ111" s="68"/>
      <c r="AWA111" s="68"/>
      <c r="AWB111" s="68"/>
      <c r="AWC111" s="68"/>
      <c r="AWD111" s="68"/>
      <c r="AWE111" s="68"/>
      <c r="AWF111" s="68"/>
      <c r="AWG111" s="68"/>
      <c r="AWH111" s="68"/>
      <c r="AWI111" s="68"/>
      <c r="AWJ111" s="68"/>
      <c r="AWK111" s="68"/>
      <c r="AWL111" s="68"/>
      <c r="AWM111" s="68"/>
      <c r="AWN111" s="68"/>
      <c r="AWO111" s="68"/>
      <c r="AWP111" s="68"/>
      <c r="AWQ111" s="68"/>
      <c r="AWR111" s="68"/>
      <c r="AWS111" s="68"/>
      <c r="AWT111" s="68"/>
      <c r="AWU111" s="68"/>
      <c r="AWV111" s="68"/>
      <c r="AWW111" s="68"/>
      <c r="AWX111" s="68"/>
      <c r="AWY111" s="68"/>
      <c r="AWZ111" s="68"/>
      <c r="AXA111" s="68"/>
      <c r="AXB111" s="68"/>
      <c r="AXC111" s="68"/>
      <c r="AXD111" s="68"/>
      <c r="AXE111" s="68"/>
      <c r="AXF111" s="68"/>
      <c r="AXG111" s="68"/>
      <c r="AXH111" s="68"/>
      <c r="AXI111" s="68"/>
      <c r="AXJ111" s="68"/>
      <c r="AXK111" s="68"/>
      <c r="AXL111" s="68"/>
      <c r="AXM111" s="68"/>
      <c r="AXN111" s="68"/>
      <c r="AXO111" s="68"/>
      <c r="AXP111" s="68"/>
      <c r="AXQ111" s="68"/>
      <c r="AXR111" s="68"/>
      <c r="AXS111" s="68"/>
      <c r="AXT111" s="68"/>
      <c r="AXU111" s="68"/>
      <c r="AXV111" s="68"/>
      <c r="AXW111" s="68"/>
      <c r="AXX111" s="68"/>
      <c r="AXY111" s="68"/>
      <c r="AXZ111" s="68"/>
      <c r="AYA111" s="68"/>
      <c r="AYB111" s="68"/>
      <c r="AYC111" s="68"/>
      <c r="AYD111" s="68"/>
      <c r="AYE111" s="68"/>
      <c r="AYF111" s="68"/>
      <c r="AYG111" s="68"/>
      <c r="AYH111" s="68"/>
      <c r="AYI111" s="68"/>
      <c r="AYJ111" s="68"/>
      <c r="AYK111" s="68"/>
      <c r="AYL111" s="68"/>
      <c r="AYM111" s="68"/>
      <c r="AYN111" s="68"/>
      <c r="AYO111" s="68"/>
      <c r="AYP111" s="68"/>
      <c r="AYQ111" s="68"/>
      <c r="AYR111" s="68"/>
      <c r="AYS111" s="68"/>
      <c r="AYT111" s="68"/>
      <c r="AYU111" s="68"/>
      <c r="AYV111" s="68"/>
      <c r="AYW111" s="68"/>
      <c r="AYX111" s="68"/>
      <c r="AYY111" s="68"/>
      <c r="AYZ111" s="68"/>
      <c r="AZA111" s="68"/>
      <c r="AZB111" s="68"/>
      <c r="AZC111" s="68"/>
      <c r="AZD111" s="68"/>
      <c r="AZE111" s="68"/>
      <c r="AZF111" s="68"/>
      <c r="AZG111" s="68"/>
      <c r="AZH111" s="68"/>
      <c r="AZI111" s="68"/>
      <c r="AZJ111" s="68"/>
      <c r="AZK111" s="68"/>
      <c r="AZL111" s="68"/>
      <c r="AZM111" s="68"/>
      <c r="AZN111" s="68"/>
      <c r="AZO111" s="68"/>
      <c r="AZP111" s="68"/>
      <c r="AZQ111" s="68"/>
      <c r="AZR111" s="68"/>
      <c r="AZS111" s="68"/>
      <c r="AZT111" s="68"/>
      <c r="AZU111" s="68"/>
      <c r="AZV111" s="68"/>
      <c r="AZW111" s="68"/>
      <c r="AZX111" s="68"/>
      <c r="AZY111" s="68"/>
      <c r="AZZ111" s="68"/>
      <c r="BAA111" s="68"/>
      <c r="BAB111" s="68"/>
      <c r="BAC111" s="68"/>
      <c r="BAD111" s="68"/>
      <c r="BAE111" s="68"/>
      <c r="BAF111" s="68"/>
      <c r="BAG111" s="68"/>
      <c r="BAH111" s="68"/>
      <c r="BAI111" s="68"/>
      <c r="BAJ111" s="68"/>
      <c r="BAK111" s="68"/>
      <c r="BAL111" s="68"/>
      <c r="BAM111" s="68"/>
      <c r="BAN111" s="68"/>
      <c r="BAO111" s="68"/>
      <c r="BAP111" s="68"/>
      <c r="BAQ111" s="68"/>
      <c r="BAR111" s="68"/>
      <c r="BAS111" s="68"/>
      <c r="BAT111" s="68"/>
      <c r="BAU111" s="68"/>
      <c r="BAV111" s="68"/>
      <c r="BAW111" s="68"/>
      <c r="BAX111" s="68"/>
      <c r="BAY111" s="68"/>
      <c r="BAZ111" s="68"/>
      <c r="BBA111" s="68"/>
      <c r="BBB111" s="68"/>
      <c r="BBC111" s="68"/>
      <c r="BBD111" s="68"/>
      <c r="BBE111" s="68"/>
      <c r="BBF111" s="68"/>
      <c r="BBG111" s="68"/>
      <c r="BBH111" s="68"/>
      <c r="BBI111" s="68"/>
      <c r="BBJ111" s="68"/>
      <c r="BBK111" s="68"/>
      <c r="BBL111" s="68"/>
      <c r="BBM111" s="68"/>
      <c r="BBN111" s="68"/>
      <c r="BBO111" s="68"/>
      <c r="BBP111" s="68"/>
      <c r="BBQ111" s="68"/>
      <c r="BBR111" s="68"/>
      <c r="BBS111" s="68"/>
      <c r="BBT111" s="68"/>
      <c r="BBU111" s="68"/>
      <c r="BBV111" s="68"/>
      <c r="BBW111" s="68"/>
      <c r="BBX111" s="68"/>
      <c r="BBY111" s="68"/>
      <c r="BBZ111" s="68"/>
      <c r="BCA111" s="68"/>
      <c r="BCB111" s="68"/>
      <c r="BCC111" s="68"/>
      <c r="BCD111" s="68"/>
      <c r="BCE111" s="68"/>
      <c r="BCF111" s="68"/>
      <c r="BCG111" s="68"/>
      <c r="BCH111" s="68"/>
      <c r="BCI111" s="68"/>
      <c r="BCJ111" s="68"/>
      <c r="BCK111" s="68"/>
      <c r="BCL111" s="68"/>
      <c r="BCM111" s="68"/>
      <c r="BCN111" s="68"/>
      <c r="BCO111" s="68"/>
      <c r="BCP111" s="68"/>
      <c r="BCQ111" s="68"/>
      <c r="BCR111" s="68"/>
      <c r="BCS111" s="68"/>
      <c r="BCT111" s="68"/>
      <c r="BCU111" s="68"/>
      <c r="BCV111" s="68"/>
      <c r="BCW111" s="68"/>
      <c r="BCX111" s="68"/>
      <c r="BCY111" s="68"/>
      <c r="BCZ111" s="68"/>
      <c r="BDA111" s="68"/>
    </row>
    <row r="112" spans="1:1457" s="67" customFormat="1" ht="24.75" customHeight="1" x14ac:dyDescent="0.25">
      <c r="A112" s="49">
        <v>30</v>
      </c>
      <c r="B112" s="71" t="s">
        <v>311</v>
      </c>
      <c r="C112" s="71" t="s">
        <v>312</v>
      </c>
      <c r="D112" s="69" t="s">
        <v>708</v>
      </c>
      <c r="E112" s="71" t="s">
        <v>709</v>
      </c>
      <c r="F112" s="51">
        <v>3902941.7</v>
      </c>
      <c r="G112" s="70" t="s">
        <v>678</v>
      </c>
      <c r="H112" s="42" t="s">
        <v>587</v>
      </c>
      <c r="I112" s="71" t="s">
        <v>181</v>
      </c>
      <c r="J112" s="71"/>
      <c r="K112" s="69"/>
      <c r="L112" s="69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  <c r="BW112" s="68"/>
      <c r="BX112" s="68"/>
      <c r="BY112" s="68"/>
      <c r="BZ112" s="68"/>
      <c r="CA112" s="68"/>
      <c r="CB112" s="68"/>
      <c r="CC112" s="68"/>
      <c r="CD112" s="68"/>
      <c r="CE112" s="68"/>
      <c r="CF112" s="68"/>
      <c r="CG112" s="68"/>
      <c r="CH112" s="68"/>
      <c r="CI112" s="68"/>
      <c r="CJ112" s="68"/>
      <c r="CK112" s="68"/>
      <c r="CL112" s="68"/>
      <c r="CM112" s="68"/>
      <c r="CN112" s="68"/>
      <c r="CO112" s="68"/>
      <c r="CP112" s="68"/>
      <c r="CQ112" s="68"/>
      <c r="CR112" s="68"/>
      <c r="CS112" s="68"/>
      <c r="CT112" s="68"/>
      <c r="CU112" s="68"/>
      <c r="CV112" s="68"/>
      <c r="CW112" s="68"/>
      <c r="CX112" s="68"/>
      <c r="CY112" s="68"/>
      <c r="CZ112" s="68"/>
      <c r="DA112" s="68"/>
      <c r="DB112" s="68"/>
      <c r="DC112" s="68"/>
      <c r="DD112" s="68"/>
      <c r="DE112" s="68"/>
      <c r="DF112" s="68"/>
      <c r="DG112" s="68"/>
      <c r="DH112" s="68"/>
      <c r="DI112" s="68"/>
      <c r="DJ112" s="68"/>
      <c r="DK112" s="68"/>
      <c r="DL112" s="68"/>
      <c r="DM112" s="68"/>
      <c r="DN112" s="68"/>
      <c r="DO112" s="68"/>
      <c r="DP112" s="68"/>
      <c r="DQ112" s="68"/>
      <c r="DR112" s="68"/>
      <c r="DS112" s="68"/>
      <c r="DT112" s="68"/>
      <c r="DU112" s="68"/>
      <c r="DV112" s="68"/>
      <c r="DW112" s="68"/>
      <c r="DX112" s="68"/>
      <c r="DY112" s="68"/>
      <c r="DZ112" s="68"/>
      <c r="EA112" s="68"/>
      <c r="EB112" s="68"/>
      <c r="EC112" s="68"/>
      <c r="ED112" s="68"/>
      <c r="EE112" s="68"/>
      <c r="EF112" s="68"/>
      <c r="EG112" s="68"/>
      <c r="EH112" s="68"/>
      <c r="EI112" s="68"/>
      <c r="EJ112" s="68"/>
      <c r="EK112" s="68"/>
      <c r="EL112" s="68"/>
      <c r="EM112" s="68"/>
      <c r="EN112" s="68"/>
      <c r="EO112" s="68"/>
      <c r="EP112" s="68"/>
      <c r="EQ112" s="68"/>
      <c r="ER112" s="68"/>
      <c r="ES112" s="68"/>
      <c r="ET112" s="68"/>
      <c r="EU112" s="68"/>
      <c r="EV112" s="68"/>
      <c r="EW112" s="68"/>
      <c r="EX112" s="68"/>
      <c r="EY112" s="68"/>
      <c r="EZ112" s="68"/>
      <c r="FA112" s="68"/>
      <c r="FB112" s="68"/>
      <c r="FC112" s="68"/>
      <c r="FD112" s="68"/>
      <c r="FE112" s="68"/>
      <c r="FF112" s="68"/>
      <c r="FG112" s="68"/>
      <c r="FH112" s="68"/>
      <c r="FI112" s="68"/>
      <c r="FJ112" s="68"/>
      <c r="FK112" s="68"/>
      <c r="FL112" s="68"/>
      <c r="FM112" s="68"/>
      <c r="FN112" s="68"/>
      <c r="FO112" s="68"/>
      <c r="FP112" s="68"/>
      <c r="FQ112" s="68"/>
      <c r="FR112" s="68"/>
      <c r="FS112" s="68"/>
      <c r="FT112" s="68"/>
      <c r="FU112" s="68"/>
      <c r="FV112" s="68"/>
      <c r="FW112" s="68"/>
      <c r="FX112" s="68"/>
      <c r="FY112" s="68"/>
      <c r="FZ112" s="68"/>
      <c r="GA112" s="68"/>
      <c r="GB112" s="68"/>
      <c r="GC112" s="68"/>
      <c r="GD112" s="68"/>
      <c r="GE112" s="68"/>
      <c r="GF112" s="68"/>
      <c r="GG112" s="68"/>
      <c r="GH112" s="68"/>
      <c r="GI112" s="68"/>
      <c r="GJ112" s="68"/>
      <c r="GK112" s="68"/>
      <c r="GL112" s="68"/>
      <c r="GM112" s="68"/>
      <c r="GN112" s="68"/>
      <c r="GO112" s="68"/>
      <c r="GP112" s="68"/>
      <c r="GQ112" s="68"/>
      <c r="GR112" s="68"/>
      <c r="GS112" s="68"/>
      <c r="GT112" s="68"/>
      <c r="GU112" s="68"/>
      <c r="GV112" s="68"/>
      <c r="GW112" s="68"/>
      <c r="GX112" s="68"/>
      <c r="GY112" s="68"/>
      <c r="GZ112" s="68"/>
      <c r="HA112" s="68"/>
      <c r="HB112" s="68"/>
      <c r="HC112" s="68"/>
      <c r="HD112" s="68"/>
      <c r="HE112" s="68"/>
      <c r="HF112" s="68"/>
      <c r="HG112" s="68"/>
      <c r="HH112" s="68"/>
      <c r="HI112" s="68"/>
      <c r="HJ112" s="68"/>
      <c r="HK112" s="68"/>
      <c r="HL112" s="68"/>
      <c r="HM112" s="68"/>
      <c r="HN112" s="68"/>
      <c r="HO112" s="68"/>
      <c r="HP112" s="68"/>
      <c r="HQ112" s="68"/>
      <c r="HR112" s="68"/>
      <c r="HS112" s="68"/>
      <c r="HT112" s="68"/>
      <c r="HU112" s="68"/>
      <c r="HV112" s="68"/>
      <c r="HW112" s="68"/>
      <c r="HX112" s="68"/>
      <c r="HY112" s="68"/>
      <c r="HZ112" s="68"/>
      <c r="IA112" s="68"/>
      <c r="IB112" s="68"/>
      <c r="IC112" s="68"/>
      <c r="ID112" s="68"/>
      <c r="IE112" s="68"/>
      <c r="IF112" s="68"/>
      <c r="IG112" s="68"/>
      <c r="IH112" s="68"/>
      <c r="II112" s="68"/>
      <c r="IJ112" s="68"/>
      <c r="IK112" s="68"/>
      <c r="IL112" s="68"/>
      <c r="IM112" s="68"/>
      <c r="IN112" s="68"/>
      <c r="IO112" s="68"/>
      <c r="IP112" s="68"/>
      <c r="IQ112" s="68"/>
      <c r="IR112" s="68"/>
      <c r="IS112" s="68"/>
      <c r="IT112" s="68"/>
      <c r="IU112" s="68"/>
      <c r="IV112" s="68"/>
      <c r="IW112" s="68"/>
      <c r="IX112" s="68"/>
      <c r="IY112" s="68"/>
      <c r="IZ112" s="68"/>
      <c r="JA112" s="68"/>
      <c r="JB112" s="68"/>
      <c r="JC112" s="68"/>
      <c r="JD112" s="68"/>
      <c r="JE112" s="68"/>
      <c r="JF112" s="68"/>
      <c r="JG112" s="68"/>
      <c r="JH112" s="68"/>
      <c r="JI112" s="68"/>
      <c r="JJ112" s="68"/>
      <c r="JK112" s="68"/>
      <c r="JL112" s="68"/>
      <c r="JM112" s="68"/>
      <c r="JN112" s="68"/>
      <c r="JO112" s="68"/>
      <c r="JP112" s="68"/>
      <c r="JQ112" s="68"/>
      <c r="JR112" s="68"/>
      <c r="JS112" s="68"/>
      <c r="JT112" s="68"/>
      <c r="JU112" s="68"/>
      <c r="JV112" s="68"/>
      <c r="JW112" s="68"/>
      <c r="JX112" s="68"/>
      <c r="JY112" s="68"/>
      <c r="JZ112" s="68"/>
      <c r="KA112" s="68"/>
      <c r="KB112" s="68"/>
      <c r="KC112" s="68"/>
      <c r="KD112" s="68"/>
      <c r="KE112" s="68"/>
      <c r="KF112" s="68"/>
      <c r="KG112" s="68"/>
      <c r="KH112" s="68"/>
      <c r="KI112" s="68"/>
      <c r="KJ112" s="68"/>
      <c r="KK112" s="68"/>
      <c r="KL112" s="68"/>
      <c r="KM112" s="68"/>
      <c r="KN112" s="68"/>
      <c r="KO112" s="68"/>
      <c r="KP112" s="68"/>
      <c r="KQ112" s="68"/>
      <c r="KR112" s="68"/>
      <c r="KS112" s="68"/>
      <c r="KT112" s="68"/>
      <c r="KU112" s="68"/>
      <c r="KV112" s="68"/>
      <c r="KW112" s="68"/>
      <c r="KX112" s="68"/>
      <c r="KY112" s="68"/>
      <c r="KZ112" s="68"/>
      <c r="LA112" s="68"/>
      <c r="LB112" s="68"/>
      <c r="LC112" s="68"/>
      <c r="LD112" s="68"/>
      <c r="LE112" s="68"/>
      <c r="LF112" s="68"/>
      <c r="LG112" s="68"/>
      <c r="LH112" s="68"/>
      <c r="LI112" s="68"/>
      <c r="LJ112" s="68"/>
      <c r="LK112" s="68"/>
      <c r="LL112" s="68"/>
      <c r="LM112" s="68"/>
      <c r="LN112" s="68"/>
      <c r="LO112" s="68"/>
      <c r="LP112" s="68"/>
      <c r="LQ112" s="68"/>
      <c r="LR112" s="68"/>
      <c r="LS112" s="68"/>
      <c r="LT112" s="68"/>
      <c r="LU112" s="68"/>
      <c r="LV112" s="68"/>
      <c r="LW112" s="68"/>
      <c r="LX112" s="68"/>
      <c r="LY112" s="68"/>
      <c r="LZ112" s="68"/>
      <c r="MA112" s="68"/>
      <c r="MB112" s="68"/>
      <c r="MC112" s="68"/>
      <c r="MD112" s="68"/>
      <c r="ME112" s="68"/>
      <c r="MF112" s="68"/>
      <c r="MG112" s="68"/>
      <c r="MH112" s="68"/>
      <c r="MI112" s="68"/>
      <c r="MJ112" s="68"/>
      <c r="MK112" s="68"/>
      <c r="ML112" s="68"/>
      <c r="MM112" s="68"/>
      <c r="MN112" s="68"/>
      <c r="MO112" s="68"/>
      <c r="MP112" s="68"/>
      <c r="MQ112" s="68"/>
      <c r="MR112" s="68"/>
      <c r="MS112" s="68"/>
      <c r="MT112" s="68"/>
      <c r="MU112" s="68"/>
      <c r="MV112" s="68"/>
      <c r="MW112" s="68"/>
      <c r="MX112" s="68"/>
      <c r="MY112" s="68"/>
      <c r="MZ112" s="68"/>
      <c r="NA112" s="68"/>
      <c r="NB112" s="68"/>
      <c r="NC112" s="68"/>
      <c r="ND112" s="68"/>
      <c r="NE112" s="68"/>
      <c r="NF112" s="68"/>
      <c r="NG112" s="68"/>
      <c r="NH112" s="68"/>
      <c r="NI112" s="68"/>
      <c r="NJ112" s="68"/>
      <c r="NK112" s="68"/>
      <c r="NL112" s="68"/>
      <c r="NM112" s="68"/>
      <c r="NN112" s="68"/>
      <c r="NO112" s="68"/>
      <c r="NP112" s="68"/>
      <c r="NQ112" s="68"/>
      <c r="NR112" s="68"/>
      <c r="NS112" s="68"/>
      <c r="NT112" s="68"/>
      <c r="NU112" s="68"/>
      <c r="NV112" s="68"/>
      <c r="NW112" s="68"/>
      <c r="NX112" s="68"/>
      <c r="NY112" s="68"/>
      <c r="NZ112" s="68"/>
      <c r="OA112" s="68"/>
      <c r="OB112" s="68"/>
      <c r="OC112" s="68"/>
      <c r="OD112" s="68"/>
      <c r="OE112" s="68"/>
      <c r="OF112" s="68"/>
      <c r="OG112" s="68"/>
      <c r="OH112" s="68"/>
      <c r="OI112" s="68"/>
      <c r="OJ112" s="68"/>
      <c r="OK112" s="68"/>
      <c r="OL112" s="68"/>
      <c r="OM112" s="68"/>
      <c r="ON112" s="68"/>
      <c r="OO112" s="68"/>
      <c r="OP112" s="68"/>
      <c r="OQ112" s="68"/>
      <c r="OR112" s="68"/>
      <c r="OS112" s="68"/>
      <c r="OT112" s="68"/>
      <c r="OU112" s="68"/>
      <c r="OV112" s="68"/>
      <c r="OW112" s="68"/>
      <c r="OX112" s="68"/>
      <c r="OY112" s="68"/>
      <c r="OZ112" s="68"/>
      <c r="PA112" s="68"/>
      <c r="PB112" s="68"/>
      <c r="PC112" s="68"/>
      <c r="PD112" s="68"/>
      <c r="PE112" s="68"/>
      <c r="PF112" s="68"/>
      <c r="PG112" s="68"/>
      <c r="PH112" s="68"/>
      <c r="PI112" s="68"/>
      <c r="PJ112" s="68"/>
      <c r="PK112" s="68"/>
      <c r="PL112" s="68"/>
      <c r="PM112" s="68"/>
      <c r="PN112" s="68"/>
      <c r="PO112" s="68"/>
      <c r="PP112" s="68"/>
      <c r="PQ112" s="68"/>
      <c r="PR112" s="68"/>
      <c r="PS112" s="68"/>
      <c r="PT112" s="68"/>
      <c r="PU112" s="68"/>
      <c r="PV112" s="68"/>
      <c r="PW112" s="68"/>
      <c r="PX112" s="68"/>
      <c r="PY112" s="68"/>
      <c r="PZ112" s="68"/>
      <c r="QA112" s="68"/>
      <c r="QB112" s="68"/>
      <c r="QC112" s="68"/>
      <c r="QD112" s="68"/>
      <c r="QE112" s="68"/>
      <c r="QF112" s="68"/>
      <c r="QG112" s="68"/>
      <c r="QH112" s="68"/>
      <c r="QI112" s="68"/>
      <c r="QJ112" s="68"/>
      <c r="QK112" s="68"/>
      <c r="QL112" s="68"/>
      <c r="QM112" s="68"/>
      <c r="QN112" s="68"/>
      <c r="QO112" s="68"/>
      <c r="QP112" s="68"/>
      <c r="QQ112" s="68"/>
      <c r="QR112" s="68"/>
      <c r="QS112" s="68"/>
      <c r="QT112" s="68"/>
      <c r="QU112" s="68"/>
      <c r="QV112" s="68"/>
      <c r="QW112" s="68"/>
      <c r="QX112" s="68"/>
      <c r="QY112" s="68"/>
      <c r="QZ112" s="68"/>
      <c r="RA112" s="68"/>
      <c r="RB112" s="68"/>
      <c r="RC112" s="68"/>
      <c r="RD112" s="68"/>
      <c r="RE112" s="68"/>
      <c r="RF112" s="68"/>
      <c r="RG112" s="68"/>
      <c r="RH112" s="68"/>
      <c r="RI112" s="68"/>
      <c r="RJ112" s="68"/>
      <c r="RK112" s="68"/>
      <c r="RL112" s="68"/>
      <c r="RM112" s="68"/>
      <c r="RN112" s="68"/>
      <c r="RO112" s="68"/>
      <c r="RP112" s="68"/>
      <c r="RQ112" s="68"/>
      <c r="RR112" s="68"/>
      <c r="RS112" s="68"/>
      <c r="RT112" s="68"/>
      <c r="RU112" s="68"/>
      <c r="RV112" s="68"/>
      <c r="RW112" s="68"/>
      <c r="RX112" s="68"/>
      <c r="RY112" s="68"/>
      <c r="RZ112" s="68"/>
      <c r="SA112" s="68"/>
      <c r="SB112" s="68"/>
      <c r="SC112" s="68"/>
      <c r="SD112" s="68"/>
      <c r="SE112" s="68"/>
      <c r="SF112" s="68"/>
      <c r="SG112" s="68"/>
      <c r="SH112" s="68"/>
      <c r="SI112" s="68"/>
      <c r="SJ112" s="68"/>
      <c r="SK112" s="68"/>
      <c r="SL112" s="68"/>
      <c r="SM112" s="68"/>
      <c r="SN112" s="68"/>
      <c r="SO112" s="68"/>
      <c r="SP112" s="68"/>
      <c r="SQ112" s="68"/>
      <c r="SR112" s="68"/>
      <c r="SS112" s="68"/>
      <c r="ST112" s="68"/>
      <c r="SU112" s="68"/>
      <c r="SV112" s="68"/>
      <c r="SW112" s="68"/>
      <c r="SX112" s="68"/>
      <c r="SY112" s="68"/>
      <c r="SZ112" s="68"/>
      <c r="TA112" s="68"/>
      <c r="TB112" s="68"/>
      <c r="TC112" s="68"/>
      <c r="TD112" s="68"/>
      <c r="TE112" s="68"/>
      <c r="TF112" s="68"/>
      <c r="TG112" s="68"/>
      <c r="TH112" s="68"/>
      <c r="TI112" s="68"/>
      <c r="TJ112" s="68"/>
      <c r="TK112" s="68"/>
      <c r="TL112" s="68"/>
      <c r="TM112" s="68"/>
      <c r="TN112" s="68"/>
      <c r="TO112" s="68"/>
      <c r="TP112" s="68"/>
      <c r="TQ112" s="68"/>
      <c r="TR112" s="68"/>
      <c r="TS112" s="68"/>
      <c r="TT112" s="68"/>
      <c r="TU112" s="68"/>
      <c r="TV112" s="68"/>
      <c r="TW112" s="68"/>
      <c r="TX112" s="68"/>
      <c r="TY112" s="68"/>
      <c r="TZ112" s="68"/>
      <c r="UA112" s="68"/>
      <c r="UB112" s="68"/>
      <c r="UC112" s="68"/>
      <c r="UD112" s="68"/>
      <c r="UE112" s="68"/>
      <c r="UF112" s="68"/>
      <c r="UG112" s="68"/>
      <c r="UH112" s="68"/>
      <c r="UI112" s="68"/>
      <c r="UJ112" s="68"/>
      <c r="UK112" s="68"/>
      <c r="UL112" s="68"/>
      <c r="UM112" s="68"/>
      <c r="UN112" s="68"/>
      <c r="UO112" s="68"/>
      <c r="UP112" s="68"/>
      <c r="UQ112" s="68"/>
      <c r="UR112" s="68"/>
      <c r="US112" s="68"/>
      <c r="UT112" s="68"/>
      <c r="UU112" s="68"/>
      <c r="UV112" s="68"/>
      <c r="UW112" s="68"/>
      <c r="UX112" s="68"/>
      <c r="UY112" s="68"/>
      <c r="UZ112" s="68"/>
      <c r="VA112" s="68"/>
      <c r="VB112" s="68"/>
      <c r="VC112" s="68"/>
      <c r="VD112" s="68"/>
      <c r="VE112" s="68"/>
      <c r="VF112" s="68"/>
      <c r="VG112" s="68"/>
      <c r="VH112" s="68"/>
      <c r="VI112" s="68"/>
      <c r="VJ112" s="68"/>
      <c r="VK112" s="68"/>
      <c r="VL112" s="68"/>
      <c r="VM112" s="68"/>
      <c r="VN112" s="68"/>
      <c r="VO112" s="68"/>
      <c r="VP112" s="68"/>
      <c r="VQ112" s="68"/>
      <c r="VR112" s="68"/>
      <c r="VS112" s="68"/>
      <c r="VT112" s="68"/>
      <c r="VU112" s="68"/>
      <c r="VV112" s="68"/>
      <c r="VW112" s="68"/>
      <c r="VX112" s="68"/>
      <c r="VY112" s="68"/>
      <c r="VZ112" s="68"/>
      <c r="WA112" s="68"/>
      <c r="WB112" s="68"/>
      <c r="WC112" s="68"/>
      <c r="WD112" s="68"/>
      <c r="WE112" s="68"/>
      <c r="WF112" s="68"/>
      <c r="WG112" s="68"/>
      <c r="WH112" s="68"/>
      <c r="WI112" s="68"/>
      <c r="WJ112" s="68"/>
      <c r="WK112" s="68"/>
      <c r="WL112" s="68"/>
      <c r="WM112" s="68"/>
      <c r="WN112" s="68"/>
      <c r="WO112" s="68"/>
      <c r="WP112" s="68"/>
      <c r="WQ112" s="68"/>
      <c r="WR112" s="68"/>
      <c r="WS112" s="68"/>
      <c r="WT112" s="68"/>
      <c r="WU112" s="68"/>
      <c r="WV112" s="68"/>
      <c r="WW112" s="68"/>
      <c r="WX112" s="68"/>
      <c r="WY112" s="68"/>
      <c r="WZ112" s="68"/>
      <c r="XA112" s="68"/>
      <c r="XB112" s="68"/>
      <c r="XC112" s="68"/>
      <c r="XD112" s="68"/>
      <c r="XE112" s="68"/>
      <c r="XF112" s="68"/>
      <c r="XG112" s="68"/>
      <c r="XH112" s="68"/>
      <c r="XI112" s="68"/>
      <c r="XJ112" s="68"/>
      <c r="XK112" s="68"/>
      <c r="XL112" s="68"/>
      <c r="XM112" s="68"/>
      <c r="XN112" s="68"/>
      <c r="XO112" s="68"/>
      <c r="XP112" s="68"/>
      <c r="XQ112" s="68"/>
      <c r="XR112" s="68"/>
      <c r="XS112" s="68"/>
      <c r="XT112" s="68"/>
      <c r="XU112" s="68"/>
      <c r="XV112" s="68"/>
      <c r="XW112" s="68"/>
      <c r="XX112" s="68"/>
      <c r="XY112" s="68"/>
      <c r="XZ112" s="68"/>
      <c r="YA112" s="68"/>
      <c r="YB112" s="68"/>
      <c r="YC112" s="68"/>
      <c r="YD112" s="68"/>
      <c r="YE112" s="68"/>
      <c r="YF112" s="68"/>
      <c r="YG112" s="68"/>
      <c r="YH112" s="68"/>
      <c r="YI112" s="68"/>
      <c r="YJ112" s="68"/>
      <c r="YK112" s="68"/>
      <c r="YL112" s="68"/>
      <c r="YM112" s="68"/>
      <c r="YN112" s="68"/>
      <c r="YO112" s="68"/>
      <c r="YP112" s="68"/>
      <c r="YQ112" s="68"/>
      <c r="YR112" s="68"/>
      <c r="YS112" s="68"/>
      <c r="YT112" s="68"/>
      <c r="YU112" s="68"/>
      <c r="YV112" s="68"/>
      <c r="YW112" s="68"/>
      <c r="YX112" s="68"/>
      <c r="YY112" s="68"/>
      <c r="YZ112" s="68"/>
      <c r="ZA112" s="68"/>
      <c r="ZB112" s="68"/>
      <c r="ZC112" s="68"/>
      <c r="ZD112" s="68"/>
      <c r="ZE112" s="68"/>
      <c r="ZF112" s="68"/>
      <c r="ZG112" s="68"/>
      <c r="ZH112" s="68"/>
      <c r="ZI112" s="68"/>
      <c r="ZJ112" s="68"/>
      <c r="ZK112" s="68"/>
      <c r="ZL112" s="68"/>
      <c r="ZM112" s="68"/>
      <c r="ZN112" s="68"/>
      <c r="ZO112" s="68"/>
      <c r="ZP112" s="68"/>
      <c r="ZQ112" s="68"/>
      <c r="ZR112" s="68"/>
      <c r="ZS112" s="68"/>
      <c r="ZT112" s="68"/>
      <c r="ZU112" s="68"/>
      <c r="ZV112" s="68"/>
      <c r="ZW112" s="68"/>
      <c r="ZX112" s="68"/>
      <c r="ZY112" s="68"/>
      <c r="ZZ112" s="68"/>
      <c r="AAA112" s="68"/>
      <c r="AAB112" s="68"/>
      <c r="AAC112" s="68"/>
      <c r="AAD112" s="68"/>
      <c r="AAE112" s="68"/>
      <c r="AAF112" s="68"/>
      <c r="AAG112" s="68"/>
      <c r="AAH112" s="68"/>
      <c r="AAI112" s="68"/>
      <c r="AAJ112" s="68"/>
      <c r="AAK112" s="68"/>
      <c r="AAL112" s="68"/>
      <c r="AAM112" s="68"/>
      <c r="AAN112" s="68"/>
      <c r="AAO112" s="68"/>
      <c r="AAP112" s="68"/>
      <c r="AAQ112" s="68"/>
      <c r="AAR112" s="68"/>
      <c r="AAS112" s="68"/>
      <c r="AAT112" s="68"/>
      <c r="AAU112" s="68"/>
      <c r="AAV112" s="68"/>
      <c r="AAW112" s="68"/>
      <c r="AAX112" s="68"/>
      <c r="AAY112" s="68"/>
      <c r="AAZ112" s="68"/>
      <c r="ABA112" s="68"/>
      <c r="ABB112" s="68"/>
      <c r="ABC112" s="68"/>
      <c r="ABD112" s="68"/>
      <c r="ABE112" s="68"/>
      <c r="ABF112" s="68"/>
      <c r="ABG112" s="68"/>
      <c r="ABH112" s="68"/>
      <c r="ABI112" s="68"/>
      <c r="ABJ112" s="68"/>
      <c r="ABK112" s="68"/>
      <c r="ABL112" s="68"/>
      <c r="ABM112" s="68"/>
      <c r="ABN112" s="68"/>
      <c r="ABO112" s="68"/>
      <c r="ABP112" s="68"/>
      <c r="ABQ112" s="68"/>
      <c r="ABR112" s="68"/>
      <c r="ABS112" s="68"/>
      <c r="ABT112" s="68"/>
      <c r="ABU112" s="68"/>
      <c r="ABV112" s="68"/>
      <c r="ABW112" s="68"/>
      <c r="ABX112" s="68"/>
      <c r="ABY112" s="68"/>
      <c r="ABZ112" s="68"/>
      <c r="ACA112" s="68"/>
      <c r="ACB112" s="68"/>
      <c r="ACC112" s="68"/>
      <c r="ACD112" s="68"/>
      <c r="ACE112" s="68"/>
      <c r="ACF112" s="68"/>
      <c r="ACG112" s="68"/>
      <c r="ACH112" s="68"/>
      <c r="ACI112" s="68"/>
      <c r="ACJ112" s="68"/>
      <c r="ACK112" s="68"/>
      <c r="ACL112" s="68"/>
      <c r="ACM112" s="68"/>
      <c r="ACN112" s="68"/>
      <c r="ACO112" s="68"/>
      <c r="ACP112" s="68"/>
      <c r="ACQ112" s="68"/>
      <c r="ACR112" s="68"/>
      <c r="ACS112" s="68"/>
      <c r="ACT112" s="68"/>
      <c r="ACU112" s="68"/>
      <c r="ACV112" s="68"/>
      <c r="ACW112" s="68"/>
      <c r="ACX112" s="68"/>
      <c r="ACY112" s="68"/>
      <c r="ACZ112" s="68"/>
      <c r="ADA112" s="68"/>
      <c r="ADB112" s="68"/>
      <c r="ADC112" s="68"/>
      <c r="ADD112" s="68"/>
      <c r="ADE112" s="68"/>
      <c r="ADF112" s="68"/>
      <c r="ADG112" s="68"/>
      <c r="ADH112" s="68"/>
      <c r="ADI112" s="68"/>
      <c r="ADJ112" s="68"/>
      <c r="ADK112" s="68"/>
      <c r="ADL112" s="68"/>
      <c r="ADM112" s="68"/>
      <c r="ADN112" s="68"/>
      <c r="ADO112" s="68"/>
      <c r="ADP112" s="68"/>
      <c r="ADQ112" s="68"/>
      <c r="ADR112" s="68"/>
      <c r="ADS112" s="68"/>
      <c r="ADT112" s="68"/>
      <c r="ADU112" s="68"/>
      <c r="ADV112" s="68"/>
      <c r="ADW112" s="68"/>
      <c r="ADX112" s="68"/>
      <c r="ADY112" s="68"/>
      <c r="ADZ112" s="68"/>
      <c r="AEA112" s="68"/>
      <c r="AEB112" s="68"/>
      <c r="AEC112" s="68"/>
      <c r="AED112" s="68"/>
      <c r="AEE112" s="68"/>
      <c r="AEF112" s="68"/>
      <c r="AEG112" s="68"/>
      <c r="AEH112" s="68"/>
      <c r="AEI112" s="68"/>
      <c r="AEJ112" s="68"/>
      <c r="AEK112" s="68"/>
      <c r="AEL112" s="68"/>
      <c r="AEM112" s="68"/>
      <c r="AEN112" s="68"/>
      <c r="AEO112" s="68"/>
      <c r="AEP112" s="68"/>
      <c r="AEQ112" s="68"/>
      <c r="AER112" s="68"/>
      <c r="AES112" s="68"/>
      <c r="AET112" s="68"/>
      <c r="AEU112" s="68"/>
      <c r="AEV112" s="68"/>
      <c r="AEW112" s="68"/>
      <c r="AEX112" s="68"/>
      <c r="AEY112" s="68"/>
      <c r="AEZ112" s="68"/>
      <c r="AFA112" s="68"/>
      <c r="AFB112" s="68"/>
      <c r="AFC112" s="68"/>
      <c r="AFD112" s="68"/>
      <c r="AFE112" s="68"/>
      <c r="AFF112" s="68"/>
      <c r="AFG112" s="68"/>
      <c r="AFH112" s="68"/>
      <c r="AFI112" s="68"/>
      <c r="AFJ112" s="68"/>
      <c r="AFK112" s="68"/>
      <c r="AFL112" s="68"/>
      <c r="AFM112" s="68"/>
      <c r="AFN112" s="68"/>
      <c r="AFO112" s="68"/>
      <c r="AFP112" s="68"/>
      <c r="AFQ112" s="68"/>
      <c r="AFR112" s="68"/>
      <c r="AFS112" s="68"/>
      <c r="AFT112" s="68"/>
      <c r="AFU112" s="68"/>
      <c r="AFV112" s="68"/>
      <c r="AFW112" s="68"/>
      <c r="AFX112" s="68"/>
      <c r="AFY112" s="68"/>
      <c r="AFZ112" s="68"/>
      <c r="AGA112" s="68"/>
      <c r="AGB112" s="68"/>
      <c r="AGC112" s="68"/>
      <c r="AGD112" s="68"/>
      <c r="AGE112" s="68"/>
      <c r="AGF112" s="68"/>
      <c r="AGG112" s="68"/>
      <c r="AGH112" s="68"/>
      <c r="AGI112" s="68"/>
      <c r="AGJ112" s="68"/>
      <c r="AGK112" s="68"/>
      <c r="AGL112" s="68"/>
      <c r="AGM112" s="68"/>
      <c r="AGN112" s="68"/>
      <c r="AGO112" s="68"/>
      <c r="AGP112" s="68"/>
      <c r="AGQ112" s="68"/>
      <c r="AGR112" s="68"/>
      <c r="AGS112" s="68"/>
      <c r="AGT112" s="68"/>
      <c r="AGU112" s="68"/>
      <c r="AGV112" s="68"/>
      <c r="AGW112" s="68"/>
      <c r="AGX112" s="68"/>
      <c r="AGY112" s="68"/>
      <c r="AGZ112" s="68"/>
      <c r="AHA112" s="68"/>
      <c r="AHB112" s="68"/>
      <c r="AHC112" s="68"/>
      <c r="AHD112" s="68"/>
      <c r="AHE112" s="68"/>
      <c r="AHF112" s="68"/>
      <c r="AHG112" s="68"/>
      <c r="AHH112" s="68"/>
      <c r="AHI112" s="68"/>
      <c r="AHJ112" s="68"/>
      <c r="AHK112" s="68"/>
      <c r="AHL112" s="68"/>
      <c r="AHM112" s="68"/>
      <c r="AHN112" s="68"/>
      <c r="AHO112" s="68"/>
      <c r="AHP112" s="68"/>
      <c r="AHQ112" s="68"/>
      <c r="AHR112" s="68"/>
      <c r="AHS112" s="68"/>
      <c r="AHT112" s="68"/>
      <c r="AHU112" s="68"/>
      <c r="AHV112" s="68"/>
      <c r="AHW112" s="68"/>
      <c r="AHX112" s="68"/>
      <c r="AHY112" s="68"/>
      <c r="AHZ112" s="68"/>
      <c r="AIA112" s="68"/>
      <c r="AIB112" s="68"/>
      <c r="AIC112" s="68"/>
      <c r="AID112" s="68"/>
      <c r="AIE112" s="68"/>
      <c r="AIF112" s="68"/>
      <c r="AIG112" s="68"/>
      <c r="AIH112" s="68"/>
      <c r="AII112" s="68"/>
      <c r="AIJ112" s="68"/>
      <c r="AIK112" s="68"/>
      <c r="AIL112" s="68"/>
      <c r="AIM112" s="68"/>
      <c r="AIN112" s="68"/>
      <c r="AIO112" s="68"/>
      <c r="AIP112" s="68"/>
      <c r="AIQ112" s="68"/>
      <c r="AIR112" s="68"/>
      <c r="AIS112" s="68"/>
      <c r="AIT112" s="68"/>
      <c r="AIU112" s="68"/>
      <c r="AIV112" s="68"/>
      <c r="AIW112" s="68"/>
      <c r="AIX112" s="68"/>
      <c r="AIY112" s="68"/>
      <c r="AIZ112" s="68"/>
      <c r="AJA112" s="68"/>
      <c r="AJB112" s="68"/>
      <c r="AJC112" s="68"/>
      <c r="AJD112" s="68"/>
      <c r="AJE112" s="68"/>
      <c r="AJF112" s="68"/>
      <c r="AJG112" s="68"/>
      <c r="AJH112" s="68"/>
      <c r="AJI112" s="68"/>
      <c r="AJJ112" s="68"/>
      <c r="AJK112" s="68"/>
      <c r="AJL112" s="68"/>
      <c r="AJM112" s="68"/>
      <c r="AJN112" s="68"/>
      <c r="AJO112" s="68"/>
      <c r="AJP112" s="68"/>
      <c r="AJQ112" s="68"/>
      <c r="AJR112" s="68"/>
      <c r="AJS112" s="68"/>
      <c r="AJT112" s="68"/>
      <c r="AJU112" s="68"/>
      <c r="AJV112" s="68"/>
      <c r="AJW112" s="68"/>
      <c r="AJX112" s="68"/>
      <c r="AJY112" s="68"/>
      <c r="AJZ112" s="68"/>
      <c r="AKA112" s="68"/>
      <c r="AKB112" s="68"/>
      <c r="AKC112" s="68"/>
      <c r="AKD112" s="68"/>
      <c r="AKE112" s="68"/>
      <c r="AKF112" s="68"/>
      <c r="AKG112" s="68"/>
      <c r="AKH112" s="68"/>
      <c r="AKI112" s="68"/>
      <c r="AKJ112" s="68"/>
      <c r="AKK112" s="68"/>
      <c r="AKL112" s="68"/>
      <c r="AKM112" s="68"/>
      <c r="AKN112" s="68"/>
      <c r="AKO112" s="68"/>
      <c r="AKP112" s="68"/>
      <c r="AKQ112" s="68"/>
      <c r="AKR112" s="68"/>
      <c r="AKS112" s="68"/>
      <c r="AKT112" s="68"/>
      <c r="AKU112" s="68"/>
      <c r="AKV112" s="68"/>
      <c r="AKW112" s="68"/>
      <c r="AKX112" s="68"/>
      <c r="AKY112" s="68"/>
      <c r="AKZ112" s="68"/>
      <c r="ALA112" s="68"/>
      <c r="ALB112" s="68"/>
      <c r="ALC112" s="68"/>
      <c r="ALD112" s="68"/>
      <c r="ALE112" s="68"/>
      <c r="ALF112" s="68"/>
      <c r="ALG112" s="68"/>
      <c r="ALH112" s="68"/>
      <c r="ALI112" s="68"/>
      <c r="ALJ112" s="68"/>
      <c r="ALK112" s="68"/>
      <c r="ALL112" s="68"/>
      <c r="ALM112" s="68"/>
      <c r="ALN112" s="68"/>
      <c r="ALO112" s="68"/>
      <c r="ALP112" s="68"/>
      <c r="ALQ112" s="68"/>
      <c r="ALR112" s="68"/>
      <c r="ALS112" s="68"/>
      <c r="ALT112" s="68"/>
      <c r="ALU112" s="68"/>
      <c r="ALV112" s="68"/>
      <c r="ALW112" s="68"/>
      <c r="ALX112" s="68"/>
      <c r="ALY112" s="68"/>
      <c r="ALZ112" s="68"/>
      <c r="AMA112" s="68"/>
      <c r="AMB112" s="68"/>
      <c r="AMC112" s="68"/>
      <c r="AMD112" s="68"/>
      <c r="AME112" s="68"/>
      <c r="AMF112" s="68"/>
      <c r="AMG112" s="68"/>
      <c r="AMH112" s="68"/>
      <c r="AMI112" s="68"/>
      <c r="AMJ112" s="68"/>
      <c r="AMK112" s="68"/>
      <c r="AML112" s="68"/>
      <c r="AMM112" s="68"/>
      <c r="AMN112" s="68"/>
      <c r="AMO112" s="68"/>
      <c r="AMP112" s="68"/>
      <c r="AMQ112" s="68"/>
      <c r="AMR112" s="68"/>
      <c r="AMS112" s="68"/>
      <c r="AMT112" s="68"/>
      <c r="AMU112" s="68"/>
      <c r="AMV112" s="68"/>
      <c r="AMW112" s="68"/>
      <c r="AMX112" s="68"/>
      <c r="AMY112" s="68"/>
      <c r="AMZ112" s="68"/>
      <c r="ANA112" s="68"/>
      <c r="ANB112" s="68"/>
      <c r="ANC112" s="68"/>
      <c r="AND112" s="68"/>
      <c r="ANE112" s="68"/>
      <c r="ANF112" s="68"/>
      <c r="ANG112" s="68"/>
      <c r="ANH112" s="68"/>
      <c r="ANI112" s="68"/>
      <c r="ANJ112" s="68"/>
      <c r="ANK112" s="68"/>
      <c r="ANL112" s="68"/>
      <c r="ANM112" s="68"/>
      <c r="ANN112" s="68"/>
      <c r="ANO112" s="68"/>
      <c r="ANP112" s="68"/>
      <c r="ANQ112" s="68"/>
      <c r="ANR112" s="68"/>
      <c r="ANS112" s="68"/>
      <c r="ANT112" s="68"/>
      <c r="ANU112" s="68"/>
      <c r="ANV112" s="68"/>
      <c r="ANW112" s="68"/>
      <c r="ANX112" s="68"/>
      <c r="ANY112" s="68"/>
      <c r="ANZ112" s="68"/>
      <c r="AOA112" s="68"/>
      <c r="AOB112" s="68"/>
      <c r="AOC112" s="68"/>
      <c r="AOD112" s="68"/>
      <c r="AOE112" s="68"/>
      <c r="AOF112" s="68"/>
      <c r="AOG112" s="68"/>
      <c r="AOH112" s="68"/>
      <c r="AOI112" s="68"/>
      <c r="AOJ112" s="68"/>
      <c r="AOK112" s="68"/>
      <c r="AOL112" s="68"/>
      <c r="AOM112" s="68"/>
      <c r="AON112" s="68"/>
      <c r="AOO112" s="68"/>
      <c r="AOP112" s="68"/>
      <c r="AOQ112" s="68"/>
      <c r="AOR112" s="68"/>
      <c r="AOS112" s="68"/>
      <c r="AOT112" s="68"/>
      <c r="AOU112" s="68"/>
      <c r="AOV112" s="68"/>
      <c r="AOW112" s="68"/>
      <c r="AOX112" s="68"/>
      <c r="AOY112" s="68"/>
      <c r="AOZ112" s="68"/>
      <c r="APA112" s="68"/>
      <c r="APB112" s="68"/>
      <c r="APC112" s="68"/>
      <c r="APD112" s="68"/>
      <c r="APE112" s="68"/>
      <c r="APF112" s="68"/>
      <c r="APG112" s="68"/>
      <c r="APH112" s="68"/>
      <c r="API112" s="68"/>
      <c r="APJ112" s="68"/>
      <c r="APK112" s="68"/>
      <c r="APL112" s="68"/>
      <c r="APM112" s="68"/>
      <c r="APN112" s="68"/>
      <c r="APO112" s="68"/>
      <c r="APP112" s="68"/>
      <c r="APQ112" s="68"/>
      <c r="APR112" s="68"/>
      <c r="APS112" s="68"/>
      <c r="APT112" s="68"/>
      <c r="APU112" s="68"/>
      <c r="APV112" s="68"/>
      <c r="APW112" s="68"/>
      <c r="APX112" s="68"/>
      <c r="APY112" s="68"/>
      <c r="APZ112" s="68"/>
      <c r="AQA112" s="68"/>
      <c r="AQB112" s="68"/>
      <c r="AQC112" s="68"/>
      <c r="AQD112" s="68"/>
      <c r="AQE112" s="68"/>
      <c r="AQF112" s="68"/>
      <c r="AQG112" s="68"/>
      <c r="AQH112" s="68"/>
      <c r="AQI112" s="68"/>
      <c r="AQJ112" s="68"/>
      <c r="AQK112" s="68"/>
      <c r="AQL112" s="68"/>
      <c r="AQM112" s="68"/>
      <c r="AQN112" s="68"/>
      <c r="AQO112" s="68"/>
      <c r="AQP112" s="68"/>
      <c r="AQQ112" s="68"/>
      <c r="AQR112" s="68"/>
      <c r="AQS112" s="68"/>
      <c r="AQT112" s="68"/>
      <c r="AQU112" s="68"/>
      <c r="AQV112" s="68"/>
      <c r="AQW112" s="68"/>
      <c r="AQX112" s="68"/>
      <c r="AQY112" s="68"/>
      <c r="AQZ112" s="68"/>
      <c r="ARA112" s="68"/>
      <c r="ARB112" s="68"/>
      <c r="ARC112" s="68"/>
      <c r="ARD112" s="68"/>
      <c r="ARE112" s="68"/>
      <c r="ARF112" s="68"/>
      <c r="ARG112" s="68"/>
      <c r="ARH112" s="68"/>
      <c r="ARI112" s="68"/>
      <c r="ARJ112" s="68"/>
      <c r="ARK112" s="68"/>
      <c r="ARL112" s="68"/>
      <c r="ARM112" s="68"/>
      <c r="ARN112" s="68"/>
      <c r="ARO112" s="68"/>
      <c r="ARP112" s="68"/>
      <c r="ARQ112" s="68"/>
      <c r="ARR112" s="68"/>
      <c r="ARS112" s="68"/>
      <c r="ART112" s="68"/>
      <c r="ARU112" s="68"/>
      <c r="ARV112" s="68"/>
      <c r="ARW112" s="68"/>
      <c r="ARX112" s="68"/>
      <c r="ARY112" s="68"/>
      <c r="ARZ112" s="68"/>
      <c r="ASA112" s="68"/>
      <c r="ASB112" s="68"/>
      <c r="ASC112" s="68"/>
      <c r="ASD112" s="68"/>
      <c r="ASE112" s="68"/>
      <c r="ASF112" s="68"/>
      <c r="ASG112" s="68"/>
      <c r="ASH112" s="68"/>
      <c r="ASI112" s="68"/>
      <c r="ASJ112" s="68"/>
      <c r="ASK112" s="68"/>
      <c r="ASL112" s="68"/>
      <c r="ASM112" s="68"/>
      <c r="ASN112" s="68"/>
      <c r="ASO112" s="68"/>
      <c r="ASP112" s="68"/>
      <c r="ASQ112" s="68"/>
      <c r="ASR112" s="68"/>
      <c r="ASS112" s="68"/>
      <c r="AST112" s="68"/>
      <c r="ASU112" s="68"/>
      <c r="ASV112" s="68"/>
      <c r="ASW112" s="68"/>
      <c r="ASX112" s="68"/>
      <c r="ASY112" s="68"/>
      <c r="ASZ112" s="68"/>
      <c r="ATA112" s="68"/>
      <c r="ATB112" s="68"/>
      <c r="ATC112" s="68"/>
      <c r="ATD112" s="68"/>
      <c r="ATE112" s="68"/>
      <c r="ATF112" s="68"/>
      <c r="ATG112" s="68"/>
      <c r="ATH112" s="68"/>
      <c r="ATI112" s="68"/>
      <c r="ATJ112" s="68"/>
      <c r="ATK112" s="68"/>
      <c r="ATL112" s="68"/>
      <c r="ATM112" s="68"/>
      <c r="ATN112" s="68"/>
      <c r="ATO112" s="68"/>
      <c r="ATP112" s="68"/>
      <c r="ATQ112" s="68"/>
      <c r="ATR112" s="68"/>
      <c r="ATS112" s="68"/>
      <c r="ATT112" s="68"/>
      <c r="ATU112" s="68"/>
      <c r="ATV112" s="68"/>
      <c r="ATW112" s="68"/>
      <c r="ATX112" s="68"/>
      <c r="ATY112" s="68"/>
      <c r="ATZ112" s="68"/>
      <c r="AUA112" s="68"/>
      <c r="AUB112" s="68"/>
      <c r="AUC112" s="68"/>
      <c r="AUD112" s="68"/>
      <c r="AUE112" s="68"/>
      <c r="AUF112" s="68"/>
      <c r="AUG112" s="68"/>
      <c r="AUH112" s="68"/>
      <c r="AUI112" s="68"/>
      <c r="AUJ112" s="68"/>
      <c r="AUK112" s="68"/>
      <c r="AUL112" s="68"/>
      <c r="AUM112" s="68"/>
      <c r="AUN112" s="68"/>
      <c r="AUO112" s="68"/>
      <c r="AUP112" s="68"/>
      <c r="AUQ112" s="68"/>
      <c r="AUR112" s="68"/>
      <c r="AUS112" s="68"/>
      <c r="AUT112" s="68"/>
      <c r="AUU112" s="68"/>
      <c r="AUV112" s="68"/>
      <c r="AUW112" s="68"/>
      <c r="AUX112" s="68"/>
      <c r="AUY112" s="68"/>
      <c r="AUZ112" s="68"/>
      <c r="AVA112" s="68"/>
      <c r="AVB112" s="68"/>
      <c r="AVC112" s="68"/>
      <c r="AVD112" s="68"/>
      <c r="AVE112" s="68"/>
      <c r="AVF112" s="68"/>
      <c r="AVG112" s="68"/>
      <c r="AVH112" s="68"/>
      <c r="AVI112" s="68"/>
      <c r="AVJ112" s="68"/>
      <c r="AVK112" s="68"/>
      <c r="AVL112" s="68"/>
      <c r="AVM112" s="68"/>
      <c r="AVN112" s="68"/>
      <c r="AVO112" s="68"/>
      <c r="AVP112" s="68"/>
      <c r="AVQ112" s="68"/>
      <c r="AVR112" s="68"/>
      <c r="AVS112" s="68"/>
      <c r="AVT112" s="68"/>
      <c r="AVU112" s="68"/>
      <c r="AVV112" s="68"/>
      <c r="AVW112" s="68"/>
      <c r="AVX112" s="68"/>
      <c r="AVY112" s="68"/>
      <c r="AVZ112" s="68"/>
      <c r="AWA112" s="68"/>
      <c r="AWB112" s="68"/>
      <c r="AWC112" s="68"/>
      <c r="AWD112" s="68"/>
      <c r="AWE112" s="68"/>
      <c r="AWF112" s="68"/>
      <c r="AWG112" s="68"/>
      <c r="AWH112" s="68"/>
      <c r="AWI112" s="68"/>
      <c r="AWJ112" s="68"/>
      <c r="AWK112" s="68"/>
      <c r="AWL112" s="68"/>
      <c r="AWM112" s="68"/>
      <c r="AWN112" s="68"/>
      <c r="AWO112" s="68"/>
      <c r="AWP112" s="68"/>
      <c r="AWQ112" s="68"/>
      <c r="AWR112" s="68"/>
      <c r="AWS112" s="68"/>
      <c r="AWT112" s="68"/>
      <c r="AWU112" s="68"/>
      <c r="AWV112" s="68"/>
      <c r="AWW112" s="68"/>
      <c r="AWX112" s="68"/>
      <c r="AWY112" s="68"/>
      <c r="AWZ112" s="68"/>
      <c r="AXA112" s="68"/>
      <c r="AXB112" s="68"/>
      <c r="AXC112" s="68"/>
      <c r="AXD112" s="68"/>
      <c r="AXE112" s="68"/>
      <c r="AXF112" s="68"/>
      <c r="AXG112" s="68"/>
      <c r="AXH112" s="68"/>
      <c r="AXI112" s="68"/>
      <c r="AXJ112" s="68"/>
      <c r="AXK112" s="68"/>
      <c r="AXL112" s="68"/>
      <c r="AXM112" s="68"/>
      <c r="AXN112" s="68"/>
      <c r="AXO112" s="68"/>
      <c r="AXP112" s="68"/>
      <c r="AXQ112" s="68"/>
      <c r="AXR112" s="68"/>
      <c r="AXS112" s="68"/>
      <c r="AXT112" s="68"/>
      <c r="AXU112" s="68"/>
      <c r="AXV112" s="68"/>
      <c r="AXW112" s="68"/>
      <c r="AXX112" s="68"/>
      <c r="AXY112" s="68"/>
      <c r="AXZ112" s="68"/>
      <c r="AYA112" s="68"/>
      <c r="AYB112" s="68"/>
      <c r="AYC112" s="68"/>
      <c r="AYD112" s="68"/>
      <c r="AYE112" s="68"/>
      <c r="AYF112" s="68"/>
      <c r="AYG112" s="68"/>
      <c r="AYH112" s="68"/>
      <c r="AYI112" s="68"/>
      <c r="AYJ112" s="68"/>
      <c r="AYK112" s="68"/>
      <c r="AYL112" s="68"/>
      <c r="AYM112" s="68"/>
      <c r="AYN112" s="68"/>
      <c r="AYO112" s="68"/>
      <c r="AYP112" s="68"/>
      <c r="AYQ112" s="68"/>
      <c r="AYR112" s="68"/>
      <c r="AYS112" s="68"/>
      <c r="AYT112" s="68"/>
      <c r="AYU112" s="68"/>
      <c r="AYV112" s="68"/>
      <c r="AYW112" s="68"/>
      <c r="AYX112" s="68"/>
      <c r="AYY112" s="68"/>
      <c r="AYZ112" s="68"/>
      <c r="AZA112" s="68"/>
      <c r="AZB112" s="68"/>
      <c r="AZC112" s="68"/>
      <c r="AZD112" s="68"/>
      <c r="AZE112" s="68"/>
      <c r="AZF112" s="68"/>
      <c r="AZG112" s="68"/>
      <c r="AZH112" s="68"/>
      <c r="AZI112" s="68"/>
      <c r="AZJ112" s="68"/>
      <c r="AZK112" s="68"/>
      <c r="AZL112" s="68"/>
      <c r="AZM112" s="68"/>
      <c r="AZN112" s="68"/>
      <c r="AZO112" s="68"/>
      <c r="AZP112" s="68"/>
      <c r="AZQ112" s="68"/>
      <c r="AZR112" s="68"/>
      <c r="AZS112" s="68"/>
      <c r="AZT112" s="68"/>
      <c r="AZU112" s="68"/>
      <c r="AZV112" s="68"/>
      <c r="AZW112" s="68"/>
      <c r="AZX112" s="68"/>
      <c r="AZY112" s="68"/>
      <c r="AZZ112" s="68"/>
      <c r="BAA112" s="68"/>
      <c r="BAB112" s="68"/>
      <c r="BAC112" s="68"/>
      <c r="BAD112" s="68"/>
      <c r="BAE112" s="68"/>
      <c r="BAF112" s="68"/>
      <c r="BAG112" s="68"/>
      <c r="BAH112" s="68"/>
      <c r="BAI112" s="68"/>
      <c r="BAJ112" s="68"/>
      <c r="BAK112" s="68"/>
      <c r="BAL112" s="68"/>
      <c r="BAM112" s="68"/>
      <c r="BAN112" s="68"/>
      <c r="BAO112" s="68"/>
      <c r="BAP112" s="68"/>
      <c r="BAQ112" s="68"/>
      <c r="BAR112" s="68"/>
      <c r="BAS112" s="68"/>
      <c r="BAT112" s="68"/>
      <c r="BAU112" s="68"/>
      <c r="BAV112" s="68"/>
      <c r="BAW112" s="68"/>
      <c r="BAX112" s="68"/>
      <c r="BAY112" s="68"/>
      <c r="BAZ112" s="68"/>
      <c r="BBA112" s="68"/>
      <c r="BBB112" s="68"/>
      <c r="BBC112" s="68"/>
      <c r="BBD112" s="68"/>
      <c r="BBE112" s="68"/>
      <c r="BBF112" s="68"/>
      <c r="BBG112" s="68"/>
      <c r="BBH112" s="68"/>
      <c r="BBI112" s="68"/>
      <c r="BBJ112" s="68"/>
      <c r="BBK112" s="68"/>
      <c r="BBL112" s="68"/>
      <c r="BBM112" s="68"/>
      <c r="BBN112" s="68"/>
      <c r="BBO112" s="68"/>
      <c r="BBP112" s="68"/>
      <c r="BBQ112" s="68"/>
      <c r="BBR112" s="68"/>
      <c r="BBS112" s="68"/>
      <c r="BBT112" s="68"/>
      <c r="BBU112" s="68"/>
      <c r="BBV112" s="68"/>
      <c r="BBW112" s="68"/>
      <c r="BBX112" s="68"/>
      <c r="BBY112" s="68"/>
      <c r="BBZ112" s="68"/>
      <c r="BCA112" s="68"/>
      <c r="BCB112" s="68"/>
      <c r="BCC112" s="68"/>
      <c r="BCD112" s="68"/>
      <c r="BCE112" s="68"/>
      <c r="BCF112" s="68"/>
      <c r="BCG112" s="68"/>
      <c r="BCH112" s="68"/>
      <c r="BCI112" s="68"/>
      <c r="BCJ112" s="68"/>
      <c r="BCK112" s="68"/>
      <c r="BCL112" s="68"/>
      <c r="BCM112" s="68"/>
      <c r="BCN112" s="68"/>
      <c r="BCO112" s="68"/>
      <c r="BCP112" s="68"/>
      <c r="BCQ112" s="68"/>
      <c r="BCR112" s="68"/>
      <c r="BCS112" s="68"/>
      <c r="BCT112" s="68"/>
      <c r="BCU112" s="68"/>
      <c r="BCV112" s="68"/>
      <c r="BCW112" s="68"/>
      <c r="BCX112" s="68"/>
      <c r="BCY112" s="68"/>
      <c r="BCZ112" s="68"/>
      <c r="BDA112" s="68"/>
    </row>
    <row r="113" spans="1:1457" s="67" customFormat="1" ht="24.75" customHeight="1" x14ac:dyDescent="0.25">
      <c r="A113" s="49">
        <v>31</v>
      </c>
      <c r="B113" s="71" t="s">
        <v>258</v>
      </c>
      <c r="C113" s="71" t="s">
        <v>259</v>
      </c>
      <c r="D113" s="69" t="s">
        <v>708</v>
      </c>
      <c r="E113" s="71" t="s">
        <v>709</v>
      </c>
      <c r="F113" s="51">
        <v>1355414.9</v>
      </c>
      <c r="G113" s="70" t="s">
        <v>678</v>
      </c>
      <c r="H113" s="42" t="s">
        <v>587</v>
      </c>
      <c r="I113" s="71" t="s">
        <v>174</v>
      </c>
      <c r="J113" s="71"/>
      <c r="K113" s="69"/>
      <c r="L113" s="69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Q113" s="68"/>
      <c r="BR113" s="68"/>
      <c r="BS113" s="68"/>
      <c r="BT113" s="68"/>
      <c r="BU113" s="68"/>
      <c r="BV113" s="68"/>
      <c r="BW113" s="68"/>
      <c r="BX113" s="68"/>
      <c r="BY113" s="68"/>
      <c r="BZ113" s="68"/>
      <c r="CA113" s="68"/>
      <c r="CB113" s="68"/>
      <c r="CC113" s="68"/>
      <c r="CD113" s="68"/>
      <c r="CE113" s="68"/>
      <c r="CF113" s="68"/>
      <c r="CG113" s="68"/>
      <c r="CH113" s="68"/>
      <c r="CI113" s="68"/>
      <c r="CJ113" s="68"/>
      <c r="CK113" s="68"/>
      <c r="CL113" s="68"/>
      <c r="CM113" s="68"/>
      <c r="CN113" s="68"/>
      <c r="CO113" s="68"/>
      <c r="CP113" s="68"/>
      <c r="CQ113" s="68"/>
      <c r="CR113" s="68"/>
      <c r="CS113" s="68"/>
      <c r="CT113" s="68"/>
      <c r="CU113" s="68"/>
      <c r="CV113" s="68"/>
      <c r="CW113" s="68"/>
      <c r="CX113" s="68"/>
      <c r="CY113" s="68"/>
      <c r="CZ113" s="68"/>
      <c r="DA113" s="68"/>
      <c r="DB113" s="68"/>
      <c r="DC113" s="68"/>
      <c r="DD113" s="68"/>
      <c r="DE113" s="68"/>
      <c r="DF113" s="68"/>
      <c r="DG113" s="68"/>
      <c r="DH113" s="68"/>
      <c r="DI113" s="68"/>
      <c r="DJ113" s="68"/>
      <c r="DK113" s="68"/>
      <c r="DL113" s="68"/>
      <c r="DM113" s="68"/>
      <c r="DN113" s="68"/>
      <c r="DO113" s="68"/>
      <c r="DP113" s="68"/>
      <c r="DQ113" s="68"/>
      <c r="DR113" s="68"/>
      <c r="DS113" s="68"/>
      <c r="DT113" s="68"/>
      <c r="DU113" s="68"/>
      <c r="DV113" s="68"/>
      <c r="DW113" s="68"/>
      <c r="DX113" s="68"/>
      <c r="DY113" s="68"/>
      <c r="DZ113" s="68"/>
      <c r="EA113" s="68"/>
      <c r="EB113" s="68"/>
      <c r="EC113" s="68"/>
      <c r="ED113" s="68"/>
      <c r="EE113" s="68"/>
      <c r="EF113" s="68"/>
      <c r="EG113" s="68"/>
      <c r="EH113" s="68"/>
      <c r="EI113" s="68"/>
      <c r="EJ113" s="68"/>
      <c r="EK113" s="68"/>
      <c r="EL113" s="68"/>
      <c r="EM113" s="68"/>
      <c r="EN113" s="68"/>
      <c r="EO113" s="68"/>
      <c r="EP113" s="68"/>
      <c r="EQ113" s="68"/>
      <c r="ER113" s="68"/>
      <c r="ES113" s="68"/>
      <c r="ET113" s="68"/>
      <c r="EU113" s="68"/>
      <c r="EV113" s="68"/>
      <c r="EW113" s="68"/>
      <c r="EX113" s="68"/>
      <c r="EY113" s="68"/>
      <c r="EZ113" s="68"/>
      <c r="FA113" s="68"/>
      <c r="FB113" s="68"/>
      <c r="FC113" s="68"/>
      <c r="FD113" s="68"/>
      <c r="FE113" s="68"/>
      <c r="FF113" s="68"/>
      <c r="FG113" s="68"/>
      <c r="FH113" s="68"/>
      <c r="FI113" s="68"/>
      <c r="FJ113" s="68"/>
      <c r="FK113" s="68"/>
      <c r="FL113" s="68"/>
      <c r="FM113" s="68"/>
      <c r="FN113" s="68"/>
      <c r="FO113" s="68"/>
      <c r="FP113" s="68"/>
      <c r="FQ113" s="68"/>
      <c r="FR113" s="68"/>
      <c r="FS113" s="68"/>
      <c r="FT113" s="68"/>
      <c r="FU113" s="68"/>
      <c r="FV113" s="68"/>
      <c r="FW113" s="68"/>
      <c r="FX113" s="68"/>
      <c r="FY113" s="68"/>
      <c r="FZ113" s="68"/>
      <c r="GA113" s="68"/>
      <c r="GB113" s="68"/>
      <c r="GC113" s="68"/>
      <c r="GD113" s="68"/>
      <c r="GE113" s="68"/>
      <c r="GF113" s="68"/>
      <c r="GG113" s="68"/>
      <c r="GH113" s="68"/>
      <c r="GI113" s="68"/>
      <c r="GJ113" s="68"/>
      <c r="GK113" s="68"/>
      <c r="GL113" s="68"/>
      <c r="GM113" s="68"/>
      <c r="GN113" s="68"/>
      <c r="GO113" s="68"/>
      <c r="GP113" s="68"/>
      <c r="GQ113" s="68"/>
      <c r="GR113" s="68"/>
      <c r="GS113" s="68"/>
      <c r="GT113" s="68"/>
      <c r="GU113" s="68"/>
      <c r="GV113" s="68"/>
      <c r="GW113" s="68"/>
      <c r="GX113" s="68"/>
      <c r="GY113" s="68"/>
      <c r="GZ113" s="68"/>
      <c r="HA113" s="68"/>
      <c r="HB113" s="68"/>
      <c r="HC113" s="68"/>
      <c r="HD113" s="68"/>
      <c r="HE113" s="68"/>
      <c r="HF113" s="68"/>
      <c r="HG113" s="68"/>
      <c r="HH113" s="68"/>
      <c r="HI113" s="68"/>
      <c r="HJ113" s="68"/>
      <c r="HK113" s="68"/>
      <c r="HL113" s="68"/>
      <c r="HM113" s="68"/>
      <c r="HN113" s="68"/>
      <c r="HO113" s="68"/>
      <c r="HP113" s="68"/>
      <c r="HQ113" s="68"/>
      <c r="HR113" s="68"/>
      <c r="HS113" s="68"/>
      <c r="HT113" s="68"/>
      <c r="HU113" s="68"/>
      <c r="HV113" s="68"/>
      <c r="HW113" s="68"/>
      <c r="HX113" s="68"/>
      <c r="HY113" s="68"/>
      <c r="HZ113" s="68"/>
      <c r="IA113" s="68"/>
      <c r="IB113" s="68"/>
      <c r="IC113" s="68"/>
      <c r="ID113" s="68"/>
      <c r="IE113" s="68"/>
      <c r="IF113" s="68"/>
      <c r="IG113" s="68"/>
      <c r="IH113" s="68"/>
      <c r="II113" s="68"/>
      <c r="IJ113" s="68"/>
      <c r="IK113" s="68"/>
      <c r="IL113" s="68"/>
      <c r="IM113" s="68"/>
      <c r="IN113" s="68"/>
      <c r="IO113" s="68"/>
      <c r="IP113" s="68"/>
      <c r="IQ113" s="68"/>
      <c r="IR113" s="68"/>
      <c r="IS113" s="68"/>
      <c r="IT113" s="68"/>
      <c r="IU113" s="68"/>
      <c r="IV113" s="68"/>
      <c r="IW113" s="68"/>
      <c r="IX113" s="68"/>
      <c r="IY113" s="68"/>
      <c r="IZ113" s="68"/>
      <c r="JA113" s="68"/>
      <c r="JB113" s="68"/>
      <c r="JC113" s="68"/>
      <c r="JD113" s="68"/>
      <c r="JE113" s="68"/>
      <c r="JF113" s="68"/>
      <c r="JG113" s="68"/>
      <c r="JH113" s="68"/>
      <c r="JI113" s="68"/>
      <c r="JJ113" s="68"/>
      <c r="JK113" s="68"/>
      <c r="JL113" s="68"/>
      <c r="JM113" s="68"/>
      <c r="JN113" s="68"/>
      <c r="JO113" s="68"/>
      <c r="JP113" s="68"/>
      <c r="JQ113" s="68"/>
      <c r="JR113" s="68"/>
      <c r="JS113" s="68"/>
      <c r="JT113" s="68"/>
      <c r="JU113" s="68"/>
      <c r="JV113" s="68"/>
      <c r="JW113" s="68"/>
      <c r="JX113" s="68"/>
      <c r="JY113" s="68"/>
      <c r="JZ113" s="68"/>
      <c r="KA113" s="68"/>
      <c r="KB113" s="68"/>
      <c r="KC113" s="68"/>
      <c r="KD113" s="68"/>
      <c r="KE113" s="68"/>
      <c r="KF113" s="68"/>
      <c r="KG113" s="68"/>
      <c r="KH113" s="68"/>
      <c r="KI113" s="68"/>
      <c r="KJ113" s="68"/>
      <c r="KK113" s="68"/>
      <c r="KL113" s="68"/>
      <c r="KM113" s="68"/>
      <c r="KN113" s="68"/>
      <c r="KO113" s="68"/>
      <c r="KP113" s="68"/>
      <c r="KQ113" s="68"/>
      <c r="KR113" s="68"/>
      <c r="KS113" s="68"/>
      <c r="KT113" s="68"/>
      <c r="KU113" s="68"/>
      <c r="KV113" s="68"/>
      <c r="KW113" s="68"/>
      <c r="KX113" s="68"/>
      <c r="KY113" s="68"/>
      <c r="KZ113" s="68"/>
      <c r="LA113" s="68"/>
      <c r="LB113" s="68"/>
      <c r="LC113" s="68"/>
      <c r="LD113" s="68"/>
      <c r="LE113" s="68"/>
      <c r="LF113" s="68"/>
      <c r="LG113" s="68"/>
      <c r="LH113" s="68"/>
      <c r="LI113" s="68"/>
      <c r="LJ113" s="68"/>
      <c r="LK113" s="68"/>
      <c r="LL113" s="68"/>
      <c r="LM113" s="68"/>
      <c r="LN113" s="68"/>
      <c r="LO113" s="68"/>
      <c r="LP113" s="68"/>
      <c r="LQ113" s="68"/>
      <c r="LR113" s="68"/>
      <c r="LS113" s="68"/>
      <c r="LT113" s="68"/>
      <c r="LU113" s="68"/>
      <c r="LV113" s="68"/>
      <c r="LW113" s="68"/>
      <c r="LX113" s="68"/>
      <c r="LY113" s="68"/>
      <c r="LZ113" s="68"/>
      <c r="MA113" s="68"/>
      <c r="MB113" s="68"/>
      <c r="MC113" s="68"/>
      <c r="MD113" s="68"/>
      <c r="ME113" s="68"/>
      <c r="MF113" s="68"/>
      <c r="MG113" s="68"/>
      <c r="MH113" s="68"/>
      <c r="MI113" s="68"/>
      <c r="MJ113" s="68"/>
      <c r="MK113" s="68"/>
      <c r="ML113" s="68"/>
      <c r="MM113" s="68"/>
      <c r="MN113" s="68"/>
      <c r="MO113" s="68"/>
      <c r="MP113" s="68"/>
      <c r="MQ113" s="68"/>
      <c r="MR113" s="68"/>
      <c r="MS113" s="68"/>
      <c r="MT113" s="68"/>
      <c r="MU113" s="68"/>
      <c r="MV113" s="68"/>
      <c r="MW113" s="68"/>
      <c r="MX113" s="68"/>
      <c r="MY113" s="68"/>
      <c r="MZ113" s="68"/>
      <c r="NA113" s="68"/>
      <c r="NB113" s="68"/>
      <c r="NC113" s="68"/>
      <c r="ND113" s="68"/>
      <c r="NE113" s="68"/>
      <c r="NF113" s="68"/>
      <c r="NG113" s="68"/>
      <c r="NH113" s="68"/>
      <c r="NI113" s="68"/>
      <c r="NJ113" s="68"/>
      <c r="NK113" s="68"/>
      <c r="NL113" s="68"/>
      <c r="NM113" s="68"/>
      <c r="NN113" s="68"/>
      <c r="NO113" s="68"/>
      <c r="NP113" s="68"/>
      <c r="NQ113" s="68"/>
      <c r="NR113" s="68"/>
      <c r="NS113" s="68"/>
      <c r="NT113" s="68"/>
      <c r="NU113" s="68"/>
      <c r="NV113" s="68"/>
      <c r="NW113" s="68"/>
      <c r="NX113" s="68"/>
      <c r="NY113" s="68"/>
      <c r="NZ113" s="68"/>
      <c r="OA113" s="68"/>
      <c r="OB113" s="68"/>
      <c r="OC113" s="68"/>
      <c r="OD113" s="68"/>
      <c r="OE113" s="68"/>
      <c r="OF113" s="68"/>
      <c r="OG113" s="68"/>
      <c r="OH113" s="68"/>
      <c r="OI113" s="68"/>
      <c r="OJ113" s="68"/>
      <c r="OK113" s="68"/>
      <c r="OL113" s="68"/>
      <c r="OM113" s="68"/>
      <c r="ON113" s="68"/>
      <c r="OO113" s="68"/>
      <c r="OP113" s="68"/>
      <c r="OQ113" s="68"/>
      <c r="OR113" s="68"/>
      <c r="OS113" s="68"/>
      <c r="OT113" s="68"/>
      <c r="OU113" s="68"/>
      <c r="OV113" s="68"/>
      <c r="OW113" s="68"/>
      <c r="OX113" s="68"/>
      <c r="OY113" s="68"/>
      <c r="OZ113" s="68"/>
      <c r="PA113" s="68"/>
      <c r="PB113" s="68"/>
      <c r="PC113" s="68"/>
      <c r="PD113" s="68"/>
      <c r="PE113" s="68"/>
      <c r="PF113" s="68"/>
      <c r="PG113" s="68"/>
      <c r="PH113" s="68"/>
      <c r="PI113" s="68"/>
      <c r="PJ113" s="68"/>
      <c r="PK113" s="68"/>
      <c r="PL113" s="68"/>
      <c r="PM113" s="68"/>
      <c r="PN113" s="68"/>
      <c r="PO113" s="68"/>
      <c r="PP113" s="68"/>
      <c r="PQ113" s="68"/>
      <c r="PR113" s="68"/>
      <c r="PS113" s="68"/>
      <c r="PT113" s="68"/>
      <c r="PU113" s="68"/>
      <c r="PV113" s="68"/>
      <c r="PW113" s="68"/>
      <c r="PX113" s="68"/>
      <c r="PY113" s="68"/>
      <c r="PZ113" s="68"/>
      <c r="QA113" s="68"/>
      <c r="QB113" s="68"/>
      <c r="QC113" s="68"/>
      <c r="QD113" s="68"/>
      <c r="QE113" s="68"/>
      <c r="QF113" s="68"/>
      <c r="QG113" s="68"/>
      <c r="QH113" s="68"/>
      <c r="QI113" s="68"/>
      <c r="QJ113" s="68"/>
      <c r="QK113" s="68"/>
      <c r="QL113" s="68"/>
      <c r="QM113" s="68"/>
      <c r="QN113" s="68"/>
      <c r="QO113" s="68"/>
      <c r="QP113" s="68"/>
      <c r="QQ113" s="68"/>
      <c r="QR113" s="68"/>
      <c r="QS113" s="68"/>
      <c r="QT113" s="68"/>
      <c r="QU113" s="68"/>
      <c r="QV113" s="68"/>
      <c r="QW113" s="68"/>
      <c r="QX113" s="68"/>
      <c r="QY113" s="68"/>
      <c r="QZ113" s="68"/>
      <c r="RA113" s="68"/>
      <c r="RB113" s="68"/>
      <c r="RC113" s="68"/>
      <c r="RD113" s="68"/>
      <c r="RE113" s="68"/>
      <c r="RF113" s="68"/>
      <c r="RG113" s="68"/>
      <c r="RH113" s="68"/>
      <c r="RI113" s="68"/>
      <c r="RJ113" s="68"/>
      <c r="RK113" s="68"/>
      <c r="RL113" s="68"/>
      <c r="RM113" s="68"/>
      <c r="RN113" s="68"/>
      <c r="RO113" s="68"/>
      <c r="RP113" s="68"/>
      <c r="RQ113" s="68"/>
      <c r="RR113" s="68"/>
      <c r="RS113" s="68"/>
      <c r="RT113" s="68"/>
      <c r="RU113" s="68"/>
      <c r="RV113" s="68"/>
      <c r="RW113" s="68"/>
      <c r="RX113" s="68"/>
      <c r="RY113" s="68"/>
      <c r="RZ113" s="68"/>
      <c r="SA113" s="68"/>
      <c r="SB113" s="68"/>
      <c r="SC113" s="68"/>
      <c r="SD113" s="68"/>
      <c r="SE113" s="68"/>
      <c r="SF113" s="68"/>
      <c r="SG113" s="68"/>
      <c r="SH113" s="68"/>
      <c r="SI113" s="68"/>
      <c r="SJ113" s="68"/>
      <c r="SK113" s="68"/>
      <c r="SL113" s="68"/>
      <c r="SM113" s="68"/>
      <c r="SN113" s="68"/>
      <c r="SO113" s="68"/>
      <c r="SP113" s="68"/>
      <c r="SQ113" s="68"/>
      <c r="SR113" s="68"/>
      <c r="SS113" s="68"/>
      <c r="ST113" s="68"/>
      <c r="SU113" s="68"/>
      <c r="SV113" s="68"/>
      <c r="SW113" s="68"/>
      <c r="SX113" s="68"/>
      <c r="SY113" s="68"/>
      <c r="SZ113" s="68"/>
      <c r="TA113" s="68"/>
      <c r="TB113" s="68"/>
      <c r="TC113" s="68"/>
      <c r="TD113" s="68"/>
      <c r="TE113" s="68"/>
      <c r="TF113" s="68"/>
      <c r="TG113" s="68"/>
      <c r="TH113" s="68"/>
      <c r="TI113" s="68"/>
      <c r="TJ113" s="68"/>
      <c r="TK113" s="68"/>
      <c r="TL113" s="68"/>
      <c r="TM113" s="68"/>
      <c r="TN113" s="68"/>
      <c r="TO113" s="68"/>
      <c r="TP113" s="68"/>
      <c r="TQ113" s="68"/>
      <c r="TR113" s="68"/>
      <c r="TS113" s="68"/>
      <c r="TT113" s="68"/>
      <c r="TU113" s="68"/>
      <c r="TV113" s="68"/>
      <c r="TW113" s="68"/>
      <c r="TX113" s="68"/>
      <c r="TY113" s="68"/>
      <c r="TZ113" s="68"/>
      <c r="UA113" s="68"/>
      <c r="UB113" s="68"/>
      <c r="UC113" s="68"/>
      <c r="UD113" s="68"/>
      <c r="UE113" s="68"/>
      <c r="UF113" s="68"/>
      <c r="UG113" s="68"/>
      <c r="UH113" s="68"/>
      <c r="UI113" s="68"/>
      <c r="UJ113" s="68"/>
      <c r="UK113" s="68"/>
      <c r="UL113" s="68"/>
      <c r="UM113" s="68"/>
      <c r="UN113" s="68"/>
      <c r="UO113" s="68"/>
      <c r="UP113" s="68"/>
      <c r="UQ113" s="68"/>
      <c r="UR113" s="68"/>
      <c r="US113" s="68"/>
      <c r="UT113" s="68"/>
      <c r="UU113" s="68"/>
      <c r="UV113" s="68"/>
      <c r="UW113" s="68"/>
      <c r="UX113" s="68"/>
      <c r="UY113" s="68"/>
      <c r="UZ113" s="68"/>
      <c r="VA113" s="68"/>
      <c r="VB113" s="68"/>
      <c r="VC113" s="68"/>
      <c r="VD113" s="68"/>
      <c r="VE113" s="68"/>
      <c r="VF113" s="68"/>
      <c r="VG113" s="68"/>
      <c r="VH113" s="68"/>
      <c r="VI113" s="68"/>
      <c r="VJ113" s="68"/>
      <c r="VK113" s="68"/>
      <c r="VL113" s="68"/>
      <c r="VM113" s="68"/>
      <c r="VN113" s="68"/>
      <c r="VO113" s="68"/>
      <c r="VP113" s="68"/>
      <c r="VQ113" s="68"/>
      <c r="VR113" s="68"/>
      <c r="VS113" s="68"/>
      <c r="VT113" s="68"/>
      <c r="VU113" s="68"/>
      <c r="VV113" s="68"/>
      <c r="VW113" s="68"/>
      <c r="VX113" s="68"/>
      <c r="VY113" s="68"/>
      <c r="VZ113" s="68"/>
      <c r="WA113" s="68"/>
      <c r="WB113" s="68"/>
      <c r="WC113" s="68"/>
      <c r="WD113" s="68"/>
      <c r="WE113" s="68"/>
      <c r="WF113" s="68"/>
      <c r="WG113" s="68"/>
      <c r="WH113" s="68"/>
      <c r="WI113" s="68"/>
      <c r="WJ113" s="68"/>
      <c r="WK113" s="68"/>
      <c r="WL113" s="68"/>
      <c r="WM113" s="68"/>
      <c r="WN113" s="68"/>
      <c r="WO113" s="68"/>
      <c r="WP113" s="68"/>
      <c r="WQ113" s="68"/>
      <c r="WR113" s="68"/>
      <c r="WS113" s="68"/>
      <c r="WT113" s="68"/>
      <c r="WU113" s="68"/>
      <c r="WV113" s="68"/>
      <c r="WW113" s="68"/>
      <c r="WX113" s="68"/>
      <c r="WY113" s="68"/>
      <c r="WZ113" s="68"/>
      <c r="XA113" s="68"/>
      <c r="XB113" s="68"/>
      <c r="XC113" s="68"/>
      <c r="XD113" s="68"/>
      <c r="XE113" s="68"/>
      <c r="XF113" s="68"/>
      <c r="XG113" s="68"/>
      <c r="XH113" s="68"/>
      <c r="XI113" s="68"/>
      <c r="XJ113" s="68"/>
      <c r="XK113" s="68"/>
      <c r="XL113" s="68"/>
      <c r="XM113" s="68"/>
      <c r="XN113" s="68"/>
      <c r="XO113" s="68"/>
      <c r="XP113" s="68"/>
      <c r="XQ113" s="68"/>
      <c r="XR113" s="68"/>
      <c r="XS113" s="68"/>
      <c r="XT113" s="68"/>
      <c r="XU113" s="68"/>
      <c r="XV113" s="68"/>
      <c r="XW113" s="68"/>
      <c r="XX113" s="68"/>
      <c r="XY113" s="68"/>
      <c r="XZ113" s="68"/>
      <c r="YA113" s="68"/>
      <c r="YB113" s="68"/>
      <c r="YC113" s="68"/>
      <c r="YD113" s="68"/>
      <c r="YE113" s="68"/>
      <c r="YF113" s="68"/>
      <c r="YG113" s="68"/>
      <c r="YH113" s="68"/>
      <c r="YI113" s="68"/>
      <c r="YJ113" s="68"/>
      <c r="YK113" s="68"/>
      <c r="YL113" s="68"/>
      <c r="YM113" s="68"/>
      <c r="YN113" s="68"/>
      <c r="YO113" s="68"/>
      <c r="YP113" s="68"/>
      <c r="YQ113" s="68"/>
      <c r="YR113" s="68"/>
      <c r="YS113" s="68"/>
      <c r="YT113" s="68"/>
      <c r="YU113" s="68"/>
      <c r="YV113" s="68"/>
      <c r="YW113" s="68"/>
      <c r="YX113" s="68"/>
      <c r="YY113" s="68"/>
      <c r="YZ113" s="68"/>
      <c r="ZA113" s="68"/>
      <c r="ZB113" s="68"/>
      <c r="ZC113" s="68"/>
      <c r="ZD113" s="68"/>
      <c r="ZE113" s="68"/>
      <c r="ZF113" s="68"/>
      <c r="ZG113" s="68"/>
      <c r="ZH113" s="68"/>
      <c r="ZI113" s="68"/>
      <c r="ZJ113" s="68"/>
      <c r="ZK113" s="68"/>
      <c r="ZL113" s="68"/>
      <c r="ZM113" s="68"/>
      <c r="ZN113" s="68"/>
      <c r="ZO113" s="68"/>
      <c r="ZP113" s="68"/>
      <c r="ZQ113" s="68"/>
      <c r="ZR113" s="68"/>
      <c r="ZS113" s="68"/>
      <c r="ZT113" s="68"/>
      <c r="ZU113" s="68"/>
      <c r="ZV113" s="68"/>
      <c r="ZW113" s="68"/>
      <c r="ZX113" s="68"/>
      <c r="ZY113" s="68"/>
      <c r="ZZ113" s="68"/>
      <c r="AAA113" s="68"/>
      <c r="AAB113" s="68"/>
      <c r="AAC113" s="68"/>
      <c r="AAD113" s="68"/>
      <c r="AAE113" s="68"/>
      <c r="AAF113" s="68"/>
      <c r="AAG113" s="68"/>
      <c r="AAH113" s="68"/>
      <c r="AAI113" s="68"/>
      <c r="AAJ113" s="68"/>
      <c r="AAK113" s="68"/>
      <c r="AAL113" s="68"/>
      <c r="AAM113" s="68"/>
      <c r="AAN113" s="68"/>
      <c r="AAO113" s="68"/>
      <c r="AAP113" s="68"/>
      <c r="AAQ113" s="68"/>
      <c r="AAR113" s="68"/>
      <c r="AAS113" s="68"/>
      <c r="AAT113" s="68"/>
      <c r="AAU113" s="68"/>
      <c r="AAV113" s="68"/>
      <c r="AAW113" s="68"/>
      <c r="AAX113" s="68"/>
      <c r="AAY113" s="68"/>
      <c r="AAZ113" s="68"/>
      <c r="ABA113" s="68"/>
      <c r="ABB113" s="68"/>
      <c r="ABC113" s="68"/>
      <c r="ABD113" s="68"/>
      <c r="ABE113" s="68"/>
      <c r="ABF113" s="68"/>
      <c r="ABG113" s="68"/>
      <c r="ABH113" s="68"/>
      <c r="ABI113" s="68"/>
      <c r="ABJ113" s="68"/>
      <c r="ABK113" s="68"/>
      <c r="ABL113" s="68"/>
      <c r="ABM113" s="68"/>
      <c r="ABN113" s="68"/>
      <c r="ABO113" s="68"/>
      <c r="ABP113" s="68"/>
      <c r="ABQ113" s="68"/>
      <c r="ABR113" s="68"/>
      <c r="ABS113" s="68"/>
      <c r="ABT113" s="68"/>
      <c r="ABU113" s="68"/>
      <c r="ABV113" s="68"/>
      <c r="ABW113" s="68"/>
      <c r="ABX113" s="68"/>
      <c r="ABY113" s="68"/>
      <c r="ABZ113" s="68"/>
      <c r="ACA113" s="68"/>
      <c r="ACB113" s="68"/>
      <c r="ACC113" s="68"/>
      <c r="ACD113" s="68"/>
      <c r="ACE113" s="68"/>
      <c r="ACF113" s="68"/>
      <c r="ACG113" s="68"/>
      <c r="ACH113" s="68"/>
      <c r="ACI113" s="68"/>
      <c r="ACJ113" s="68"/>
      <c r="ACK113" s="68"/>
      <c r="ACL113" s="68"/>
      <c r="ACM113" s="68"/>
      <c r="ACN113" s="68"/>
      <c r="ACO113" s="68"/>
      <c r="ACP113" s="68"/>
      <c r="ACQ113" s="68"/>
      <c r="ACR113" s="68"/>
      <c r="ACS113" s="68"/>
      <c r="ACT113" s="68"/>
      <c r="ACU113" s="68"/>
      <c r="ACV113" s="68"/>
      <c r="ACW113" s="68"/>
      <c r="ACX113" s="68"/>
      <c r="ACY113" s="68"/>
      <c r="ACZ113" s="68"/>
      <c r="ADA113" s="68"/>
      <c r="ADB113" s="68"/>
      <c r="ADC113" s="68"/>
      <c r="ADD113" s="68"/>
      <c r="ADE113" s="68"/>
      <c r="ADF113" s="68"/>
      <c r="ADG113" s="68"/>
      <c r="ADH113" s="68"/>
      <c r="ADI113" s="68"/>
      <c r="ADJ113" s="68"/>
      <c r="ADK113" s="68"/>
      <c r="ADL113" s="68"/>
      <c r="ADM113" s="68"/>
      <c r="ADN113" s="68"/>
      <c r="ADO113" s="68"/>
      <c r="ADP113" s="68"/>
      <c r="ADQ113" s="68"/>
      <c r="ADR113" s="68"/>
      <c r="ADS113" s="68"/>
      <c r="ADT113" s="68"/>
      <c r="ADU113" s="68"/>
      <c r="ADV113" s="68"/>
      <c r="ADW113" s="68"/>
      <c r="ADX113" s="68"/>
      <c r="ADY113" s="68"/>
      <c r="ADZ113" s="68"/>
      <c r="AEA113" s="68"/>
      <c r="AEB113" s="68"/>
      <c r="AEC113" s="68"/>
      <c r="AED113" s="68"/>
      <c r="AEE113" s="68"/>
      <c r="AEF113" s="68"/>
      <c r="AEG113" s="68"/>
      <c r="AEH113" s="68"/>
      <c r="AEI113" s="68"/>
      <c r="AEJ113" s="68"/>
      <c r="AEK113" s="68"/>
      <c r="AEL113" s="68"/>
      <c r="AEM113" s="68"/>
      <c r="AEN113" s="68"/>
      <c r="AEO113" s="68"/>
      <c r="AEP113" s="68"/>
      <c r="AEQ113" s="68"/>
      <c r="AER113" s="68"/>
      <c r="AES113" s="68"/>
      <c r="AET113" s="68"/>
      <c r="AEU113" s="68"/>
      <c r="AEV113" s="68"/>
      <c r="AEW113" s="68"/>
      <c r="AEX113" s="68"/>
      <c r="AEY113" s="68"/>
      <c r="AEZ113" s="68"/>
      <c r="AFA113" s="68"/>
      <c r="AFB113" s="68"/>
      <c r="AFC113" s="68"/>
      <c r="AFD113" s="68"/>
      <c r="AFE113" s="68"/>
      <c r="AFF113" s="68"/>
      <c r="AFG113" s="68"/>
      <c r="AFH113" s="68"/>
      <c r="AFI113" s="68"/>
      <c r="AFJ113" s="68"/>
      <c r="AFK113" s="68"/>
      <c r="AFL113" s="68"/>
      <c r="AFM113" s="68"/>
      <c r="AFN113" s="68"/>
      <c r="AFO113" s="68"/>
      <c r="AFP113" s="68"/>
      <c r="AFQ113" s="68"/>
      <c r="AFR113" s="68"/>
      <c r="AFS113" s="68"/>
      <c r="AFT113" s="68"/>
      <c r="AFU113" s="68"/>
      <c r="AFV113" s="68"/>
      <c r="AFW113" s="68"/>
      <c r="AFX113" s="68"/>
      <c r="AFY113" s="68"/>
      <c r="AFZ113" s="68"/>
      <c r="AGA113" s="68"/>
      <c r="AGB113" s="68"/>
      <c r="AGC113" s="68"/>
      <c r="AGD113" s="68"/>
      <c r="AGE113" s="68"/>
      <c r="AGF113" s="68"/>
      <c r="AGG113" s="68"/>
      <c r="AGH113" s="68"/>
      <c r="AGI113" s="68"/>
      <c r="AGJ113" s="68"/>
      <c r="AGK113" s="68"/>
      <c r="AGL113" s="68"/>
      <c r="AGM113" s="68"/>
      <c r="AGN113" s="68"/>
      <c r="AGO113" s="68"/>
      <c r="AGP113" s="68"/>
      <c r="AGQ113" s="68"/>
      <c r="AGR113" s="68"/>
      <c r="AGS113" s="68"/>
      <c r="AGT113" s="68"/>
      <c r="AGU113" s="68"/>
      <c r="AGV113" s="68"/>
      <c r="AGW113" s="68"/>
      <c r="AGX113" s="68"/>
      <c r="AGY113" s="68"/>
      <c r="AGZ113" s="68"/>
      <c r="AHA113" s="68"/>
      <c r="AHB113" s="68"/>
      <c r="AHC113" s="68"/>
      <c r="AHD113" s="68"/>
      <c r="AHE113" s="68"/>
      <c r="AHF113" s="68"/>
      <c r="AHG113" s="68"/>
      <c r="AHH113" s="68"/>
      <c r="AHI113" s="68"/>
      <c r="AHJ113" s="68"/>
      <c r="AHK113" s="68"/>
      <c r="AHL113" s="68"/>
      <c r="AHM113" s="68"/>
      <c r="AHN113" s="68"/>
      <c r="AHO113" s="68"/>
      <c r="AHP113" s="68"/>
      <c r="AHQ113" s="68"/>
      <c r="AHR113" s="68"/>
      <c r="AHS113" s="68"/>
      <c r="AHT113" s="68"/>
      <c r="AHU113" s="68"/>
      <c r="AHV113" s="68"/>
      <c r="AHW113" s="68"/>
      <c r="AHX113" s="68"/>
      <c r="AHY113" s="68"/>
      <c r="AHZ113" s="68"/>
      <c r="AIA113" s="68"/>
      <c r="AIB113" s="68"/>
      <c r="AIC113" s="68"/>
      <c r="AID113" s="68"/>
      <c r="AIE113" s="68"/>
      <c r="AIF113" s="68"/>
      <c r="AIG113" s="68"/>
      <c r="AIH113" s="68"/>
      <c r="AII113" s="68"/>
      <c r="AIJ113" s="68"/>
      <c r="AIK113" s="68"/>
      <c r="AIL113" s="68"/>
      <c r="AIM113" s="68"/>
      <c r="AIN113" s="68"/>
      <c r="AIO113" s="68"/>
      <c r="AIP113" s="68"/>
      <c r="AIQ113" s="68"/>
      <c r="AIR113" s="68"/>
      <c r="AIS113" s="68"/>
      <c r="AIT113" s="68"/>
      <c r="AIU113" s="68"/>
      <c r="AIV113" s="68"/>
      <c r="AIW113" s="68"/>
      <c r="AIX113" s="68"/>
      <c r="AIY113" s="68"/>
      <c r="AIZ113" s="68"/>
      <c r="AJA113" s="68"/>
      <c r="AJB113" s="68"/>
      <c r="AJC113" s="68"/>
      <c r="AJD113" s="68"/>
      <c r="AJE113" s="68"/>
      <c r="AJF113" s="68"/>
      <c r="AJG113" s="68"/>
      <c r="AJH113" s="68"/>
      <c r="AJI113" s="68"/>
      <c r="AJJ113" s="68"/>
      <c r="AJK113" s="68"/>
      <c r="AJL113" s="68"/>
      <c r="AJM113" s="68"/>
      <c r="AJN113" s="68"/>
      <c r="AJO113" s="68"/>
      <c r="AJP113" s="68"/>
      <c r="AJQ113" s="68"/>
      <c r="AJR113" s="68"/>
      <c r="AJS113" s="68"/>
      <c r="AJT113" s="68"/>
      <c r="AJU113" s="68"/>
      <c r="AJV113" s="68"/>
      <c r="AJW113" s="68"/>
      <c r="AJX113" s="68"/>
      <c r="AJY113" s="68"/>
      <c r="AJZ113" s="68"/>
      <c r="AKA113" s="68"/>
      <c r="AKB113" s="68"/>
      <c r="AKC113" s="68"/>
      <c r="AKD113" s="68"/>
      <c r="AKE113" s="68"/>
      <c r="AKF113" s="68"/>
      <c r="AKG113" s="68"/>
      <c r="AKH113" s="68"/>
      <c r="AKI113" s="68"/>
      <c r="AKJ113" s="68"/>
      <c r="AKK113" s="68"/>
      <c r="AKL113" s="68"/>
      <c r="AKM113" s="68"/>
      <c r="AKN113" s="68"/>
      <c r="AKO113" s="68"/>
      <c r="AKP113" s="68"/>
      <c r="AKQ113" s="68"/>
      <c r="AKR113" s="68"/>
      <c r="AKS113" s="68"/>
      <c r="AKT113" s="68"/>
      <c r="AKU113" s="68"/>
      <c r="AKV113" s="68"/>
      <c r="AKW113" s="68"/>
      <c r="AKX113" s="68"/>
      <c r="AKY113" s="68"/>
      <c r="AKZ113" s="68"/>
      <c r="ALA113" s="68"/>
      <c r="ALB113" s="68"/>
      <c r="ALC113" s="68"/>
      <c r="ALD113" s="68"/>
      <c r="ALE113" s="68"/>
      <c r="ALF113" s="68"/>
      <c r="ALG113" s="68"/>
      <c r="ALH113" s="68"/>
      <c r="ALI113" s="68"/>
      <c r="ALJ113" s="68"/>
      <c r="ALK113" s="68"/>
      <c r="ALL113" s="68"/>
      <c r="ALM113" s="68"/>
      <c r="ALN113" s="68"/>
      <c r="ALO113" s="68"/>
      <c r="ALP113" s="68"/>
      <c r="ALQ113" s="68"/>
      <c r="ALR113" s="68"/>
      <c r="ALS113" s="68"/>
      <c r="ALT113" s="68"/>
      <c r="ALU113" s="68"/>
      <c r="ALV113" s="68"/>
      <c r="ALW113" s="68"/>
      <c r="ALX113" s="68"/>
      <c r="ALY113" s="68"/>
      <c r="ALZ113" s="68"/>
      <c r="AMA113" s="68"/>
      <c r="AMB113" s="68"/>
      <c r="AMC113" s="68"/>
      <c r="AMD113" s="68"/>
      <c r="AME113" s="68"/>
      <c r="AMF113" s="68"/>
      <c r="AMG113" s="68"/>
      <c r="AMH113" s="68"/>
      <c r="AMI113" s="68"/>
      <c r="AMJ113" s="68"/>
      <c r="AMK113" s="68"/>
      <c r="AML113" s="68"/>
      <c r="AMM113" s="68"/>
      <c r="AMN113" s="68"/>
      <c r="AMO113" s="68"/>
      <c r="AMP113" s="68"/>
      <c r="AMQ113" s="68"/>
      <c r="AMR113" s="68"/>
      <c r="AMS113" s="68"/>
      <c r="AMT113" s="68"/>
      <c r="AMU113" s="68"/>
      <c r="AMV113" s="68"/>
      <c r="AMW113" s="68"/>
      <c r="AMX113" s="68"/>
      <c r="AMY113" s="68"/>
      <c r="AMZ113" s="68"/>
      <c r="ANA113" s="68"/>
      <c r="ANB113" s="68"/>
      <c r="ANC113" s="68"/>
      <c r="AND113" s="68"/>
      <c r="ANE113" s="68"/>
      <c r="ANF113" s="68"/>
      <c r="ANG113" s="68"/>
      <c r="ANH113" s="68"/>
      <c r="ANI113" s="68"/>
      <c r="ANJ113" s="68"/>
      <c r="ANK113" s="68"/>
      <c r="ANL113" s="68"/>
      <c r="ANM113" s="68"/>
      <c r="ANN113" s="68"/>
      <c r="ANO113" s="68"/>
      <c r="ANP113" s="68"/>
      <c r="ANQ113" s="68"/>
      <c r="ANR113" s="68"/>
      <c r="ANS113" s="68"/>
      <c r="ANT113" s="68"/>
      <c r="ANU113" s="68"/>
      <c r="ANV113" s="68"/>
      <c r="ANW113" s="68"/>
      <c r="ANX113" s="68"/>
      <c r="ANY113" s="68"/>
      <c r="ANZ113" s="68"/>
      <c r="AOA113" s="68"/>
      <c r="AOB113" s="68"/>
      <c r="AOC113" s="68"/>
      <c r="AOD113" s="68"/>
      <c r="AOE113" s="68"/>
      <c r="AOF113" s="68"/>
      <c r="AOG113" s="68"/>
      <c r="AOH113" s="68"/>
      <c r="AOI113" s="68"/>
      <c r="AOJ113" s="68"/>
      <c r="AOK113" s="68"/>
      <c r="AOL113" s="68"/>
      <c r="AOM113" s="68"/>
      <c r="AON113" s="68"/>
      <c r="AOO113" s="68"/>
      <c r="AOP113" s="68"/>
      <c r="AOQ113" s="68"/>
      <c r="AOR113" s="68"/>
      <c r="AOS113" s="68"/>
      <c r="AOT113" s="68"/>
      <c r="AOU113" s="68"/>
      <c r="AOV113" s="68"/>
      <c r="AOW113" s="68"/>
      <c r="AOX113" s="68"/>
      <c r="AOY113" s="68"/>
      <c r="AOZ113" s="68"/>
      <c r="APA113" s="68"/>
      <c r="APB113" s="68"/>
      <c r="APC113" s="68"/>
      <c r="APD113" s="68"/>
      <c r="APE113" s="68"/>
      <c r="APF113" s="68"/>
      <c r="APG113" s="68"/>
      <c r="APH113" s="68"/>
      <c r="API113" s="68"/>
      <c r="APJ113" s="68"/>
      <c r="APK113" s="68"/>
      <c r="APL113" s="68"/>
      <c r="APM113" s="68"/>
      <c r="APN113" s="68"/>
      <c r="APO113" s="68"/>
      <c r="APP113" s="68"/>
      <c r="APQ113" s="68"/>
      <c r="APR113" s="68"/>
      <c r="APS113" s="68"/>
      <c r="APT113" s="68"/>
      <c r="APU113" s="68"/>
      <c r="APV113" s="68"/>
      <c r="APW113" s="68"/>
      <c r="APX113" s="68"/>
      <c r="APY113" s="68"/>
      <c r="APZ113" s="68"/>
      <c r="AQA113" s="68"/>
      <c r="AQB113" s="68"/>
      <c r="AQC113" s="68"/>
      <c r="AQD113" s="68"/>
      <c r="AQE113" s="68"/>
      <c r="AQF113" s="68"/>
      <c r="AQG113" s="68"/>
      <c r="AQH113" s="68"/>
      <c r="AQI113" s="68"/>
      <c r="AQJ113" s="68"/>
      <c r="AQK113" s="68"/>
      <c r="AQL113" s="68"/>
      <c r="AQM113" s="68"/>
      <c r="AQN113" s="68"/>
      <c r="AQO113" s="68"/>
      <c r="AQP113" s="68"/>
      <c r="AQQ113" s="68"/>
      <c r="AQR113" s="68"/>
      <c r="AQS113" s="68"/>
      <c r="AQT113" s="68"/>
      <c r="AQU113" s="68"/>
      <c r="AQV113" s="68"/>
      <c r="AQW113" s="68"/>
      <c r="AQX113" s="68"/>
      <c r="AQY113" s="68"/>
      <c r="AQZ113" s="68"/>
      <c r="ARA113" s="68"/>
      <c r="ARB113" s="68"/>
      <c r="ARC113" s="68"/>
      <c r="ARD113" s="68"/>
      <c r="ARE113" s="68"/>
      <c r="ARF113" s="68"/>
      <c r="ARG113" s="68"/>
      <c r="ARH113" s="68"/>
      <c r="ARI113" s="68"/>
      <c r="ARJ113" s="68"/>
      <c r="ARK113" s="68"/>
      <c r="ARL113" s="68"/>
      <c r="ARM113" s="68"/>
      <c r="ARN113" s="68"/>
      <c r="ARO113" s="68"/>
      <c r="ARP113" s="68"/>
      <c r="ARQ113" s="68"/>
      <c r="ARR113" s="68"/>
      <c r="ARS113" s="68"/>
      <c r="ART113" s="68"/>
      <c r="ARU113" s="68"/>
      <c r="ARV113" s="68"/>
      <c r="ARW113" s="68"/>
      <c r="ARX113" s="68"/>
      <c r="ARY113" s="68"/>
      <c r="ARZ113" s="68"/>
      <c r="ASA113" s="68"/>
      <c r="ASB113" s="68"/>
      <c r="ASC113" s="68"/>
      <c r="ASD113" s="68"/>
      <c r="ASE113" s="68"/>
      <c r="ASF113" s="68"/>
      <c r="ASG113" s="68"/>
      <c r="ASH113" s="68"/>
      <c r="ASI113" s="68"/>
      <c r="ASJ113" s="68"/>
      <c r="ASK113" s="68"/>
      <c r="ASL113" s="68"/>
      <c r="ASM113" s="68"/>
      <c r="ASN113" s="68"/>
      <c r="ASO113" s="68"/>
      <c r="ASP113" s="68"/>
      <c r="ASQ113" s="68"/>
      <c r="ASR113" s="68"/>
      <c r="ASS113" s="68"/>
      <c r="AST113" s="68"/>
      <c r="ASU113" s="68"/>
      <c r="ASV113" s="68"/>
      <c r="ASW113" s="68"/>
      <c r="ASX113" s="68"/>
      <c r="ASY113" s="68"/>
      <c r="ASZ113" s="68"/>
      <c r="ATA113" s="68"/>
      <c r="ATB113" s="68"/>
      <c r="ATC113" s="68"/>
      <c r="ATD113" s="68"/>
      <c r="ATE113" s="68"/>
      <c r="ATF113" s="68"/>
      <c r="ATG113" s="68"/>
      <c r="ATH113" s="68"/>
      <c r="ATI113" s="68"/>
      <c r="ATJ113" s="68"/>
      <c r="ATK113" s="68"/>
      <c r="ATL113" s="68"/>
      <c r="ATM113" s="68"/>
      <c r="ATN113" s="68"/>
      <c r="ATO113" s="68"/>
      <c r="ATP113" s="68"/>
      <c r="ATQ113" s="68"/>
      <c r="ATR113" s="68"/>
      <c r="ATS113" s="68"/>
      <c r="ATT113" s="68"/>
      <c r="ATU113" s="68"/>
      <c r="ATV113" s="68"/>
      <c r="ATW113" s="68"/>
      <c r="ATX113" s="68"/>
      <c r="ATY113" s="68"/>
      <c r="ATZ113" s="68"/>
      <c r="AUA113" s="68"/>
      <c r="AUB113" s="68"/>
      <c r="AUC113" s="68"/>
      <c r="AUD113" s="68"/>
      <c r="AUE113" s="68"/>
      <c r="AUF113" s="68"/>
      <c r="AUG113" s="68"/>
      <c r="AUH113" s="68"/>
      <c r="AUI113" s="68"/>
      <c r="AUJ113" s="68"/>
      <c r="AUK113" s="68"/>
      <c r="AUL113" s="68"/>
      <c r="AUM113" s="68"/>
      <c r="AUN113" s="68"/>
      <c r="AUO113" s="68"/>
      <c r="AUP113" s="68"/>
      <c r="AUQ113" s="68"/>
      <c r="AUR113" s="68"/>
      <c r="AUS113" s="68"/>
      <c r="AUT113" s="68"/>
      <c r="AUU113" s="68"/>
      <c r="AUV113" s="68"/>
      <c r="AUW113" s="68"/>
      <c r="AUX113" s="68"/>
      <c r="AUY113" s="68"/>
      <c r="AUZ113" s="68"/>
      <c r="AVA113" s="68"/>
      <c r="AVB113" s="68"/>
      <c r="AVC113" s="68"/>
      <c r="AVD113" s="68"/>
      <c r="AVE113" s="68"/>
      <c r="AVF113" s="68"/>
      <c r="AVG113" s="68"/>
      <c r="AVH113" s="68"/>
      <c r="AVI113" s="68"/>
      <c r="AVJ113" s="68"/>
      <c r="AVK113" s="68"/>
      <c r="AVL113" s="68"/>
      <c r="AVM113" s="68"/>
      <c r="AVN113" s="68"/>
      <c r="AVO113" s="68"/>
      <c r="AVP113" s="68"/>
      <c r="AVQ113" s="68"/>
      <c r="AVR113" s="68"/>
      <c r="AVS113" s="68"/>
      <c r="AVT113" s="68"/>
      <c r="AVU113" s="68"/>
      <c r="AVV113" s="68"/>
      <c r="AVW113" s="68"/>
      <c r="AVX113" s="68"/>
      <c r="AVY113" s="68"/>
      <c r="AVZ113" s="68"/>
      <c r="AWA113" s="68"/>
      <c r="AWB113" s="68"/>
      <c r="AWC113" s="68"/>
      <c r="AWD113" s="68"/>
      <c r="AWE113" s="68"/>
      <c r="AWF113" s="68"/>
      <c r="AWG113" s="68"/>
      <c r="AWH113" s="68"/>
      <c r="AWI113" s="68"/>
      <c r="AWJ113" s="68"/>
      <c r="AWK113" s="68"/>
      <c r="AWL113" s="68"/>
      <c r="AWM113" s="68"/>
      <c r="AWN113" s="68"/>
      <c r="AWO113" s="68"/>
      <c r="AWP113" s="68"/>
      <c r="AWQ113" s="68"/>
      <c r="AWR113" s="68"/>
      <c r="AWS113" s="68"/>
      <c r="AWT113" s="68"/>
      <c r="AWU113" s="68"/>
      <c r="AWV113" s="68"/>
      <c r="AWW113" s="68"/>
      <c r="AWX113" s="68"/>
      <c r="AWY113" s="68"/>
      <c r="AWZ113" s="68"/>
      <c r="AXA113" s="68"/>
      <c r="AXB113" s="68"/>
      <c r="AXC113" s="68"/>
      <c r="AXD113" s="68"/>
      <c r="AXE113" s="68"/>
      <c r="AXF113" s="68"/>
      <c r="AXG113" s="68"/>
      <c r="AXH113" s="68"/>
      <c r="AXI113" s="68"/>
      <c r="AXJ113" s="68"/>
      <c r="AXK113" s="68"/>
      <c r="AXL113" s="68"/>
      <c r="AXM113" s="68"/>
      <c r="AXN113" s="68"/>
      <c r="AXO113" s="68"/>
      <c r="AXP113" s="68"/>
      <c r="AXQ113" s="68"/>
      <c r="AXR113" s="68"/>
      <c r="AXS113" s="68"/>
      <c r="AXT113" s="68"/>
      <c r="AXU113" s="68"/>
      <c r="AXV113" s="68"/>
      <c r="AXW113" s="68"/>
      <c r="AXX113" s="68"/>
      <c r="AXY113" s="68"/>
      <c r="AXZ113" s="68"/>
      <c r="AYA113" s="68"/>
      <c r="AYB113" s="68"/>
      <c r="AYC113" s="68"/>
      <c r="AYD113" s="68"/>
      <c r="AYE113" s="68"/>
      <c r="AYF113" s="68"/>
      <c r="AYG113" s="68"/>
      <c r="AYH113" s="68"/>
      <c r="AYI113" s="68"/>
      <c r="AYJ113" s="68"/>
      <c r="AYK113" s="68"/>
      <c r="AYL113" s="68"/>
      <c r="AYM113" s="68"/>
      <c r="AYN113" s="68"/>
      <c r="AYO113" s="68"/>
      <c r="AYP113" s="68"/>
      <c r="AYQ113" s="68"/>
      <c r="AYR113" s="68"/>
      <c r="AYS113" s="68"/>
      <c r="AYT113" s="68"/>
      <c r="AYU113" s="68"/>
      <c r="AYV113" s="68"/>
      <c r="AYW113" s="68"/>
      <c r="AYX113" s="68"/>
      <c r="AYY113" s="68"/>
      <c r="AYZ113" s="68"/>
      <c r="AZA113" s="68"/>
      <c r="AZB113" s="68"/>
      <c r="AZC113" s="68"/>
      <c r="AZD113" s="68"/>
      <c r="AZE113" s="68"/>
      <c r="AZF113" s="68"/>
      <c r="AZG113" s="68"/>
      <c r="AZH113" s="68"/>
      <c r="AZI113" s="68"/>
      <c r="AZJ113" s="68"/>
      <c r="AZK113" s="68"/>
      <c r="AZL113" s="68"/>
      <c r="AZM113" s="68"/>
      <c r="AZN113" s="68"/>
      <c r="AZO113" s="68"/>
      <c r="AZP113" s="68"/>
      <c r="AZQ113" s="68"/>
      <c r="AZR113" s="68"/>
      <c r="AZS113" s="68"/>
      <c r="AZT113" s="68"/>
      <c r="AZU113" s="68"/>
      <c r="AZV113" s="68"/>
      <c r="AZW113" s="68"/>
      <c r="AZX113" s="68"/>
      <c r="AZY113" s="68"/>
      <c r="AZZ113" s="68"/>
      <c r="BAA113" s="68"/>
      <c r="BAB113" s="68"/>
      <c r="BAC113" s="68"/>
      <c r="BAD113" s="68"/>
      <c r="BAE113" s="68"/>
      <c r="BAF113" s="68"/>
      <c r="BAG113" s="68"/>
      <c r="BAH113" s="68"/>
      <c r="BAI113" s="68"/>
      <c r="BAJ113" s="68"/>
      <c r="BAK113" s="68"/>
      <c r="BAL113" s="68"/>
      <c r="BAM113" s="68"/>
      <c r="BAN113" s="68"/>
      <c r="BAO113" s="68"/>
      <c r="BAP113" s="68"/>
      <c r="BAQ113" s="68"/>
      <c r="BAR113" s="68"/>
      <c r="BAS113" s="68"/>
      <c r="BAT113" s="68"/>
      <c r="BAU113" s="68"/>
      <c r="BAV113" s="68"/>
      <c r="BAW113" s="68"/>
      <c r="BAX113" s="68"/>
      <c r="BAY113" s="68"/>
      <c r="BAZ113" s="68"/>
      <c r="BBA113" s="68"/>
      <c r="BBB113" s="68"/>
      <c r="BBC113" s="68"/>
      <c r="BBD113" s="68"/>
      <c r="BBE113" s="68"/>
      <c r="BBF113" s="68"/>
      <c r="BBG113" s="68"/>
      <c r="BBH113" s="68"/>
      <c r="BBI113" s="68"/>
      <c r="BBJ113" s="68"/>
      <c r="BBK113" s="68"/>
      <c r="BBL113" s="68"/>
      <c r="BBM113" s="68"/>
      <c r="BBN113" s="68"/>
      <c r="BBO113" s="68"/>
      <c r="BBP113" s="68"/>
      <c r="BBQ113" s="68"/>
      <c r="BBR113" s="68"/>
      <c r="BBS113" s="68"/>
      <c r="BBT113" s="68"/>
      <c r="BBU113" s="68"/>
      <c r="BBV113" s="68"/>
      <c r="BBW113" s="68"/>
      <c r="BBX113" s="68"/>
      <c r="BBY113" s="68"/>
      <c r="BBZ113" s="68"/>
      <c r="BCA113" s="68"/>
      <c r="BCB113" s="68"/>
      <c r="BCC113" s="68"/>
      <c r="BCD113" s="68"/>
      <c r="BCE113" s="68"/>
      <c r="BCF113" s="68"/>
      <c r="BCG113" s="68"/>
      <c r="BCH113" s="68"/>
      <c r="BCI113" s="68"/>
      <c r="BCJ113" s="68"/>
      <c r="BCK113" s="68"/>
      <c r="BCL113" s="68"/>
      <c r="BCM113" s="68"/>
      <c r="BCN113" s="68"/>
      <c r="BCO113" s="68"/>
      <c r="BCP113" s="68"/>
      <c r="BCQ113" s="68"/>
      <c r="BCR113" s="68"/>
      <c r="BCS113" s="68"/>
      <c r="BCT113" s="68"/>
      <c r="BCU113" s="68"/>
      <c r="BCV113" s="68"/>
      <c r="BCW113" s="68"/>
      <c r="BCX113" s="68"/>
      <c r="BCY113" s="68"/>
      <c r="BCZ113" s="68"/>
      <c r="BDA113" s="68"/>
    </row>
    <row r="114" spans="1:1457" s="67" customFormat="1" ht="24.75" customHeight="1" x14ac:dyDescent="0.25">
      <c r="A114" s="49">
        <v>32</v>
      </c>
      <c r="B114" s="71" t="s">
        <v>262</v>
      </c>
      <c r="C114" s="71" t="s">
        <v>263</v>
      </c>
      <c r="D114" s="69" t="s">
        <v>708</v>
      </c>
      <c r="E114" s="71" t="s">
        <v>709</v>
      </c>
      <c r="F114" s="51">
        <v>2911459.2</v>
      </c>
      <c r="G114" s="70" t="s">
        <v>678</v>
      </c>
      <c r="H114" s="42" t="s">
        <v>587</v>
      </c>
      <c r="I114" s="71" t="s">
        <v>181</v>
      </c>
      <c r="J114" s="71"/>
      <c r="K114" s="69"/>
      <c r="L114" s="69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Q114" s="68"/>
      <c r="BR114" s="68"/>
      <c r="BS114" s="68"/>
      <c r="BT114" s="68"/>
      <c r="BU114" s="68"/>
      <c r="BV114" s="68"/>
      <c r="BW114" s="68"/>
      <c r="BX114" s="68"/>
      <c r="BY114" s="68"/>
      <c r="BZ114" s="68"/>
      <c r="CA114" s="68"/>
      <c r="CB114" s="68"/>
      <c r="CC114" s="68"/>
      <c r="CD114" s="68"/>
      <c r="CE114" s="68"/>
      <c r="CF114" s="68"/>
      <c r="CG114" s="68"/>
      <c r="CH114" s="68"/>
      <c r="CI114" s="68"/>
      <c r="CJ114" s="68"/>
      <c r="CK114" s="68"/>
      <c r="CL114" s="68"/>
      <c r="CM114" s="68"/>
      <c r="CN114" s="68"/>
      <c r="CO114" s="68"/>
      <c r="CP114" s="68"/>
      <c r="CQ114" s="68"/>
      <c r="CR114" s="68"/>
      <c r="CS114" s="68"/>
      <c r="CT114" s="68"/>
      <c r="CU114" s="68"/>
      <c r="CV114" s="68"/>
      <c r="CW114" s="68"/>
      <c r="CX114" s="68"/>
      <c r="CY114" s="68"/>
      <c r="CZ114" s="68"/>
      <c r="DA114" s="68"/>
      <c r="DB114" s="68"/>
      <c r="DC114" s="68"/>
      <c r="DD114" s="68"/>
      <c r="DE114" s="68"/>
      <c r="DF114" s="68"/>
      <c r="DG114" s="68"/>
      <c r="DH114" s="68"/>
      <c r="DI114" s="68"/>
      <c r="DJ114" s="68"/>
      <c r="DK114" s="68"/>
      <c r="DL114" s="68"/>
      <c r="DM114" s="68"/>
      <c r="DN114" s="68"/>
      <c r="DO114" s="68"/>
      <c r="DP114" s="68"/>
      <c r="DQ114" s="68"/>
      <c r="DR114" s="68"/>
      <c r="DS114" s="68"/>
      <c r="DT114" s="68"/>
      <c r="DU114" s="68"/>
      <c r="DV114" s="68"/>
      <c r="DW114" s="68"/>
      <c r="DX114" s="68"/>
      <c r="DY114" s="68"/>
      <c r="DZ114" s="68"/>
      <c r="EA114" s="68"/>
      <c r="EB114" s="68"/>
      <c r="EC114" s="68"/>
      <c r="ED114" s="68"/>
      <c r="EE114" s="68"/>
      <c r="EF114" s="68"/>
      <c r="EG114" s="68"/>
      <c r="EH114" s="68"/>
      <c r="EI114" s="68"/>
      <c r="EJ114" s="68"/>
      <c r="EK114" s="68"/>
      <c r="EL114" s="68"/>
      <c r="EM114" s="68"/>
      <c r="EN114" s="68"/>
      <c r="EO114" s="68"/>
      <c r="EP114" s="68"/>
      <c r="EQ114" s="68"/>
      <c r="ER114" s="68"/>
      <c r="ES114" s="68"/>
      <c r="ET114" s="68"/>
      <c r="EU114" s="68"/>
      <c r="EV114" s="68"/>
      <c r="EW114" s="68"/>
      <c r="EX114" s="68"/>
      <c r="EY114" s="68"/>
      <c r="EZ114" s="68"/>
      <c r="FA114" s="68"/>
      <c r="FB114" s="68"/>
      <c r="FC114" s="68"/>
      <c r="FD114" s="68"/>
      <c r="FE114" s="68"/>
      <c r="FF114" s="68"/>
      <c r="FG114" s="68"/>
      <c r="FH114" s="68"/>
      <c r="FI114" s="68"/>
      <c r="FJ114" s="68"/>
      <c r="FK114" s="68"/>
      <c r="FL114" s="68"/>
      <c r="FM114" s="68"/>
      <c r="FN114" s="68"/>
      <c r="FO114" s="68"/>
      <c r="FP114" s="68"/>
      <c r="FQ114" s="68"/>
      <c r="FR114" s="68"/>
      <c r="FS114" s="68"/>
      <c r="FT114" s="68"/>
      <c r="FU114" s="68"/>
      <c r="FV114" s="68"/>
      <c r="FW114" s="68"/>
      <c r="FX114" s="68"/>
      <c r="FY114" s="68"/>
      <c r="FZ114" s="68"/>
      <c r="GA114" s="68"/>
      <c r="GB114" s="68"/>
      <c r="GC114" s="68"/>
      <c r="GD114" s="68"/>
      <c r="GE114" s="68"/>
      <c r="GF114" s="68"/>
      <c r="GG114" s="68"/>
      <c r="GH114" s="68"/>
      <c r="GI114" s="68"/>
      <c r="GJ114" s="68"/>
      <c r="GK114" s="68"/>
      <c r="GL114" s="68"/>
      <c r="GM114" s="68"/>
      <c r="GN114" s="68"/>
      <c r="GO114" s="68"/>
      <c r="GP114" s="68"/>
      <c r="GQ114" s="68"/>
      <c r="GR114" s="68"/>
      <c r="GS114" s="68"/>
      <c r="GT114" s="68"/>
      <c r="GU114" s="68"/>
      <c r="GV114" s="68"/>
      <c r="GW114" s="68"/>
      <c r="GX114" s="68"/>
      <c r="GY114" s="68"/>
      <c r="GZ114" s="68"/>
      <c r="HA114" s="68"/>
      <c r="HB114" s="68"/>
      <c r="HC114" s="68"/>
      <c r="HD114" s="68"/>
      <c r="HE114" s="68"/>
      <c r="HF114" s="68"/>
      <c r="HG114" s="68"/>
      <c r="HH114" s="68"/>
      <c r="HI114" s="68"/>
      <c r="HJ114" s="68"/>
      <c r="HK114" s="68"/>
      <c r="HL114" s="68"/>
      <c r="HM114" s="68"/>
      <c r="HN114" s="68"/>
      <c r="HO114" s="68"/>
      <c r="HP114" s="68"/>
      <c r="HQ114" s="68"/>
      <c r="HR114" s="68"/>
      <c r="HS114" s="68"/>
      <c r="HT114" s="68"/>
      <c r="HU114" s="68"/>
      <c r="HV114" s="68"/>
      <c r="HW114" s="68"/>
      <c r="HX114" s="68"/>
      <c r="HY114" s="68"/>
      <c r="HZ114" s="68"/>
      <c r="IA114" s="68"/>
      <c r="IB114" s="68"/>
      <c r="IC114" s="68"/>
      <c r="ID114" s="68"/>
      <c r="IE114" s="68"/>
      <c r="IF114" s="68"/>
      <c r="IG114" s="68"/>
      <c r="IH114" s="68"/>
      <c r="II114" s="68"/>
      <c r="IJ114" s="68"/>
      <c r="IK114" s="68"/>
      <c r="IL114" s="68"/>
      <c r="IM114" s="68"/>
      <c r="IN114" s="68"/>
      <c r="IO114" s="68"/>
      <c r="IP114" s="68"/>
      <c r="IQ114" s="68"/>
      <c r="IR114" s="68"/>
      <c r="IS114" s="68"/>
      <c r="IT114" s="68"/>
      <c r="IU114" s="68"/>
      <c r="IV114" s="68"/>
      <c r="IW114" s="68"/>
      <c r="IX114" s="68"/>
      <c r="IY114" s="68"/>
      <c r="IZ114" s="68"/>
      <c r="JA114" s="68"/>
      <c r="JB114" s="68"/>
      <c r="JC114" s="68"/>
      <c r="JD114" s="68"/>
      <c r="JE114" s="68"/>
      <c r="JF114" s="68"/>
      <c r="JG114" s="68"/>
      <c r="JH114" s="68"/>
      <c r="JI114" s="68"/>
      <c r="JJ114" s="68"/>
      <c r="JK114" s="68"/>
      <c r="JL114" s="68"/>
      <c r="JM114" s="68"/>
      <c r="JN114" s="68"/>
      <c r="JO114" s="68"/>
      <c r="JP114" s="68"/>
      <c r="JQ114" s="68"/>
      <c r="JR114" s="68"/>
      <c r="JS114" s="68"/>
      <c r="JT114" s="68"/>
      <c r="JU114" s="68"/>
      <c r="JV114" s="68"/>
      <c r="JW114" s="68"/>
      <c r="JX114" s="68"/>
      <c r="JY114" s="68"/>
      <c r="JZ114" s="68"/>
      <c r="KA114" s="68"/>
      <c r="KB114" s="68"/>
      <c r="KC114" s="68"/>
      <c r="KD114" s="68"/>
      <c r="KE114" s="68"/>
      <c r="KF114" s="68"/>
      <c r="KG114" s="68"/>
      <c r="KH114" s="68"/>
      <c r="KI114" s="68"/>
      <c r="KJ114" s="68"/>
      <c r="KK114" s="68"/>
      <c r="KL114" s="68"/>
      <c r="KM114" s="68"/>
      <c r="KN114" s="68"/>
      <c r="KO114" s="68"/>
      <c r="KP114" s="68"/>
      <c r="KQ114" s="68"/>
      <c r="KR114" s="68"/>
      <c r="KS114" s="68"/>
      <c r="KT114" s="68"/>
      <c r="KU114" s="68"/>
      <c r="KV114" s="68"/>
      <c r="KW114" s="68"/>
      <c r="KX114" s="68"/>
      <c r="KY114" s="68"/>
      <c r="KZ114" s="68"/>
      <c r="LA114" s="68"/>
      <c r="LB114" s="68"/>
      <c r="LC114" s="68"/>
      <c r="LD114" s="68"/>
      <c r="LE114" s="68"/>
      <c r="LF114" s="68"/>
      <c r="LG114" s="68"/>
      <c r="LH114" s="68"/>
      <c r="LI114" s="68"/>
      <c r="LJ114" s="68"/>
      <c r="LK114" s="68"/>
      <c r="LL114" s="68"/>
      <c r="LM114" s="68"/>
      <c r="LN114" s="68"/>
      <c r="LO114" s="68"/>
      <c r="LP114" s="68"/>
      <c r="LQ114" s="68"/>
      <c r="LR114" s="68"/>
      <c r="LS114" s="68"/>
      <c r="LT114" s="68"/>
      <c r="LU114" s="68"/>
      <c r="LV114" s="68"/>
      <c r="LW114" s="68"/>
      <c r="LX114" s="68"/>
      <c r="LY114" s="68"/>
      <c r="LZ114" s="68"/>
      <c r="MA114" s="68"/>
      <c r="MB114" s="68"/>
      <c r="MC114" s="68"/>
      <c r="MD114" s="68"/>
      <c r="ME114" s="68"/>
      <c r="MF114" s="68"/>
      <c r="MG114" s="68"/>
      <c r="MH114" s="68"/>
      <c r="MI114" s="68"/>
      <c r="MJ114" s="68"/>
      <c r="MK114" s="68"/>
      <c r="ML114" s="68"/>
      <c r="MM114" s="68"/>
      <c r="MN114" s="68"/>
      <c r="MO114" s="68"/>
      <c r="MP114" s="68"/>
      <c r="MQ114" s="68"/>
      <c r="MR114" s="68"/>
      <c r="MS114" s="68"/>
      <c r="MT114" s="68"/>
      <c r="MU114" s="68"/>
      <c r="MV114" s="68"/>
      <c r="MW114" s="68"/>
      <c r="MX114" s="68"/>
      <c r="MY114" s="68"/>
      <c r="MZ114" s="68"/>
      <c r="NA114" s="68"/>
      <c r="NB114" s="68"/>
      <c r="NC114" s="68"/>
      <c r="ND114" s="68"/>
      <c r="NE114" s="68"/>
      <c r="NF114" s="68"/>
      <c r="NG114" s="68"/>
      <c r="NH114" s="68"/>
      <c r="NI114" s="68"/>
      <c r="NJ114" s="68"/>
      <c r="NK114" s="68"/>
      <c r="NL114" s="68"/>
      <c r="NM114" s="68"/>
      <c r="NN114" s="68"/>
      <c r="NO114" s="68"/>
      <c r="NP114" s="68"/>
      <c r="NQ114" s="68"/>
      <c r="NR114" s="68"/>
      <c r="NS114" s="68"/>
      <c r="NT114" s="68"/>
      <c r="NU114" s="68"/>
      <c r="NV114" s="68"/>
      <c r="NW114" s="68"/>
      <c r="NX114" s="68"/>
      <c r="NY114" s="68"/>
      <c r="NZ114" s="68"/>
      <c r="OA114" s="68"/>
      <c r="OB114" s="68"/>
      <c r="OC114" s="68"/>
      <c r="OD114" s="68"/>
      <c r="OE114" s="68"/>
      <c r="OF114" s="68"/>
      <c r="OG114" s="68"/>
      <c r="OH114" s="68"/>
      <c r="OI114" s="68"/>
      <c r="OJ114" s="68"/>
      <c r="OK114" s="68"/>
      <c r="OL114" s="68"/>
      <c r="OM114" s="68"/>
      <c r="ON114" s="68"/>
      <c r="OO114" s="68"/>
      <c r="OP114" s="68"/>
      <c r="OQ114" s="68"/>
      <c r="OR114" s="68"/>
      <c r="OS114" s="68"/>
      <c r="OT114" s="68"/>
      <c r="OU114" s="68"/>
      <c r="OV114" s="68"/>
      <c r="OW114" s="68"/>
      <c r="OX114" s="68"/>
      <c r="OY114" s="68"/>
      <c r="OZ114" s="68"/>
      <c r="PA114" s="68"/>
      <c r="PB114" s="68"/>
      <c r="PC114" s="68"/>
      <c r="PD114" s="68"/>
      <c r="PE114" s="68"/>
      <c r="PF114" s="68"/>
      <c r="PG114" s="68"/>
      <c r="PH114" s="68"/>
      <c r="PI114" s="68"/>
      <c r="PJ114" s="68"/>
      <c r="PK114" s="68"/>
      <c r="PL114" s="68"/>
      <c r="PM114" s="68"/>
      <c r="PN114" s="68"/>
      <c r="PO114" s="68"/>
      <c r="PP114" s="68"/>
      <c r="PQ114" s="68"/>
      <c r="PR114" s="68"/>
      <c r="PS114" s="68"/>
      <c r="PT114" s="68"/>
      <c r="PU114" s="68"/>
      <c r="PV114" s="68"/>
      <c r="PW114" s="68"/>
      <c r="PX114" s="68"/>
      <c r="PY114" s="68"/>
      <c r="PZ114" s="68"/>
      <c r="QA114" s="68"/>
      <c r="QB114" s="68"/>
      <c r="QC114" s="68"/>
      <c r="QD114" s="68"/>
      <c r="QE114" s="68"/>
      <c r="QF114" s="68"/>
      <c r="QG114" s="68"/>
      <c r="QH114" s="68"/>
      <c r="QI114" s="68"/>
      <c r="QJ114" s="68"/>
      <c r="QK114" s="68"/>
      <c r="QL114" s="68"/>
      <c r="QM114" s="68"/>
      <c r="QN114" s="68"/>
      <c r="QO114" s="68"/>
      <c r="QP114" s="68"/>
      <c r="QQ114" s="68"/>
      <c r="QR114" s="68"/>
      <c r="QS114" s="68"/>
      <c r="QT114" s="68"/>
      <c r="QU114" s="68"/>
      <c r="QV114" s="68"/>
      <c r="QW114" s="68"/>
      <c r="QX114" s="68"/>
      <c r="QY114" s="68"/>
      <c r="QZ114" s="68"/>
      <c r="RA114" s="68"/>
      <c r="RB114" s="68"/>
      <c r="RC114" s="68"/>
      <c r="RD114" s="68"/>
      <c r="RE114" s="68"/>
      <c r="RF114" s="68"/>
      <c r="RG114" s="68"/>
      <c r="RH114" s="68"/>
      <c r="RI114" s="68"/>
      <c r="RJ114" s="68"/>
      <c r="RK114" s="68"/>
      <c r="RL114" s="68"/>
      <c r="RM114" s="68"/>
      <c r="RN114" s="68"/>
      <c r="RO114" s="68"/>
      <c r="RP114" s="68"/>
      <c r="RQ114" s="68"/>
      <c r="RR114" s="68"/>
      <c r="RS114" s="68"/>
      <c r="RT114" s="68"/>
      <c r="RU114" s="68"/>
      <c r="RV114" s="68"/>
      <c r="RW114" s="68"/>
      <c r="RX114" s="68"/>
      <c r="RY114" s="68"/>
      <c r="RZ114" s="68"/>
      <c r="SA114" s="68"/>
      <c r="SB114" s="68"/>
      <c r="SC114" s="68"/>
      <c r="SD114" s="68"/>
      <c r="SE114" s="68"/>
      <c r="SF114" s="68"/>
      <c r="SG114" s="68"/>
      <c r="SH114" s="68"/>
      <c r="SI114" s="68"/>
      <c r="SJ114" s="68"/>
      <c r="SK114" s="68"/>
      <c r="SL114" s="68"/>
      <c r="SM114" s="68"/>
      <c r="SN114" s="68"/>
      <c r="SO114" s="68"/>
      <c r="SP114" s="68"/>
      <c r="SQ114" s="68"/>
      <c r="SR114" s="68"/>
      <c r="SS114" s="68"/>
      <c r="ST114" s="68"/>
      <c r="SU114" s="68"/>
      <c r="SV114" s="68"/>
      <c r="SW114" s="68"/>
      <c r="SX114" s="68"/>
      <c r="SY114" s="68"/>
      <c r="SZ114" s="68"/>
      <c r="TA114" s="68"/>
      <c r="TB114" s="68"/>
      <c r="TC114" s="68"/>
      <c r="TD114" s="68"/>
      <c r="TE114" s="68"/>
      <c r="TF114" s="68"/>
      <c r="TG114" s="68"/>
      <c r="TH114" s="68"/>
      <c r="TI114" s="68"/>
      <c r="TJ114" s="68"/>
      <c r="TK114" s="68"/>
      <c r="TL114" s="68"/>
      <c r="TM114" s="68"/>
      <c r="TN114" s="68"/>
      <c r="TO114" s="68"/>
      <c r="TP114" s="68"/>
      <c r="TQ114" s="68"/>
      <c r="TR114" s="68"/>
      <c r="TS114" s="68"/>
      <c r="TT114" s="68"/>
      <c r="TU114" s="68"/>
      <c r="TV114" s="68"/>
      <c r="TW114" s="68"/>
      <c r="TX114" s="68"/>
      <c r="TY114" s="68"/>
      <c r="TZ114" s="68"/>
      <c r="UA114" s="68"/>
      <c r="UB114" s="68"/>
      <c r="UC114" s="68"/>
      <c r="UD114" s="68"/>
      <c r="UE114" s="68"/>
      <c r="UF114" s="68"/>
      <c r="UG114" s="68"/>
      <c r="UH114" s="68"/>
      <c r="UI114" s="68"/>
      <c r="UJ114" s="68"/>
      <c r="UK114" s="68"/>
      <c r="UL114" s="68"/>
      <c r="UM114" s="68"/>
      <c r="UN114" s="68"/>
      <c r="UO114" s="68"/>
      <c r="UP114" s="68"/>
      <c r="UQ114" s="68"/>
      <c r="UR114" s="68"/>
      <c r="US114" s="68"/>
      <c r="UT114" s="68"/>
      <c r="UU114" s="68"/>
      <c r="UV114" s="68"/>
      <c r="UW114" s="68"/>
      <c r="UX114" s="68"/>
      <c r="UY114" s="68"/>
      <c r="UZ114" s="68"/>
      <c r="VA114" s="68"/>
      <c r="VB114" s="68"/>
      <c r="VC114" s="68"/>
      <c r="VD114" s="68"/>
      <c r="VE114" s="68"/>
      <c r="VF114" s="68"/>
      <c r="VG114" s="68"/>
      <c r="VH114" s="68"/>
      <c r="VI114" s="68"/>
      <c r="VJ114" s="68"/>
      <c r="VK114" s="68"/>
      <c r="VL114" s="68"/>
      <c r="VM114" s="68"/>
      <c r="VN114" s="68"/>
      <c r="VO114" s="68"/>
      <c r="VP114" s="68"/>
      <c r="VQ114" s="68"/>
      <c r="VR114" s="68"/>
      <c r="VS114" s="68"/>
      <c r="VT114" s="68"/>
      <c r="VU114" s="68"/>
      <c r="VV114" s="68"/>
      <c r="VW114" s="68"/>
      <c r="VX114" s="68"/>
      <c r="VY114" s="68"/>
      <c r="VZ114" s="68"/>
      <c r="WA114" s="68"/>
      <c r="WB114" s="68"/>
      <c r="WC114" s="68"/>
      <c r="WD114" s="68"/>
      <c r="WE114" s="68"/>
      <c r="WF114" s="68"/>
      <c r="WG114" s="68"/>
      <c r="WH114" s="68"/>
      <c r="WI114" s="68"/>
      <c r="WJ114" s="68"/>
      <c r="WK114" s="68"/>
      <c r="WL114" s="68"/>
      <c r="WM114" s="68"/>
      <c r="WN114" s="68"/>
      <c r="WO114" s="68"/>
      <c r="WP114" s="68"/>
      <c r="WQ114" s="68"/>
      <c r="WR114" s="68"/>
      <c r="WS114" s="68"/>
      <c r="WT114" s="68"/>
      <c r="WU114" s="68"/>
      <c r="WV114" s="68"/>
      <c r="WW114" s="68"/>
      <c r="WX114" s="68"/>
      <c r="WY114" s="68"/>
      <c r="WZ114" s="68"/>
      <c r="XA114" s="68"/>
      <c r="XB114" s="68"/>
      <c r="XC114" s="68"/>
      <c r="XD114" s="68"/>
      <c r="XE114" s="68"/>
      <c r="XF114" s="68"/>
      <c r="XG114" s="68"/>
      <c r="XH114" s="68"/>
      <c r="XI114" s="68"/>
      <c r="XJ114" s="68"/>
      <c r="XK114" s="68"/>
      <c r="XL114" s="68"/>
      <c r="XM114" s="68"/>
      <c r="XN114" s="68"/>
      <c r="XO114" s="68"/>
      <c r="XP114" s="68"/>
      <c r="XQ114" s="68"/>
      <c r="XR114" s="68"/>
      <c r="XS114" s="68"/>
      <c r="XT114" s="68"/>
      <c r="XU114" s="68"/>
      <c r="XV114" s="68"/>
      <c r="XW114" s="68"/>
      <c r="XX114" s="68"/>
      <c r="XY114" s="68"/>
      <c r="XZ114" s="68"/>
      <c r="YA114" s="68"/>
      <c r="YB114" s="68"/>
      <c r="YC114" s="68"/>
      <c r="YD114" s="68"/>
      <c r="YE114" s="68"/>
      <c r="YF114" s="68"/>
      <c r="YG114" s="68"/>
      <c r="YH114" s="68"/>
      <c r="YI114" s="68"/>
      <c r="YJ114" s="68"/>
      <c r="YK114" s="68"/>
      <c r="YL114" s="68"/>
      <c r="YM114" s="68"/>
      <c r="YN114" s="68"/>
      <c r="YO114" s="68"/>
      <c r="YP114" s="68"/>
      <c r="YQ114" s="68"/>
      <c r="YR114" s="68"/>
      <c r="YS114" s="68"/>
      <c r="YT114" s="68"/>
      <c r="YU114" s="68"/>
      <c r="YV114" s="68"/>
      <c r="YW114" s="68"/>
      <c r="YX114" s="68"/>
      <c r="YY114" s="68"/>
      <c r="YZ114" s="68"/>
      <c r="ZA114" s="68"/>
      <c r="ZB114" s="68"/>
      <c r="ZC114" s="68"/>
      <c r="ZD114" s="68"/>
      <c r="ZE114" s="68"/>
      <c r="ZF114" s="68"/>
      <c r="ZG114" s="68"/>
      <c r="ZH114" s="68"/>
      <c r="ZI114" s="68"/>
      <c r="ZJ114" s="68"/>
      <c r="ZK114" s="68"/>
      <c r="ZL114" s="68"/>
      <c r="ZM114" s="68"/>
      <c r="ZN114" s="68"/>
      <c r="ZO114" s="68"/>
      <c r="ZP114" s="68"/>
      <c r="ZQ114" s="68"/>
      <c r="ZR114" s="68"/>
      <c r="ZS114" s="68"/>
      <c r="ZT114" s="68"/>
      <c r="ZU114" s="68"/>
      <c r="ZV114" s="68"/>
      <c r="ZW114" s="68"/>
      <c r="ZX114" s="68"/>
      <c r="ZY114" s="68"/>
      <c r="ZZ114" s="68"/>
      <c r="AAA114" s="68"/>
      <c r="AAB114" s="68"/>
      <c r="AAC114" s="68"/>
      <c r="AAD114" s="68"/>
      <c r="AAE114" s="68"/>
      <c r="AAF114" s="68"/>
      <c r="AAG114" s="68"/>
      <c r="AAH114" s="68"/>
      <c r="AAI114" s="68"/>
      <c r="AAJ114" s="68"/>
      <c r="AAK114" s="68"/>
      <c r="AAL114" s="68"/>
      <c r="AAM114" s="68"/>
      <c r="AAN114" s="68"/>
      <c r="AAO114" s="68"/>
      <c r="AAP114" s="68"/>
      <c r="AAQ114" s="68"/>
      <c r="AAR114" s="68"/>
      <c r="AAS114" s="68"/>
      <c r="AAT114" s="68"/>
      <c r="AAU114" s="68"/>
      <c r="AAV114" s="68"/>
      <c r="AAW114" s="68"/>
      <c r="AAX114" s="68"/>
      <c r="AAY114" s="68"/>
      <c r="AAZ114" s="68"/>
      <c r="ABA114" s="68"/>
      <c r="ABB114" s="68"/>
      <c r="ABC114" s="68"/>
      <c r="ABD114" s="68"/>
      <c r="ABE114" s="68"/>
      <c r="ABF114" s="68"/>
      <c r="ABG114" s="68"/>
      <c r="ABH114" s="68"/>
      <c r="ABI114" s="68"/>
      <c r="ABJ114" s="68"/>
      <c r="ABK114" s="68"/>
      <c r="ABL114" s="68"/>
      <c r="ABM114" s="68"/>
      <c r="ABN114" s="68"/>
      <c r="ABO114" s="68"/>
      <c r="ABP114" s="68"/>
      <c r="ABQ114" s="68"/>
      <c r="ABR114" s="68"/>
      <c r="ABS114" s="68"/>
      <c r="ABT114" s="68"/>
      <c r="ABU114" s="68"/>
      <c r="ABV114" s="68"/>
      <c r="ABW114" s="68"/>
      <c r="ABX114" s="68"/>
      <c r="ABY114" s="68"/>
      <c r="ABZ114" s="68"/>
      <c r="ACA114" s="68"/>
      <c r="ACB114" s="68"/>
      <c r="ACC114" s="68"/>
      <c r="ACD114" s="68"/>
      <c r="ACE114" s="68"/>
      <c r="ACF114" s="68"/>
      <c r="ACG114" s="68"/>
      <c r="ACH114" s="68"/>
      <c r="ACI114" s="68"/>
      <c r="ACJ114" s="68"/>
      <c r="ACK114" s="68"/>
      <c r="ACL114" s="68"/>
      <c r="ACM114" s="68"/>
      <c r="ACN114" s="68"/>
      <c r="ACO114" s="68"/>
      <c r="ACP114" s="68"/>
      <c r="ACQ114" s="68"/>
      <c r="ACR114" s="68"/>
      <c r="ACS114" s="68"/>
      <c r="ACT114" s="68"/>
      <c r="ACU114" s="68"/>
      <c r="ACV114" s="68"/>
      <c r="ACW114" s="68"/>
      <c r="ACX114" s="68"/>
      <c r="ACY114" s="68"/>
      <c r="ACZ114" s="68"/>
      <c r="ADA114" s="68"/>
      <c r="ADB114" s="68"/>
      <c r="ADC114" s="68"/>
      <c r="ADD114" s="68"/>
      <c r="ADE114" s="68"/>
      <c r="ADF114" s="68"/>
      <c r="ADG114" s="68"/>
      <c r="ADH114" s="68"/>
      <c r="ADI114" s="68"/>
      <c r="ADJ114" s="68"/>
      <c r="ADK114" s="68"/>
      <c r="ADL114" s="68"/>
      <c r="ADM114" s="68"/>
      <c r="ADN114" s="68"/>
      <c r="ADO114" s="68"/>
      <c r="ADP114" s="68"/>
      <c r="ADQ114" s="68"/>
      <c r="ADR114" s="68"/>
      <c r="ADS114" s="68"/>
      <c r="ADT114" s="68"/>
      <c r="ADU114" s="68"/>
      <c r="ADV114" s="68"/>
      <c r="ADW114" s="68"/>
      <c r="ADX114" s="68"/>
      <c r="ADY114" s="68"/>
      <c r="ADZ114" s="68"/>
      <c r="AEA114" s="68"/>
      <c r="AEB114" s="68"/>
      <c r="AEC114" s="68"/>
      <c r="AED114" s="68"/>
      <c r="AEE114" s="68"/>
      <c r="AEF114" s="68"/>
      <c r="AEG114" s="68"/>
      <c r="AEH114" s="68"/>
      <c r="AEI114" s="68"/>
      <c r="AEJ114" s="68"/>
      <c r="AEK114" s="68"/>
      <c r="AEL114" s="68"/>
      <c r="AEM114" s="68"/>
      <c r="AEN114" s="68"/>
      <c r="AEO114" s="68"/>
      <c r="AEP114" s="68"/>
      <c r="AEQ114" s="68"/>
      <c r="AER114" s="68"/>
      <c r="AES114" s="68"/>
      <c r="AET114" s="68"/>
      <c r="AEU114" s="68"/>
      <c r="AEV114" s="68"/>
      <c r="AEW114" s="68"/>
      <c r="AEX114" s="68"/>
      <c r="AEY114" s="68"/>
      <c r="AEZ114" s="68"/>
      <c r="AFA114" s="68"/>
      <c r="AFB114" s="68"/>
      <c r="AFC114" s="68"/>
      <c r="AFD114" s="68"/>
      <c r="AFE114" s="68"/>
      <c r="AFF114" s="68"/>
      <c r="AFG114" s="68"/>
      <c r="AFH114" s="68"/>
      <c r="AFI114" s="68"/>
      <c r="AFJ114" s="68"/>
      <c r="AFK114" s="68"/>
      <c r="AFL114" s="68"/>
      <c r="AFM114" s="68"/>
      <c r="AFN114" s="68"/>
      <c r="AFO114" s="68"/>
      <c r="AFP114" s="68"/>
      <c r="AFQ114" s="68"/>
      <c r="AFR114" s="68"/>
      <c r="AFS114" s="68"/>
      <c r="AFT114" s="68"/>
      <c r="AFU114" s="68"/>
      <c r="AFV114" s="68"/>
      <c r="AFW114" s="68"/>
      <c r="AFX114" s="68"/>
      <c r="AFY114" s="68"/>
      <c r="AFZ114" s="68"/>
      <c r="AGA114" s="68"/>
      <c r="AGB114" s="68"/>
      <c r="AGC114" s="68"/>
      <c r="AGD114" s="68"/>
      <c r="AGE114" s="68"/>
      <c r="AGF114" s="68"/>
      <c r="AGG114" s="68"/>
      <c r="AGH114" s="68"/>
      <c r="AGI114" s="68"/>
      <c r="AGJ114" s="68"/>
      <c r="AGK114" s="68"/>
      <c r="AGL114" s="68"/>
      <c r="AGM114" s="68"/>
      <c r="AGN114" s="68"/>
      <c r="AGO114" s="68"/>
      <c r="AGP114" s="68"/>
      <c r="AGQ114" s="68"/>
      <c r="AGR114" s="68"/>
      <c r="AGS114" s="68"/>
      <c r="AGT114" s="68"/>
      <c r="AGU114" s="68"/>
      <c r="AGV114" s="68"/>
      <c r="AGW114" s="68"/>
      <c r="AGX114" s="68"/>
      <c r="AGY114" s="68"/>
      <c r="AGZ114" s="68"/>
      <c r="AHA114" s="68"/>
      <c r="AHB114" s="68"/>
      <c r="AHC114" s="68"/>
      <c r="AHD114" s="68"/>
      <c r="AHE114" s="68"/>
      <c r="AHF114" s="68"/>
      <c r="AHG114" s="68"/>
      <c r="AHH114" s="68"/>
      <c r="AHI114" s="68"/>
      <c r="AHJ114" s="68"/>
      <c r="AHK114" s="68"/>
      <c r="AHL114" s="68"/>
      <c r="AHM114" s="68"/>
      <c r="AHN114" s="68"/>
      <c r="AHO114" s="68"/>
      <c r="AHP114" s="68"/>
      <c r="AHQ114" s="68"/>
      <c r="AHR114" s="68"/>
      <c r="AHS114" s="68"/>
      <c r="AHT114" s="68"/>
      <c r="AHU114" s="68"/>
      <c r="AHV114" s="68"/>
      <c r="AHW114" s="68"/>
      <c r="AHX114" s="68"/>
      <c r="AHY114" s="68"/>
      <c r="AHZ114" s="68"/>
      <c r="AIA114" s="68"/>
      <c r="AIB114" s="68"/>
      <c r="AIC114" s="68"/>
      <c r="AID114" s="68"/>
      <c r="AIE114" s="68"/>
      <c r="AIF114" s="68"/>
      <c r="AIG114" s="68"/>
      <c r="AIH114" s="68"/>
      <c r="AII114" s="68"/>
      <c r="AIJ114" s="68"/>
      <c r="AIK114" s="68"/>
      <c r="AIL114" s="68"/>
      <c r="AIM114" s="68"/>
      <c r="AIN114" s="68"/>
      <c r="AIO114" s="68"/>
      <c r="AIP114" s="68"/>
      <c r="AIQ114" s="68"/>
      <c r="AIR114" s="68"/>
      <c r="AIS114" s="68"/>
      <c r="AIT114" s="68"/>
      <c r="AIU114" s="68"/>
      <c r="AIV114" s="68"/>
      <c r="AIW114" s="68"/>
      <c r="AIX114" s="68"/>
      <c r="AIY114" s="68"/>
      <c r="AIZ114" s="68"/>
      <c r="AJA114" s="68"/>
      <c r="AJB114" s="68"/>
      <c r="AJC114" s="68"/>
      <c r="AJD114" s="68"/>
      <c r="AJE114" s="68"/>
      <c r="AJF114" s="68"/>
      <c r="AJG114" s="68"/>
      <c r="AJH114" s="68"/>
      <c r="AJI114" s="68"/>
      <c r="AJJ114" s="68"/>
      <c r="AJK114" s="68"/>
      <c r="AJL114" s="68"/>
      <c r="AJM114" s="68"/>
      <c r="AJN114" s="68"/>
      <c r="AJO114" s="68"/>
      <c r="AJP114" s="68"/>
      <c r="AJQ114" s="68"/>
      <c r="AJR114" s="68"/>
      <c r="AJS114" s="68"/>
      <c r="AJT114" s="68"/>
      <c r="AJU114" s="68"/>
      <c r="AJV114" s="68"/>
      <c r="AJW114" s="68"/>
      <c r="AJX114" s="68"/>
      <c r="AJY114" s="68"/>
      <c r="AJZ114" s="68"/>
      <c r="AKA114" s="68"/>
      <c r="AKB114" s="68"/>
      <c r="AKC114" s="68"/>
      <c r="AKD114" s="68"/>
      <c r="AKE114" s="68"/>
      <c r="AKF114" s="68"/>
      <c r="AKG114" s="68"/>
      <c r="AKH114" s="68"/>
      <c r="AKI114" s="68"/>
      <c r="AKJ114" s="68"/>
      <c r="AKK114" s="68"/>
      <c r="AKL114" s="68"/>
      <c r="AKM114" s="68"/>
      <c r="AKN114" s="68"/>
      <c r="AKO114" s="68"/>
      <c r="AKP114" s="68"/>
      <c r="AKQ114" s="68"/>
      <c r="AKR114" s="68"/>
      <c r="AKS114" s="68"/>
      <c r="AKT114" s="68"/>
      <c r="AKU114" s="68"/>
      <c r="AKV114" s="68"/>
      <c r="AKW114" s="68"/>
      <c r="AKX114" s="68"/>
      <c r="AKY114" s="68"/>
      <c r="AKZ114" s="68"/>
      <c r="ALA114" s="68"/>
      <c r="ALB114" s="68"/>
      <c r="ALC114" s="68"/>
      <c r="ALD114" s="68"/>
      <c r="ALE114" s="68"/>
      <c r="ALF114" s="68"/>
      <c r="ALG114" s="68"/>
      <c r="ALH114" s="68"/>
      <c r="ALI114" s="68"/>
      <c r="ALJ114" s="68"/>
      <c r="ALK114" s="68"/>
      <c r="ALL114" s="68"/>
      <c r="ALM114" s="68"/>
      <c r="ALN114" s="68"/>
      <c r="ALO114" s="68"/>
      <c r="ALP114" s="68"/>
      <c r="ALQ114" s="68"/>
      <c r="ALR114" s="68"/>
      <c r="ALS114" s="68"/>
      <c r="ALT114" s="68"/>
      <c r="ALU114" s="68"/>
      <c r="ALV114" s="68"/>
      <c r="ALW114" s="68"/>
      <c r="ALX114" s="68"/>
      <c r="ALY114" s="68"/>
      <c r="ALZ114" s="68"/>
      <c r="AMA114" s="68"/>
      <c r="AMB114" s="68"/>
      <c r="AMC114" s="68"/>
      <c r="AMD114" s="68"/>
      <c r="AME114" s="68"/>
      <c r="AMF114" s="68"/>
      <c r="AMG114" s="68"/>
      <c r="AMH114" s="68"/>
      <c r="AMI114" s="68"/>
      <c r="AMJ114" s="68"/>
      <c r="AMK114" s="68"/>
      <c r="AML114" s="68"/>
      <c r="AMM114" s="68"/>
      <c r="AMN114" s="68"/>
      <c r="AMO114" s="68"/>
      <c r="AMP114" s="68"/>
      <c r="AMQ114" s="68"/>
      <c r="AMR114" s="68"/>
      <c r="AMS114" s="68"/>
      <c r="AMT114" s="68"/>
      <c r="AMU114" s="68"/>
      <c r="AMV114" s="68"/>
      <c r="AMW114" s="68"/>
      <c r="AMX114" s="68"/>
      <c r="AMY114" s="68"/>
      <c r="AMZ114" s="68"/>
      <c r="ANA114" s="68"/>
      <c r="ANB114" s="68"/>
      <c r="ANC114" s="68"/>
      <c r="AND114" s="68"/>
      <c r="ANE114" s="68"/>
      <c r="ANF114" s="68"/>
      <c r="ANG114" s="68"/>
      <c r="ANH114" s="68"/>
      <c r="ANI114" s="68"/>
      <c r="ANJ114" s="68"/>
      <c r="ANK114" s="68"/>
      <c r="ANL114" s="68"/>
      <c r="ANM114" s="68"/>
      <c r="ANN114" s="68"/>
      <c r="ANO114" s="68"/>
      <c r="ANP114" s="68"/>
      <c r="ANQ114" s="68"/>
      <c r="ANR114" s="68"/>
      <c r="ANS114" s="68"/>
      <c r="ANT114" s="68"/>
      <c r="ANU114" s="68"/>
      <c r="ANV114" s="68"/>
      <c r="ANW114" s="68"/>
      <c r="ANX114" s="68"/>
      <c r="ANY114" s="68"/>
      <c r="ANZ114" s="68"/>
      <c r="AOA114" s="68"/>
      <c r="AOB114" s="68"/>
      <c r="AOC114" s="68"/>
      <c r="AOD114" s="68"/>
      <c r="AOE114" s="68"/>
      <c r="AOF114" s="68"/>
      <c r="AOG114" s="68"/>
      <c r="AOH114" s="68"/>
      <c r="AOI114" s="68"/>
      <c r="AOJ114" s="68"/>
      <c r="AOK114" s="68"/>
      <c r="AOL114" s="68"/>
      <c r="AOM114" s="68"/>
      <c r="AON114" s="68"/>
      <c r="AOO114" s="68"/>
      <c r="AOP114" s="68"/>
      <c r="AOQ114" s="68"/>
      <c r="AOR114" s="68"/>
      <c r="AOS114" s="68"/>
      <c r="AOT114" s="68"/>
      <c r="AOU114" s="68"/>
      <c r="AOV114" s="68"/>
      <c r="AOW114" s="68"/>
      <c r="AOX114" s="68"/>
      <c r="AOY114" s="68"/>
      <c r="AOZ114" s="68"/>
      <c r="APA114" s="68"/>
      <c r="APB114" s="68"/>
      <c r="APC114" s="68"/>
      <c r="APD114" s="68"/>
      <c r="APE114" s="68"/>
      <c r="APF114" s="68"/>
      <c r="APG114" s="68"/>
      <c r="APH114" s="68"/>
      <c r="API114" s="68"/>
      <c r="APJ114" s="68"/>
      <c r="APK114" s="68"/>
      <c r="APL114" s="68"/>
      <c r="APM114" s="68"/>
      <c r="APN114" s="68"/>
      <c r="APO114" s="68"/>
      <c r="APP114" s="68"/>
      <c r="APQ114" s="68"/>
      <c r="APR114" s="68"/>
      <c r="APS114" s="68"/>
      <c r="APT114" s="68"/>
      <c r="APU114" s="68"/>
      <c r="APV114" s="68"/>
      <c r="APW114" s="68"/>
      <c r="APX114" s="68"/>
      <c r="APY114" s="68"/>
      <c r="APZ114" s="68"/>
      <c r="AQA114" s="68"/>
      <c r="AQB114" s="68"/>
      <c r="AQC114" s="68"/>
      <c r="AQD114" s="68"/>
      <c r="AQE114" s="68"/>
      <c r="AQF114" s="68"/>
      <c r="AQG114" s="68"/>
      <c r="AQH114" s="68"/>
      <c r="AQI114" s="68"/>
      <c r="AQJ114" s="68"/>
      <c r="AQK114" s="68"/>
      <c r="AQL114" s="68"/>
      <c r="AQM114" s="68"/>
      <c r="AQN114" s="68"/>
      <c r="AQO114" s="68"/>
      <c r="AQP114" s="68"/>
      <c r="AQQ114" s="68"/>
      <c r="AQR114" s="68"/>
      <c r="AQS114" s="68"/>
      <c r="AQT114" s="68"/>
      <c r="AQU114" s="68"/>
      <c r="AQV114" s="68"/>
      <c r="AQW114" s="68"/>
      <c r="AQX114" s="68"/>
      <c r="AQY114" s="68"/>
      <c r="AQZ114" s="68"/>
      <c r="ARA114" s="68"/>
      <c r="ARB114" s="68"/>
      <c r="ARC114" s="68"/>
      <c r="ARD114" s="68"/>
      <c r="ARE114" s="68"/>
      <c r="ARF114" s="68"/>
      <c r="ARG114" s="68"/>
      <c r="ARH114" s="68"/>
      <c r="ARI114" s="68"/>
      <c r="ARJ114" s="68"/>
      <c r="ARK114" s="68"/>
      <c r="ARL114" s="68"/>
      <c r="ARM114" s="68"/>
      <c r="ARN114" s="68"/>
      <c r="ARO114" s="68"/>
      <c r="ARP114" s="68"/>
      <c r="ARQ114" s="68"/>
      <c r="ARR114" s="68"/>
      <c r="ARS114" s="68"/>
      <c r="ART114" s="68"/>
      <c r="ARU114" s="68"/>
      <c r="ARV114" s="68"/>
      <c r="ARW114" s="68"/>
      <c r="ARX114" s="68"/>
      <c r="ARY114" s="68"/>
      <c r="ARZ114" s="68"/>
      <c r="ASA114" s="68"/>
      <c r="ASB114" s="68"/>
      <c r="ASC114" s="68"/>
      <c r="ASD114" s="68"/>
      <c r="ASE114" s="68"/>
      <c r="ASF114" s="68"/>
      <c r="ASG114" s="68"/>
      <c r="ASH114" s="68"/>
      <c r="ASI114" s="68"/>
      <c r="ASJ114" s="68"/>
      <c r="ASK114" s="68"/>
      <c r="ASL114" s="68"/>
      <c r="ASM114" s="68"/>
      <c r="ASN114" s="68"/>
      <c r="ASO114" s="68"/>
      <c r="ASP114" s="68"/>
      <c r="ASQ114" s="68"/>
      <c r="ASR114" s="68"/>
      <c r="ASS114" s="68"/>
      <c r="AST114" s="68"/>
      <c r="ASU114" s="68"/>
      <c r="ASV114" s="68"/>
      <c r="ASW114" s="68"/>
      <c r="ASX114" s="68"/>
      <c r="ASY114" s="68"/>
      <c r="ASZ114" s="68"/>
      <c r="ATA114" s="68"/>
      <c r="ATB114" s="68"/>
      <c r="ATC114" s="68"/>
      <c r="ATD114" s="68"/>
      <c r="ATE114" s="68"/>
      <c r="ATF114" s="68"/>
      <c r="ATG114" s="68"/>
      <c r="ATH114" s="68"/>
      <c r="ATI114" s="68"/>
      <c r="ATJ114" s="68"/>
      <c r="ATK114" s="68"/>
      <c r="ATL114" s="68"/>
      <c r="ATM114" s="68"/>
      <c r="ATN114" s="68"/>
      <c r="ATO114" s="68"/>
      <c r="ATP114" s="68"/>
      <c r="ATQ114" s="68"/>
      <c r="ATR114" s="68"/>
      <c r="ATS114" s="68"/>
      <c r="ATT114" s="68"/>
      <c r="ATU114" s="68"/>
      <c r="ATV114" s="68"/>
      <c r="ATW114" s="68"/>
      <c r="ATX114" s="68"/>
      <c r="ATY114" s="68"/>
      <c r="ATZ114" s="68"/>
      <c r="AUA114" s="68"/>
      <c r="AUB114" s="68"/>
      <c r="AUC114" s="68"/>
      <c r="AUD114" s="68"/>
      <c r="AUE114" s="68"/>
      <c r="AUF114" s="68"/>
      <c r="AUG114" s="68"/>
      <c r="AUH114" s="68"/>
      <c r="AUI114" s="68"/>
      <c r="AUJ114" s="68"/>
      <c r="AUK114" s="68"/>
      <c r="AUL114" s="68"/>
      <c r="AUM114" s="68"/>
      <c r="AUN114" s="68"/>
      <c r="AUO114" s="68"/>
      <c r="AUP114" s="68"/>
      <c r="AUQ114" s="68"/>
      <c r="AUR114" s="68"/>
      <c r="AUS114" s="68"/>
      <c r="AUT114" s="68"/>
      <c r="AUU114" s="68"/>
      <c r="AUV114" s="68"/>
      <c r="AUW114" s="68"/>
      <c r="AUX114" s="68"/>
      <c r="AUY114" s="68"/>
      <c r="AUZ114" s="68"/>
      <c r="AVA114" s="68"/>
      <c r="AVB114" s="68"/>
      <c r="AVC114" s="68"/>
      <c r="AVD114" s="68"/>
      <c r="AVE114" s="68"/>
      <c r="AVF114" s="68"/>
      <c r="AVG114" s="68"/>
      <c r="AVH114" s="68"/>
      <c r="AVI114" s="68"/>
      <c r="AVJ114" s="68"/>
      <c r="AVK114" s="68"/>
      <c r="AVL114" s="68"/>
      <c r="AVM114" s="68"/>
      <c r="AVN114" s="68"/>
      <c r="AVO114" s="68"/>
      <c r="AVP114" s="68"/>
      <c r="AVQ114" s="68"/>
      <c r="AVR114" s="68"/>
      <c r="AVS114" s="68"/>
      <c r="AVT114" s="68"/>
      <c r="AVU114" s="68"/>
      <c r="AVV114" s="68"/>
      <c r="AVW114" s="68"/>
      <c r="AVX114" s="68"/>
      <c r="AVY114" s="68"/>
      <c r="AVZ114" s="68"/>
      <c r="AWA114" s="68"/>
      <c r="AWB114" s="68"/>
      <c r="AWC114" s="68"/>
      <c r="AWD114" s="68"/>
      <c r="AWE114" s="68"/>
      <c r="AWF114" s="68"/>
      <c r="AWG114" s="68"/>
      <c r="AWH114" s="68"/>
      <c r="AWI114" s="68"/>
      <c r="AWJ114" s="68"/>
      <c r="AWK114" s="68"/>
      <c r="AWL114" s="68"/>
      <c r="AWM114" s="68"/>
      <c r="AWN114" s="68"/>
      <c r="AWO114" s="68"/>
      <c r="AWP114" s="68"/>
      <c r="AWQ114" s="68"/>
      <c r="AWR114" s="68"/>
      <c r="AWS114" s="68"/>
      <c r="AWT114" s="68"/>
      <c r="AWU114" s="68"/>
      <c r="AWV114" s="68"/>
      <c r="AWW114" s="68"/>
      <c r="AWX114" s="68"/>
      <c r="AWY114" s="68"/>
      <c r="AWZ114" s="68"/>
      <c r="AXA114" s="68"/>
      <c r="AXB114" s="68"/>
      <c r="AXC114" s="68"/>
      <c r="AXD114" s="68"/>
      <c r="AXE114" s="68"/>
      <c r="AXF114" s="68"/>
      <c r="AXG114" s="68"/>
      <c r="AXH114" s="68"/>
      <c r="AXI114" s="68"/>
      <c r="AXJ114" s="68"/>
      <c r="AXK114" s="68"/>
      <c r="AXL114" s="68"/>
      <c r="AXM114" s="68"/>
      <c r="AXN114" s="68"/>
      <c r="AXO114" s="68"/>
      <c r="AXP114" s="68"/>
      <c r="AXQ114" s="68"/>
      <c r="AXR114" s="68"/>
      <c r="AXS114" s="68"/>
      <c r="AXT114" s="68"/>
      <c r="AXU114" s="68"/>
      <c r="AXV114" s="68"/>
      <c r="AXW114" s="68"/>
      <c r="AXX114" s="68"/>
      <c r="AXY114" s="68"/>
      <c r="AXZ114" s="68"/>
      <c r="AYA114" s="68"/>
      <c r="AYB114" s="68"/>
      <c r="AYC114" s="68"/>
      <c r="AYD114" s="68"/>
      <c r="AYE114" s="68"/>
      <c r="AYF114" s="68"/>
      <c r="AYG114" s="68"/>
      <c r="AYH114" s="68"/>
      <c r="AYI114" s="68"/>
      <c r="AYJ114" s="68"/>
      <c r="AYK114" s="68"/>
      <c r="AYL114" s="68"/>
      <c r="AYM114" s="68"/>
      <c r="AYN114" s="68"/>
      <c r="AYO114" s="68"/>
      <c r="AYP114" s="68"/>
      <c r="AYQ114" s="68"/>
      <c r="AYR114" s="68"/>
      <c r="AYS114" s="68"/>
      <c r="AYT114" s="68"/>
      <c r="AYU114" s="68"/>
      <c r="AYV114" s="68"/>
      <c r="AYW114" s="68"/>
      <c r="AYX114" s="68"/>
      <c r="AYY114" s="68"/>
      <c r="AYZ114" s="68"/>
      <c r="AZA114" s="68"/>
      <c r="AZB114" s="68"/>
      <c r="AZC114" s="68"/>
      <c r="AZD114" s="68"/>
      <c r="AZE114" s="68"/>
      <c r="AZF114" s="68"/>
      <c r="AZG114" s="68"/>
      <c r="AZH114" s="68"/>
      <c r="AZI114" s="68"/>
      <c r="AZJ114" s="68"/>
      <c r="AZK114" s="68"/>
      <c r="AZL114" s="68"/>
      <c r="AZM114" s="68"/>
      <c r="AZN114" s="68"/>
      <c r="AZO114" s="68"/>
      <c r="AZP114" s="68"/>
      <c r="AZQ114" s="68"/>
      <c r="AZR114" s="68"/>
      <c r="AZS114" s="68"/>
      <c r="AZT114" s="68"/>
      <c r="AZU114" s="68"/>
      <c r="AZV114" s="68"/>
      <c r="AZW114" s="68"/>
      <c r="AZX114" s="68"/>
      <c r="AZY114" s="68"/>
      <c r="AZZ114" s="68"/>
      <c r="BAA114" s="68"/>
      <c r="BAB114" s="68"/>
      <c r="BAC114" s="68"/>
      <c r="BAD114" s="68"/>
      <c r="BAE114" s="68"/>
      <c r="BAF114" s="68"/>
      <c r="BAG114" s="68"/>
      <c r="BAH114" s="68"/>
      <c r="BAI114" s="68"/>
      <c r="BAJ114" s="68"/>
      <c r="BAK114" s="68"/>
      <c r="BAL114" s="68"/>
      <c r="BAM114" s="68"/>
      <c r="BAN114" s="68"/>
      <c r="BAO114" s="68"/>
      <c r="BAP114" s="68"/>
      <c r="BAQ114" s="68"/>
      <c r="BAR114" s="68"/>
      <c r="BAS114" s="68"/>
      <c r="BAT114" s="68"/>
      <c r="BAU114" s="68"/>
      <c r="BAV114" s="68"/>
      <c r="BAW114" s="68"/>
      <c r="BAX114" s="68"/>
      <c r="BAY114" s="68"/>
      <c r="BAZ114" s="68"/>
      <c r="BBA114" s="68"/>
      <c r="BBB114" s="68"/>
      <c r="BBC114" s="68"/>
      <c r="BBD114" s="68"/>
      <c r="BBE114" s="68"/>
      <c r="BBF114" s="68"/>
      <c r="BBG114" s="68"/>
      <c r="BBH114" s="68"/>
      <c r="BBI114" s="68"/>
      <c r="BBJ114" s="68"/>
      <c r="BBK114" s="68"/>
      <c r="BBL114" s="68"/>
      <c r="BBM114" s="68"/>
      <c r="BBN114" s="68"/>
      <c r="BBO114" s="68"/>
      <c r="BBP114" s="68"/>
      <c r="BBQ114" s="68"/>
      <c r="BBR114" s="68"/>
      <c r="BBS114" s="68"/>
      <c r="BBT114" s="68"/>
      <c r="BBU114" s="68"/>
      <c r="BBV114" s="68"/>
      <c r="BBW114" s="68"/>
      <c r="BBX114" s="68"/>
      <c r="BBY114" s="68"/>
      <c r="BBZ114" s="68"/>
      <c r="BCA114" s="68"/>
      <c r="BCB114" s="68"/>
      <c r="BCC114" s="68"/>
      <c r="BCD114" s="68"/>
      <c r="BCE114" s="68"/>
      <c r="BCF114" s="68"/>
      <c r="BCG114" s="68"/>
      <c r="BCH114" s="68"/>
      <c r="BCI114" s="68"/>
      <c r="BCJ114" s="68"/>
      <c r="BCK114" s="68"/>
      <c r="BCL114" s="68"/>
      <c r="BCM114" s="68"/>
      <c r="BCN114" s="68"/>
      <c r="BCO114" s="68"/>
      <c r="BCP114" s="68"/>
      <c r="BCQ114" s="68"/>
      <c r="BCR114" s="68"/>
      <c r="BCS114" s="68"/>
      <c r="BCT114" s="68"/>
      <c r="BCU114" s="68"/>
      <c r="BCV114" s="68"/>
      <c r="BCW114" s="68"/>
      <c r="BCX114" s="68"/>
      <c r="BCY114" s="68"/>
      <c r="BCZ114" s="68"/>
      <c r="BDA114" s="68"/>
    </row>
    <row r="115" spans="1:1457" s="67" customFormat="1" ht="24.75" customHeight="1" x14ac:dyDescent="0.25">
      <c r="A115" s="49">
        <v>33</v>
      </c>
      <c r="B115" s="71" t="s">
        <v>260</v>
      </c>
      <c r="C115" s="71" t="s">
        <v>261</v>
      </c>
      <c r="D115" s="69" t="s">
        <v>708</v>
      </c>
      <c r="E115" s="71" t="s">
        <v>709</v>
      </c>
      <c r="F115" s="51">
        <v>991482.5</v>
      </c>
      <c r="G115" s="70" t="s">
        <v>678</v>
      </c>
      <c r="H115" s="42" t="s">
        <v>587</v>
      </c>
      <c r="I115" s="71" t="s">
        <v>181</v>
      </c>
      <c r="J115" s="71"/>
      <c r="K115" s="69"/>
      <c r="L115" s="69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Q115" s="68"/>
      <c r="BR115" s="68"/>
      <c r="BS115" s="68"/>
      <c r="BT115" s="68"/>
      <c r="BU115" s="68"/>
      <c r="BV115" s="68"/>
      <c r="BW115" s="68"/>
      <c r="BX115" s="68"/>
      <c r="BY115" s="68"/>
      <c r="BZ115" s="68"/>
      <c r="CA115" s="68"/>
      <c r="CB115" s="68"/>
      <c r="CC115" s="68"/>
      <c r="CD115" s="68"/>
      <c r="CE115" s="68"/>
      <c r="CF115" s="68"/>
      <c r="CG115" s="68"/>
      <c r="CH115" s="68"/>
      <c r="CI115" s="68"/>
      <c r="CJ115" s="68"/>
      <c r="CK115" s="68"/>
      <c r="CL115" s="68"/>
      <c r="CM115" s="68"/>
      <c r="CN115" s="68"/>
      <c r="CO115" s="68"/>
      <c r="CP115" s="68"/>
      <c r="CQ115" s="68"/>
      <c r="CR115" s="68"/>
      <c r="CS115" s="68"/>
      <c r="CT115" s="68"/>
      <c r="CU115" s="68"/>
      <c r="CV115" s="68"/>
      <c r="CW115" s="68"/>
      <c r="CX115" s="68"/>
      <c r="CY115" s="68"/>
      <c r="CZ115" s="68"/>
      <c r="DA115" s="68"/>
      <c r="DB115" s="68"/>
      <c r="DC115" s="68"/>
      <c r="DD115" s="68"/>
      <c r="DE115" s="68"/>
      <c r="DF115" s="68"/>
      <c r="DG115" s="68"/>
      <c r="DH115" s="68"/>
      <c r="DI115" s="68"/>
      <c r="DJ115" s="68"/>
      <c r="DK115" s="68"/>
      <c r="DL115" s="68"/>
      <c r="DM115" s="68"/>
      <c r="DN115" s="68"/>
      <c r="DO115" s="68"/>
      <c r="DP115" s="68"/>
      <c r="DQ115" s="68"/>
      <c r="DR115" s="68"/>
      <c r="DS115" s="68"/>
      <c r="DT115" s="68"/>
      <c r="DU115" s="68"/>
      <c r="DV115" s="68"/>
      <c r="DW115" s="68"/>
      <c r="DX115" s="68"/>
      <c r="DY115" s="68"/>
      <c r="DZ115" s="68"/>
      <c r="EA115" s="68"/>
      <c r="EB115" s="68"/>
      <c r="EC115" s="68"/>
      <c r="ED115" s="68"/>
      <c r="EE115" s="68"/>
      <c r="EF115" s="68"/>
      <c r="EG115" s="68"/>
      <c r="EH115" s="68"/>
      <c r="EI115" s="68"/>
      <c r="EJ115" s="68"/>
      <c r="EK115" s="68"/>
      <c r="EL115" s="68"/>
      <c r="EM115" s="68"/>
      <c r="EN115" s="68"/>
      <c r="EO115" s="68"/>
      <c r="EP115" s="68"/>
      <c r="EQ115" s="68"/>
      <c r="ER115" s="68"/>
      <c r="ES115" s="68"/>
      <c r="ET115" s="68"/>
      <c r="EU115" s="68"/>
      <c r="EV115" s="68"/>
      <c r="EW115" s="68"/>
      <c r="EX115" s="68"/>
      <c r="EY115" s="68"/>
      <c r="EZ115" s="68"/>
      <c r="FA115" s="68"/>
      <c r="FB115" s="68"/>
      <c r="FC115" s="68"/>
      <c r="FD115" s="68"/>
      <c r="FE115" s="68"/>
      <c r="FF115" s="68"/>
      <c r="FG115" s="68"/>
      <c r="FH115" s="68"/>
      <c r="FI115" s="68"/>
      <c r="FJ115" s="68"/>
      <c r="FK115" s="68"/>
      <c r="FL115" s="68"/>
      <c r="FM115" s="68"/>
      <c r="FN115" s="68"/>
      <c r="FO115" s="68"/>
      <c r="FP115" s="68"/>
      <c r="FQ115" s="68"/>
      <c r="FR115" s="68"/>
      <c r="FS115" s="68"/>
      <c r="FT115" s="68"/>
      <c r="FU115" s="68"/>
      <c r="FV115" s="68"/>
      <c r="FW115" s="68"/>
      <c r="FX115" s="68"/>
      <c r="FY115" s="68"/>
      <c r="FZ115" s="68"/>
      <c r="GA115" s="68"/>
      <c r="GB115" s="68"/>
      <c r="GC115" s="68"/>
      <c r="GD115" s="68"/>
      <c r="GE115" s="68"/>
      <c r="GF115" s="68"/>
      <c r="GG115" s="68"/>
      <c r="GH115" s="68"/>
      <c r="GI115" s="68"/>
      <c r="GJ115" s="68"/>
      <c r="GK115" s="68"/>
      <c r="GL115" s="68"/>
      <c r="GM115" s="68"/>
      <c r="GN115" s="68"/>
      <c r="GO115" s="68"/>
      <c r="GP115" s="68"/>
      <c r="GQ115" s="68"/>
      <c r="GR115" s="68"/>
      <c r="GS115" s="68"/>
      <c r="GT115" s="68"/>
      <c r="GU115" s="68"/>
      <c r="GV115" s="68"/>
      <c r="GW115" s="68"/>
      <c r="GX115" s="68"/>
      <c r="GY115" s="68"/>
      <c r="GZ115" s="68"/>
      <c r="HA115" s="68"/>
      <c r="HB115" s="68"/>
      <c r="HC115" s="68"/>
      <c r="HD115" s="68"/>
      <c r="HE115" s="68"/>
      <c r="HF115" s="68"/>
      <c r="HG115" s="68"/>
      <c r="HH115" s="68"/>
      <c r="HI115" s="68"/>
      <c r="HJ115" s="68"/>
      <c r="HK115" s="68"/>
      <c r="HL115" s="68"/>
      <c r="HM115" s="68"/>
      <c r="HN115" s="68"/>
      <c r="HO115" s="68"/>
      <c r="HP115" s="68"/>
      <c r="HQ115" s="68"/>
      <c r="HR115" s="68"/>
      <c r="HS115" s="68"/>
      <c r="HT115" s="68"/>
      <c r="HU115" s="68"/>
      <c r="HV115" s="68"/>
      <c r="HW115" s="68"/>
      <c r="HX115" s="68"/>
      <c r="HY115" s="68"/>
      <c r="HZ115" s="68"/>
      <c r="IA115" s="68"/>
      <c r="IB115" s="68"/>
      <c r="IC115" s="68"/>
      <c r="ID115" s="68"/>
      <c r="IE115" s="68"/>
      <c r="IF115" s="68"/>
      <c r="IG115" s="68"/>
      <c r="IH115" s="68"/>
      <c r="II115" s="68"/>
      <c r="IJ115" s="68"/>
      <c r="IK115" s="68"/>
      <c r="IL115" s="68"/>
      <c r="IM115" s="68"/>
      <c r="IN115" s="68"/>
      <c r="IO115" s="68"/>
      <c r="IP115" s="68"/>
      <c r="IQ115" s="68"/>
      <c r="IR115" s="68"/>
      <c r="IS115" s="68"/>
      <c r="IT115" s="68"/>
      <c r="IU115" s="68"/>
      <c r="IV115" s="68"/>
      <c r="IW115" s="68"/>
      <c r="IX115" s="68"/>
      <c r="IY115" s="68"/>
      <c r="IZ115" s="68"/>
      <c r="JA115" s="68"/>
      <c r="JB115" s="68"/>
      <c r="JC115" s="68"/>
      <c r="JD115" s="68"/>
      <c r="JE115" s="68"/>
      <c r="JF115" s="68"/>
      <c r="JG115" s="68"/>
      <c r="JH115" s="68"/>
      <c r="JI115" s="68"/>
      <c r="JJ115" s="68"/>
      <c r="JK115" s="68"/>
      <c r="JL115" s="68"/>
      <c r="JM115" s="68"/>
      <c r="JN115" s="68"/>
      <c r="JO115" s="68"/>
      <c r="JP115" s="68"/>
      <c r="JQ115" s="68"/>
      <c r="JR115" s="68"/>
      <c r="JS115" s="68"/>
      <c r="JT115" s="68"/>
      <c r="JU115" s="68"/>
      <c r="JV115" s="68"/>
      <c r="JW115" s="68"/>
      <c r="JX115" s="68"/>
      <c r="JY115" s="68"/>
      <c r="JZ115" s="68"/>
      <c r="KA115" s="68"/>
      <c r="KB115" s="68"/>
      <c r="KC115" s="68"/>
      <c r="KD115" s="68"/>
      <c r="KE115" s="68"/>
      <c r="KF115" s="68"/>
      <c r="KG115" s="68"/>
      <c r="KH115" s="68"/>
      <c r="KI115" s="68"/>
      <c r="KJ115" s="68"/>
      <c r="KK115" s="68"/>
      <c r="KL115" s="68"/>
      <c r="KM115" s="68"/>
      <c r="KN115" s="68"/>
      <c r="KO115" s="68"/>
      <c r="KP115" s="68"/>
      <c r="KQ115" s="68"/>
      <c r="KR115" s="68"/>
      <c r="KS115" s="68"/>
      <c r="KT115" s="68"/>
      <c r="KU115" s="68"/>
      <c r="KV115" s="68"/>
      <c r="KW115" s="68"/>
      <c r="KX115" s="68"/>
      <c r="KY115" s="68"/>
      <c r="KZ115" s="68"/>
      <c r="LA115" s="68"/>
      <c r="LB115" s="68"/>
      <c r="LC115" s="68"/>
      <c r="LD115" s="68"/>
      <c r="LE115" s="68"/>
      <c r="LF115" s="68"/>
      <c r="LG115" s="68"/>
      <c r="LH115" s="68"/>
      <c r="LI115" s="68"/>
      <c r="LJ115" s="68"/>
      <c r="LK115" s="68"/>
      <c r="LL115" s="68"/>
      <c r="LM115" s="68"/>
      <c r="LN115" s="68"/>
      <c r="LO115" s="68"/>
      <c r="LP115" s="68"/>
      <c r="LQ115" s="68"/>
      <c r="LR115" s="68"/>
      <c r="LS115" s="68"/>
      <c r="LT115" s="68"/>
      <c r="LU115" s="68"/>
      <c r="LV115" s="68"/>
      <c r="LW115" s="68"/>
      <c r="LX115" s="68"/>
      <c r="LY115" s="68"/>
      <c r="LZ115" s="68"/>
      <c r="MA115" s="68"/>
      <c r="MB115" s="68"/>
      <c r="MC115" s="68"/>
      <c r="MD115" s="68"/>
      <c r="ME115" s="68"/>
      <c r="MF115" s="68"/>
      <c r="MG115" s="68"/>
      <c r="MH115" s="68"/>
      <c r="MI115" s="68"/>
      <c r="MJ115" s="68"/>
      <c r="MK115" s="68"/>
      <c r="ML115" s="68"/>
      <c r="MM115" s="68"/>
      <c r="MN115" s="68"/>
      <c r="MO115" s="68"/>
      <c r="MP115" s="68"/>
      <c r="MQ115" s="68"/>
      <c r="MR115" s="68"/>
      <c r="MS115" s="68"/>
      <c r="MT115" s="68"/>
      <c r="MU115" s="68"/>
      <c r="MV115" s="68"/>
      <c r="MW115" s="68"/>
      <c r="MX115" s="68"/>
      <c r="MY115" s="68"/>
      <c r="MZ115" s="68"/>
      <c r="NA115" s="68"/>
      <c r="NB115" s="68"/>
      <c r="NC115" s="68"/>
      <c r="ND115" s="68"/>
      <c r="NE115" s="68"/>
      <c r="NF115" s="68"/>
      <c r="NG115" s="68"/>
      <c r="NH115" s="68"/>
      <c r="NI115" s="68"/>
      <c r="NJ115" s="68"/>
      <c r="NK115" s="68"/>
      <c r="NL115" s="68"/>
      <c r="NM115" s="68"/>
      <c r="NN115" s="68"/>
      <c r="NO115" s="68"/>
      <c r="NP115" s="68"/>
      <c r="NQ115" s="68"/>
      <c r="NR115" s="68"/>
      <c r="NS115" s="68"/>
      <c r="NT115" s="68"/>
      <c r="NU115" s="68"/>
      <c r="NV115" s="68"/>
      <c r="NW115" s="68"/>
      <c r="NX115" s="68"/>
      <c r="NY115" s="68"/>
      <c r="NZ115" s="68"/>
      <c r="OA115" s="68"/>
      <c r="OB115" s="68"/>
      <c r="OC115" s="68"/>
      <c r="OD115" s="68"/>
      <c r="OE115" s="68"/>
      <c r="OF115" s="68"/>
      <c r="OG115" s="68"/>
      <c r="OH115" s="68"/>
      <c r="OI115" s="68"/>
      <c r="OJ115" s="68"/>
      <c r="OK115" s="68"/>
      <c r="OL115" s="68"/>
      <c r="OM115" s="68"/>
      <c r="ON115" s="68"/>
      <c r="OO115" s="68"/>
      <c r="OP115" s="68"/>
      <c r="OQ115" s="68"/>
      <c r="OR115" s="68"/>
      <c r="OS115" s="68"/>
      <c r="OT115" s="68"/>
      <c r="OU115" s="68"/>
      <c r="OV115" s="68"/>
      <c r="OW115" s="68"/>
      <c r="OX115" s="68"/>
      <c r="OY115" s="68"/>
      <c r="OZ115" s="68"/>
      <c r="PA115" s="68"/>
      <c r="PB115" s="68"/>
      <c r="PC115" s="68"/>
      <c r="PD115" s="68"/>
      <c r="PE115" s="68"/>
      <c r="PF115" s="68"/>
      <c r="PG115" s="68"/>
      <c r="PH115" s="68"/>
      <c r="PI115" s="68"/>
      <c r="PJ115" s="68"/>
      <c r="PK115" s="68"/>
      <c r="PL115" s="68"/>
      <c r="PM115" s="68"/>
      <c r="PN115" s="68"/>
      <c r="PO115" s="68"/>
      <c r="PP115" s="68"/>
      <c r="PQ115" s="68"/>
      <c r="PR115" s="68"/>
      <c r="PS115" s="68"/>
      <c r="PT115" s="68"/>
      <c r="PU115" s="68"/>
      <c r="PV115" s="68"/>
      <c r="PW115" s="68"/>
      <c r="PX115" s="68"/>
      <c r="PY115" s="68"/>
      <c r="PZ115" s="68"/>
      <c r="QA115" s="68"/>
      <c r="QB115" s="68"/>
      <c r="QC115" s="68"/>
      <c r="QD115" s="68"/>
      <c r="QE115" s="68"/>
      <c r="QF115" s="68"/>
      <c r="QG115" s="68"/>
      <c r="QH115" s="68"/>
      <c r="QI115" s="68"/>
      <c r="QJ115" s="68"/>
      <c r="QK115" s="68"/>
      <c r="QL115" s="68"/>
      <c r="QM115" s="68"/>
      <c r="QN115" s="68"/>
      <c r="QO115" s="68"/>
      <c r="QP115" s="68"/>
      <c r="QQ115" s="68"/>
      <c r="QR115" s="68"/>
      <c r="QS115" s="68"/>
      <c r="QT115" s="68"/>
      <c r="QU115" s="68"/>
      <c r="QV115" s="68"/>
      <c r="QW115" s="68"/>
      <c r="QX115" s="68"/>
      <c r="QY115" s="68"/>
      <c r="QZ115" s="68"/>
      <c r="RA115" s="68"/>
      <c r="RB115" s="68"/>
      <c r="RC115" s="68"/>
      <c r="RD115" s="68"/>
      <c r="RE115" s="68"/>
      <c r="RF115" s="68"/>
      <c r="RG115" s="68"/>
      <c r="RH115" s="68"/>
      <c r="RI115" s="68"/>
      <c r="RJ115" s="68"/>
      <c r="RK115" s="68"/>
      <c r="RL115" s="68"/>
      <c r="RM115" s="68"/>
      <c r="RN115" s="68"/>
      <c r="RO115" s="68"/>
      <c r="RP115" s="68"/>
      <c r="RQ115" s="68"/>
      <c r="RR115" s="68"/>
      <c r="RS115" s="68"/>
      <c r="RT115" s="68"/>
      <c r="RU115" s="68"/>
      <c r="RV115" s="68"/>
      <c r="RW115" s="68"/>
      <c r="RX115" s="68"/>
      <c r="RY115" s="68"/>
      <c r="RZ115" s="68"/>
      <c r="SA115" s="68"/>
      <c r="SB115" s="68"/>
      <c r="SC115" s="68"/>
      <c r="SD115" s="68"/>
      <c r="SE115" s="68"/>
      <c r="SF115" s="68"/>
      <c r="SG115" s="68"/>
      <c r="SH115" s="68"/>
      <c r="SI115" s="68"/>
      <c r="SJ115" s="68"/>
      <c r="SK115" s="68"/>
      <c r="SL115" s="68"/>
      <c r="SM115" s="68"/>
      <c r="SN115" s="68"/>
      <c r="SO115" s="68"/>
      <c r="SP115" s="68"/>
      <c r="SQ115" s="68"/>
      <c r="SR115" s="68"/>
      <c r="SS115" s="68"/>
      <c r="ST115" s="68"/>
      <c r="SU115" s="68"/>
      <c r="SV115" s="68"/>
      <c r="SW115" s="68"/>
      <c r="SX115" s="68"/>
      <c r="SY115" s="68"/>
      <c r="SZ115" s="68"/>
      <c r="TA115" s="68"/>
      <c r="TB115" s="68"/>
      <c r="TC115" s="68"/>
      <c r="TD115" s="68"/>
      <c r="TE115" s="68"/>
      <c r="TF115" s="68"/>
      <c r="TG115" s="68"/>
      <c r="TH115" s="68"/>
      <c r="TI115" s="68"/>
      <c r="TJ115" s="68"/>
      <c r="TK115" s="68"/>
      <c r="TL115" s="68"/>
      <c r="TM115" s="68"/>
      <c r="TN115" s="68"/>
      <c r="TO115" s="68"/>
      <c r="TP115" s="68"/>
      <c r="TQ115" s="68"/>
      <c r="TR115" s="68"/>
      <c r="TS115" s="68"/>
      <c r="TT115" s="68"/>
      <c r="TU115" s="68"/>
      <c r="TV115" s="68"/>
      <c r="TW115" s="68"/>
      <c r="TX115" s="68"/>
      <c r="TY115" s="68"/>
      <c r="TZ115" s="68"/>
      <c r="UA115" s="68"/>
      <c r="UB115" s="68"/>
      <c r="UC115" s="68"/>
      <c r="UD115" s="68"/>
      <c r="UE115" s="68"/>
      <c r="UF115" s="68"/>
      <c r="UG115" s="68"/>
      <c r="UH115" s="68"/>
      <c r="UI115" s="68"/>
      <c r="UJ115" s="68"/>
      <c r="UK115" s="68"/>
      <c r="UL115" s="68"/>
      <c r="UM115" s="68"/>
      <c r="UN115" s="68"/>
      <c r="UO115" s="68"/>
      <c r="UP115" s="68"/>
      <c r="UQ115" s="68"/>
      <c r="UR115" s="68"/>
      <c r="US115" s="68"/>
      <c r="UT115" s="68"/>
      <c r="UU115" s="68"/>
      <c r="UV115" s="68"/>
      <c r="UW115" s="68"/>
      <c r="UX115" s="68"/>
      <c r="UY115" s="68"/>
      <c r="UZ115" s="68"/>
      <c r="VA115" s="68"/>
      <c r="VB115" s="68"/>
      <c r="VC115" s="68"/>
      <c r="VD115" s="68"/>
      <c r="VE115" s="68"/>
      <c r="VF115" s="68"/>
      <c r="VG115" s="68"/>
      <c r="VH115" s="68"/>
      <c r="VI115" s="68"/>
      <c r="VJ115" s="68"/>
      <c r="VK115" s="68"/>
      <c r="VL115" s="68"/>
      <c r="VM115" s="68"/>
      <c r="VN115" s="68"/>
      <c r="VO115" s="68"/>
      <c r="VP115" s="68"/>
      <c r="VQ115" s="68"/>
      <c r="VR115" s="68"/>
      <c r="VS115" s="68"/>
      <c r="VT115" s="68"/>
      <c r="VU115" s="68"/>
      <c r="VV115" s="68"/>
      <c r="VW115" s="68"/>
      <c r="VX115" s="68"/>
      <c r="VY115" s="68"/>
      <c r="VZ115" s="68"/>
      <c r="WA115" s="68"/>
      <c r="WB115" s="68"/>
      <c r="WC115" s="68"/>
      <c r="WD115" s="68"/>
      <c r="WE115" s="68"/>
      <c r="WF115" s="68"/>
      <c r="WG115" s="68"/>
      <c r="WH115" s="68"/>
      <c r="WI115" s="68"/>
      <c r="WJ115" s="68"/>
      <c r="WK115" s="68"/>
      <c r="WL115" s="68"/>
      <c r="WM115" s="68"/>
      <c r="WN115" s="68"/>
      <c r="WO115" s="68"/>
      <c r="WP115" s="68"/>
      <c r="WQ115" s="68"/>
      <c r="WR115" s="68"/>
      <c r="WS115" s="68"/>
      <c r="WT115" s="68"/>
      <c r="WU115" s="68"/>
      <c r="WV115" s="68"/>
      <c r="WW115" s="68"/>
      <c r="WX115" s="68"/>
      <c r="WY115" s="68"/>
      <c r="WZ115" s="68"/>
      <c r="XA115" s="68"/>
      <c r="XB115" s="68"/>
      <c r="XC115" s="68"/>
      <c r="XD115" s="68"/>
      <c r="XE115" s="68"/>
      <c r="XF115" s="68"/>
      <c r="XG115" s="68"/>
      <c r="XH115" s="68"/>
      <c r="XI115" s="68"/>
      <c r="XJ115" s="68"/>
      <c r="XK115" s="68"/>
      <c r="XL115" s="68"/>
      <c r="XM115" s="68"/>
      <c r="XN115" s="68"/>
      <c r="XO115" s="68"/>
      <c r="XP115" s="68"/>
      <c r="XQ115" s="68"/>
      <c r="XR115" s="68"/>
      <c r="XS115" s="68"/>
      <c r="XT115" s="68"/>
      <c r="XU115" s="68"/>
      <c r="XV115" s="68"/>
      <c r="XW115" s="68"/>
      <c r="XX115" s="68"/>
      <c r="XY115" s="68"/>
      <c r="XZ115" s="68"/>
      <c r="YA115" s="68"/>
      <c r="YB115" s="68"/>
      <c r="YC115" s="68"/>
      <c r="YD115" s="68"/>
      <c r="YE115" s="68"/>
      <c r="YF115" s="68"/>
      <c r="YG115" s="68"/>
      <c r="YH115" s="68"/>
      <c r="YI115" s="68"/>
      <c r="YJ115" s="68"/>
      <c r="YK115" s="68"/>
      <c r="YL115" s="68"/>
      <c r="YM115" s="68"/>
      <c r="YN115" s="68"/>
      <c r="YO115" s="68"/>
      <c r="YP115" s="68"/>
      <c r="YQ115" s="68"/>
      <c r="YR115" s="68"/>
      <c r="YS115" s="68"/>
      <c r="YT115" s="68"/>
      <c r="YU115" s="68"/>
      <c r="YV115" s="68"/>
      <c r="YW115" s="68"/>
      <c r="YX115" s="68"/>
      <c r="YY115" s="68"/>
      <c r="YZ115" s="68"/>
      <c r="ZA115" s="68"/>
      <c r="ZB115" s="68"/>
      <c r="ZC115" s="68"/>
      <c r="ZD115" s="68"/>
      <c r="ZE115" s="68"/>
      <c r="ZF115" s="68"/>
      <c r="ZG115" s="68"/>
      <c r="ZH115" s="68"/>
      <c r="ZI115" s="68"/>
      <c r="ZJ115" s="68"/>
      <c r="ZK115" s="68"/>
      <c r="ZL115" s="68"/>
      <c r="ZM115" s="68"/>
      <c r="ZN115" s="68"/>
      <c r="ZO115" s="68"/>
      <c r="ZP115" s="68"/>
      <c r="ZQ115" s="68"/>
      <c r="ZR115" s="68"/>
      <c r="ZS115" s="68"/>
      <c r="ZT115" s="68"/>
      <c r="ZU115" s="68"/>
      <c r="ZV115" s="68"/>
      <c r="ZW115" s="68"/>
      <c r="ZX115" s="68"/>
      <c r="ZY115" s="68"/>
      <c r="ZZ115" s="68"/>
      <c r="AAA115" s="68"/>
      <c r="AAB115" s="68"/>
      <c r="AAC115" s="68"/>
      <c r="AAD115" s="68"/>
      <c r="AAE115" s="68"/>
      <c r="AAF115" s="68"/>
      <c r="AAG115" s="68"/>
      <c r="AAH115" s="68"/>
      <c r="AAI115" s="68"/>
      <c r="AAJ115" s="68"/>
      <c r="AAK115" s="68"/>
      <c r="AAL115" s="68"/>
      <c r="AAM115" s="68"/>
      <c r="AAN115" s="68"/>
      <c r="AAO115" s="68"/>
      <c r="AAP115" s="68"/>
      <c r="AAQ115" s="68"/>
      <c r="AAR115" s="68"/>
      <c r="AAS115" s="68"/>
      <c r="AAT115" s="68"/>
      <c r="AAU115" s="68"/>
      <c r="AAV115" s="68"/>
      <c r="AAW115" s="68"/>
      <c r="AAX115" s="68"/>
      <c r="AAY115" s="68"/>
      <c r="AAZ115" s="68"/>
      <c r="ABA115" s="68"/>
      <c r="ABB115" s="68"/>
      <c r="ABC115" s="68"/>
      <c r="ABD115" s="68"/>
      <c r="ABE115" s="68"/>
      <c r="ABF115" s="68"/>
      <c r="ABG115" s="68"/>
      <c r="ABH115" s="68"/>
      <c r="ABI115" s="68"/>
      <c r="ABJ115" s="68"/>
      <c r="ABK115" s="68"/>
      <c r="ABL115" s="68"/>
      <c r="ABM115" s="68"/>
      <c r="ABN115" s="68"/>
      <c r="ABO115" s="68"/>
      <c r="ABP115" s="68"/>
      <c r="ABQ115" s="68"/>
      <c r="ABR115" s="68"/>
      <c r="ABS115" s="68"/>
      <c r="ABT115" s="68"/>
      <c r="ABU115" s="68"/>
      <c r="ABV115" s="68"/>
      <c r="ABW115" s="68"/>
      <c r="ABX115" s="68"/>
      <c r="ABY115" s="68"/>
      <c r="ABZ115" s="68"/>
      <c r="ACA115" s="68"/>
      <c r="ACB115" s="68"/>
      <c r="ACC115" s="68"/>
      <c r="ACD115" s="68"/>
      <c r="ACE115" s="68"/>
      <c r="ACF115" s="68"/>
      <c r="ACG115" s="68"/>
      <c r="ACH115" s="68"/>
      <c r="ACI115" s="68"/>
      <c r="ACJ115" s="68"/>
      <c r="ACK115" s="68"/>
      <c r="ACL115" s="68"/>
      <c r="ACM115" s="68"/>
      <c r="ACN115" s="68"/>
      <c r="ACO115" s="68"/>
      <c r="ACP115" s="68"/>
      <c r="ACQ115" s="68"/>
      <c r="ACR115" s="68"/>
      <c r="ACS115" s="68"/>
      <c r="ACT115" s="68"/>
      <c r="ACU115" s="68"/>
      <c r="ACV115" s="68"/>
      <c r="ACW115" s="68"/>
      <c r="ACX115" s="68"/>
      <c r="ACY115" s="68"/>
      <c r="ACZ115" s="68"/>
      <c r="ADA115" s="68"/>
      <c r="ADB115" s="68"/>
      <c r="ADC115" s="68"/>
      <c r="ADD115" s="68"/>
      <c r="ADE115" s="68"/>
      <c r="ADF115" s="68"/>
      <c r="ADG115" s="68"/>
      <c r="ADH115" s="68"/>
      <c r="ADI115" s="68"/>
      <c r="ADJ115" s="68"/>
      <c r="ADK115" s="68"/>
      <c r="ADL115" s="68"/>
      <c r="ADM115" s="68"/>
      <c r="ADN115" s="68"/>
      <c r="ADO115" s="68"/>
      <c r="ADP115" s="68"/>
      <c r="ADQ115" s="68"/>
      <c r="ADR115" s="68"/>
      <c r="ADS115" s="68"/>
      <c r="ADT115" s="68"/>
      <c r="ADU115" s="68"/>
      <c r="ADV115" s="68"/>
      <c r="ADW115" s="68"/>
      <c r="ADX115" s="68"/>
      <c r="ADY115" s="68"/>
      <c r="ADZ115" s="68"/>
      <c r="AEA115" s="68"/>
      <c r="AEB115" s="68"/>
      <c r="AEC115" s="68"/>
      <c r="AED115" s="68"/>
      <c r="AEE115" s="68"/>
      <c r="AEF115" s="68"/>
      <c r="AEG115" s="68"/>
      <c r="AEH115" s="68"/>
      <c r="AEI115" s="68"/>
      <c r="AEJ115" s="68"/>
      <c r="AEK115" s="68"/>
      <c r="AEL115" s="68"/>
      <c r="AEM115" s="68"/>
      <c r="AEN115" s="68"/>
      <c r="AEO115" s="68"/>
      <c r="AEP115" s="68"/>
      <c r="AEQ115" s="68"/>
      <c r="AER115" s="68"/>
      <c r="AES115" s="68"/>
      <c r="AET115" s="68"/>
      <c r="AEU115" s="68"/>
      <c r="AEV115" s="68"/>
      <c r="AEW115" s="68"/>
      <c r="AEX115" s="68"/>
      <c r="AEY115" s="68"/>
      <c r="AEZ115" s="68"/>
      <c r="AFA115" s="68"/>
      <c r="AFB115" s="68"/>
      <c r="AFC115" s="68"/>
      <c r="AFD115" s="68"/>
      <c r="AFE115" s="68"/>
      <c r="AFF115" s="68"/>
      <c r="AFG115" s="68"/>
      <c r="AFH115" s="68"/>
      <c r="AFI115" s="68"/>
      <c r="AFJ115" s="68"/>
      <c r="AFK115" s="68"/>
      <c r="AFL115" s="68"/>
      <c r="AFM115" s="68"/>
      <c r="AFN115" s="68"/>
      <c r="AFO115" s="68"/>
      <c r="AFP115" s="68"/>
      <c r="AFQ115" s="68"/>
      <c r="AFR115" s="68"/>
      <c r="AFS115" s="68"/>
      <c r="AFT115" s="68"/>
      <c r="AFU115" s="68"/>
      <c r="AFV115" s="68"/>
      <c r="AFW115" s="68"/>
      <c r="AFX115" s="68"/>
      <c r="AFY115" s="68"/>
      <c r="AFZ115" s="68"/>
      <c r="AGA115" s="68"/>
      <c r="AGB115" s="68"/>
      <c r="AGC115" s="68"/>
      <c r="AGD115" s="68"/>
      <c r="AGE115" s="68"/>
      <c r="AGF115" s="68"/>
      <c r="AGG115" s="68"/>
      <c r="AGH115" s="68"/>
      <c r="AGI115" s="68"/>
      <c r="AGJ115" s="68"/>
      <c r="AGK115" s="68"/>
      <c r="AGL115" s="68"/>
      <c r="AGM115" s="68"/>
      <c r="AGN115" s="68"/>
      <c r="AGO115" s="68"/>
      <c r="AGP115" s="68"/>
      <c r="AGQ115" s="68"/>
      <c r="AGR115" s="68"/>
      <c r="AGS115" s="68"/>
      <c r="AGT115" s="68"/>
      <c r="AGU115" s="68"/>
      <c r="AGV115" s="68"/>
      <c r="AGW115" s="68"/>
      <c r="AGX115" s="68"/>
      <c r="AGY115" s="68"/>
      <c r="AGZ115" s="68"/>
      <c r="AHA115" s="68"/>
      <c r="AHB115" s="68"/>
      <c r="AHC115" s="68"/>
      <c r="AHD115" s="68"/>
      <c r="AHE115" s="68"/>
      <c r="AHF115" s="68"/>
      <c r="AHG115" s="68"/>
      <c r="AHH115" s="68"/>
      <c r="AHI115" s="68"/>
      <c r="AHJ115" s="68"/>
      <c r="AHK115" s="68"/>
      <c r="AHL115" s="68"/>
      <c r="AHM115" s="68"/>
      <c r="AHN115" s="68"/>
      <c r="AHO115" s="68"/>
      <c r="AHP115" s="68"/>
      <c r="AHQ115" s="68"/>
      <c r="AHR115" s="68"/>
      <c r="AHS115" s="68"/>
      <c r="AHT115" s="68"/>
      <c r="AHU115" s="68"/>
      <c r="AHV115" s="68"/>
      <c r="AHW115" s="68"/>
      <c r="AHX115" s="68"/>
      <c r="AHY115" s="68"/>
      <c r="AHZ115" s="68"/>
      <c r="AIA115" s="68"/>
      <c r="AIB115" s="68"/>
      <c r="AIC115" s="68"/>
      <c r="AID115" s="68"/>
      <c r="AIE115" s="68"/>
      <c r="AIF115" s="68"/>
      <c r="AIG115" s="68"/>
      <c r="AIH115" s="68"/>
      <c r="AII115" s="68"/>
      <c r="AIJ115" s="68"/>
      <c r="AIK115" s="68"/>
      <c r="AIL115" s="68"/>
      <c r="AIM115" s="68"/>
      <c r="AIN115" s="68"/>
      <c r="AIO115" s="68"/>
      <c r="AIP115" s="68"/>
      <c r="AIQ115" s="68"/>
      <c r="AIR115" s="68"/>
      <c r="AIS115" s="68"/>
      <c r="AIT115" s="68"/>
      <c r="AIU115" s="68"/>
      <c r="AIV115" s="68"/>
      <c r="AIW115" s="68"/>
      <c r="AIX115" s="68"/>
      <c r="AIY115" s="68"/>
      <c r="AIZ115" s="68"/>
      <c r="AJA115" s="68"/>
      <c r="AJB115" s="68"/>
      <c r="AJC115" s="68"/>
      <c r="AJD115" s="68"/>
      <c r="AJE115" s="68"/>
      <c r="AJF115" s="68"/>
      <c r="AJG115" s="68"/>
      <c r="AJH115" s="68"/>
      <c r="AJI115" s="68"/>
      <c r="AJJ115" s="68"/>
      <c r="AJK115" s="68"/>
      <c r="AJL115" s="68"/>
      <c r="AJM115" s="68"/>
      <c r="AJN115" s="68"/>
      <c r="AJO115" s="68"/>
      <c r="AJP115" s="68"/>
      <c r="AJQ115" s="68"/>
      <c r="AJR115" s="68"/>
      <c r="AJS115" s="68"/>
      <c r="AJT115" s="68"/>
      <c r="AJU115" s="68"/>
      <c r="AJV115" s="68"/>
      <c r="AJW115" s="68"/>
      <c r="AJX115" s="68"/>
      <c r="AJY115" s="68"/>
      <c r="AJZ115" s="68"/>
      <c r="AKA115" s="68"/>
      <c r="AKB115" s="68"/>
      <c r="AKC115" s="68"/>
      <c r="AKD115" s="68"/>
      <c r="AKE115" s="68"/>
      <c r="AKF115" s="68"/>
      <c r="AKG115" s="68"/>
      <c r="AKH115" s="68"/>
      <c r="AKI115" s="68"/>
      <c r="AKJ115" s="68"/>
      <c r="AKK115" s="68"/>
      <c r="AKL115" s="68"/>
      <c r="AKM115" s="68"/>
      <c r="AKN115" s="68"/>
      <c r="AKO115" s="68"/>
      <c r="AKP115" s="68"/>
      <c r="AKQ115" s="68"/>
      <c r="AKR115" s="68"/>
      <c r="AKS115" s="68"/>
      <c r="AKT115" s="68"/>
      <c r="AKU115" s="68"/>
      <c r="AKV115" s="68"/>
      <c r="AKW115" s="68"/>
      <c r="AKX115" s="68"/>
      <c r="AKY115" s="68"/>
      <c r="AKZ115" s="68"/>
      <c r="ALA115" s="68"/>
      <c r="ALB115" s="68"/>
      <c r="ALC115" s="68"/>
      <c r="ALD115" s="68"/>
      <c r="ALE115" s="68"/>
      <c r="ALF115" s="68"/>
      <c r="ALG115" s="68"/>
      <c r="ALH115" s="68"/>
      <c r="ALI115" s="68"/>
      <c r="ALJ115" s="68"/>
      <c r="ALK115" s="68"/>
      <c r="ALL115" s="68"/>
      <c r="ALM115" s="68"/>
      <c r="ALN115" s="68"/>
      <c r="ALO115" s="68"/>
      <c r="ALP115" s="68"/>
      <c r="ALQ115" s="68"/>
      <c r="ALR115" s="68"/>
      <c r="ALS115" s="68"/>
      <c r="ALT115" s="68"/>
      <c r="ALU115" s="68"/>
      <c r="ALV115" s="68"/>
      <c r="ALW115" s="68"/>
      <c r="ALX115" s="68"/>
      <c r="ALY115" s="68"/>
      <c r="ALZ115" s="68"/>
      <c r="AMA115" s="68"/>
      <c r="AMB115" s="68"/>
      <c r="AMC115" s="68"/>
      <c r="AMD115" s="68"/>
      <c r="AME115" s="68"/>
      <c r="AMF115" s="68"/>
      <c r="AMG115" s="68"/>
      <c r="AMH115" s="68"/>
      <c r="AMI115" s="68"/>
      <c r="AMJ115" s="68"/>
      <c r="AMK115" s="68"/>
      <c r="AML115" s="68"/>
      <c r="AMM115" s="68"/>
      <c r="AMN115" s="68"/>
      <c r="AMO115" s="68"/>
      <c r="AMP115" s="68"/>
      <c r="AMQ115" s="68"/>
      <c r="AMR115" s="68"/>
      <c r="AMS115" s="68"/>
      <c r="AMT115" s="68"/>
      <c r="AMU115" s="68"/>
      <c r="AMV115" s="68"/>
      <c r="AMW115" s="68"/>
      <c r="AMX115" s="68"/>
      <c r="AMY115" s="68"/>
      <c r="AMZ115" s="68"/>
      <c r="ANA115" s="68"/>
      <c r="ANB115" s="68"/>
      <c r="ANC115" s="68"/>
      <c r="AND115" s="68"/>
      <c r="ANE115" s="68"/>
      <c r="ANF115" s="68"/>
      <c r="ANG115" s="68"/>
      <c r="ANH115" s="68"/>
      <c r="ANI115" s="68"/>
      <c r="ANJ115" s="68"/>
      <c r="ANK115" s="68"/>
      <c r="ANL115" s="68"/>
      <c r="ANM115" s="68"/>
      <c r="ANN115" s="68"/>
      <c r="ANO115" s="68"/>
      <c r="ANP115" s="68"/>
      <c r="ANQ115" s="68"/>
      <c r="ANR115" s="68"/>
      <c r="ANS115" s="68"/>
      <c r="ANT115" s="68"/>
      <c r="ANU115" s="68"/>
      <c r="ANV115" s="68"/>
      <c r="ANW115" s="68"/>
      <c r="ANX115" s="68"/>
      <c r="ANY115" s="68"/>
      <c r="ANZ115" s="68"/>
      <c r="AOA115" s="68"/>
      <c r="AOB115" s="68"/>
      <c r="AOC115" s="68"/>
      <c r="AOD115" s="68"/>
      <c r="AOE115" s="68"/>
      <c r="AOF115" s="68"/>
      <c r="AOG115" s="68"/>
      <c r="AOH115" s="68"/>
      <c r="AOI115" s="68"/>
      <c r="AOJ115" s="68"/>
      <c r="AOK115" s="68"/>
      <c r="AOL115" s="68"/>
      <c r="AOM115" s="68"/>
      <c r="AON115" s="68"/>
      <c r="AOO115" s="68"/>
      <c r="AOP115" s="68"/>
      <c r="AOQ115" s="68"/>
      <c r="AOR115" s="68"/>
      <c r="AOS115" s="68"/>
      <c r="AOT115" s="68"/>
      <c r="AOU115" s="68"/>
      <c r="AOV115" s="68"/>
      <c r="AOW115" s="68"/>
      <c r="AOX115" s="68"/>
      <c r="AOY115" s="68"/>
      <c r="AOZ115" s="68"/>
      <c r="APA115" s="68"/>
      <c r="APB115" s="68"/>
      <c r="APC115" s="68"/>
      <c r="APD115" s="68"/>
      <c r="APE115" s="68"/>
      <c r="APF115" s="68"/>
      <c r="APG115" s="68"/>
      <c r="APH115" s="68"/>
      <c r="API115" s="68"/>
      <c r="APJ115" s="68"/>
      <c r="APK115" s="68"/>
      <c r="APL115" s="68"/>
      <c r="APM115" s="68"/>
      <c r="APN115" s="68"/>
      <c r="APO115" s="68"/>
      <c r="APP115" s="68"/>
      <c r="APQ115" s="68"/>
      <c r="APR115" s="68"/>
      <c r="APS115" s="68"/>
      <c r="APT115" s="68"/>
      <c r="APU115" s="68"/>
      <c r="APV115" s="68"/>
      <c r="APW115" s="68"/>
      <c r="APX115" s="68"/>
      <c r="APY115" s="68"/>
      <c r="APZ115" s="68"/>
      <c r="AQA115" s="68"/>
      <c r="AQB115" s="68"/>
      <c r="AQC115" s="68"/>
      <c r="AQD115" s="68"/>
      <c r="AQE115" s="68"/>
      <c r="AQF115" s="68"/>
      <c r="AQG115" s="68"/>
      <c r="AQH115" s="68"/>
      <c r="AQI115" s="68"/>
      <c r="AQJ115" s="68"/>
      <c r="AQK115" s="68"/>
      <c r="AQL115" s="68"/>
      <c r="AQM115" s="68"/>
      <c r="AQN115" s="68"/>
      <c r="AQO115" s="68"/>
      <c r="AQP115" s="68"/>
      <c r="AQQ115" s="68"/>
      <c r="AQR115" s="68"/>
      <c r="AQS115" s="68"/>
      <c r="AQT115" s="68"/>
      <c r="AQU115" s="68"/>
      <c r="AQV115" s="68"/>
      <c r="AQW115" s="68"/>
      <c r="AQX115" s="68"/>
      <c r="AQY115" s="68"/>
      <c r="AQZ115" s="68"/>
      <c r="ARA115" s="68"/>
      <c r="ARB115" s="68"/>
      <c r="ARC115" s="68"/>
      <c r="ARD115" s="68"/>
      <c r="ARE115" s="68"/>
      <c r="ARF115" s="68"/>
      <c r="ARG115" s="68"/>
      <c r="ARH115" s="68"/>
      <c r="ARI115" s="68"/>
      <c r="ARJ115" s="68"/>
      <c r="ARK115" s="68"/>
      <c r="ARL115" s="68"/>
      <c r="ARM115" s="68"/>
      <c r="ARN115" s="68"/>
      <c r="ARO115" s="68"/>
      <c r="ARP115" s="68"/>
      <c r="ARQ115" s="68"/>
      <c r="ARR115" s="68"/>
      <c r="ARS115" s="68"/>
      <c r="ART115" s="68"/>
      <c r="ARU115" s="68"/>
      <c r="ARV115" s="68"/>
      <c r="ARW115" s="68"/>
      <c r="ARX115" s="68"/>
      <c r="ARY115" s="68"/>
      <c r="ARZ115" s="68"/>
      <c r="ASA115" s="68"/>
      <c r="ASB115" s="68"/>
      <c r="ASC115" s="68"/>
      <c r="ASD115" s="68"/>
      <c r="ASE115" s="68"/>
      <c r="ASF115" s="68"/>
      <c r="ASG115" s="68"/>
      <c r="ASH115" s="68"/>
      <c r="ASI115" s="68"/>
      <c r="ASJ115" s="68"/>
      <c r="ASK115" s="68"/>
      <c r="ASL115" s="68"/>
      <c r="ASM115" s="68"/>
      <c r="ASN115" s="68"/>
      <c r="ASO115" s="68"/>
      <c r="ASP115" s="68"/>
      <c r="ASQ115" s="68"/>
      <c r="ASR115" s="68"/>
      <c r="ASS115" s="68"/>
      <c r="AST115" s="68"/>
      <c r="ASU115" s="68"/>
      <c r="ASV115" s="68"/>
      <c r="ASW115" s="68"/>
      <c r="ASX115" s="68"/>
      <c r="ASY115" s="68"/>
      <c r="ASZ115" s="68"/>
      <c r="ATA115" s="68"/>
      <c r="ATB115" s="68"/>
      <c r="ATC115" s="68"/>
      <c r="ATD115" s="68"/>
      <c r="ATE115" s="68"/>
      <c r="ATF115" s="68"/>
      <c r="ATG115" s="68"/>
      <c r="ATH115" s="68"/>
      <c r="ATI115" s="68"/>
      <c r="ATJ115" s="68"/>
      <c r="ATK115" s="68"/>
      <c r="ATL115" s="68"/>
      <c r="ATM115" s="68"/>
      <c r="ATN115" s="68"/>
      <c r="ATO115" s="68"/>
      <c r="ATP115" s="68"/>
      <c r="ATQ115" s="68"/>
      <c r="ATR115" s="68"/>
      <c r="ATS115" s="68"/>
      <c r="ATT115" s="68"/>
      <c r="ATU115" s="68"/>
      <c r="ATV115" s="68"/>
      <c r="ATW115" s="68"/>
      <c r="ATX115" s="68"/>
      <c r="ATY115" s="68"/>
      <c r="ATZ115" s="68"/>
      <c r="AUA115" s="68"/>
      <c r="AUB115" s="68"/>
      <c r="AUC115" s="68"/>
      <c r="AUD115" s="68"/>
      <c r="AUE115" s="68"/>
      <c r="AUF115" s="68"/>
      <c r="AUG115" s="68"/>
      <c r="AUH115" s="68"/>
      <c r="AUI115" s="68"/>
      <c r="AUJ115" s="68"/>
      <c r="AUK115" s="68"/>
      <c r="AUL115" s="68"/>
      <c r="AUM115" s="68"/>
      <c r="AUN115" s="68"/>
      <c r="AUO115" s="68"/>
      <c r="AUP115" s="68"/>
      <c r="AUQ115" s="68"/>
      <c r="AUR115" s="68"/>
      <c r="AUS115" s="68"/>
      <c r="AUT115" s="68"/>
      <c r="AUU115" s="68"/>
      <c r="AUV115" s="68"/>
      <c r="AUW115" s="68"/>
      <c r="AUX115" s="68"/>
      <c r="AUY115" s="68"/>
      <c r="AUZ115" s="68"/>
      <c r="AVA115" s="68"/>
      <c r="AVB115" s="68"/>
      <c r="AVC115" s="68"/>
      <c r="AVD115" s="68"/>
      <c r="AVE115" s="68"/>
      <c r="AVF115" s="68"/>
      <c r="AVG115" s="68"/>
      <c r="AVH115" s="68"/>
      <c r="AVI115" s="68"/>
      <c r="AVJ115" s="68"/>
      <c r="AVK115" s="68"/>
      <c r="AVL115" s="68"/>
      <c r="AVM115" s="68"/>
      <c r="AVN115" s="68"/>
      <c r="AVO115" s="68"/>
      <c r="AVP115" s="68"/>
      <c r="AVQ115" s="68"/>
      <c r="AVR115" s="68"/>
      <c r="AVS115" s="68"/>
      <c r="AVT115" s="68"/>
      <c r="AVU115" s="68"/>
      <c r="AVV115" s="68"/>
      <c r="AVW115" s="68"/>
      <c r="AVX115" s="68"/>
      <c r="AVY115" s="68"/>
      <c r="AVZ115" s="68"/>
      <c r="AWA115" s="68"/>
      <c r="AWB115" s="68"/>
      <c r="AWC115" s="68"/>
      <c r="AWD115" s="68"/>
      <c r="AWE115" s="68"/>
      <c r="AWF115" s="68"/>
      <c r="AWG115" s="68"/>
      <c r="AWH115" s="68"/>
      <c r="AWI115" s="68"/>
      <c r="AWJ115" s="68"/>
      <c r="AWK115" s="68"/>
      <c r="AWL115" s="68"/>
      <c r="AWM115" s="68"/>
      <c r="AWN115" s="68"/>
      <c r="AWO115" s="68"/>
      <c r="AWP115" s="68"/>
      <c r="AWQ115" s="68"/>
      <c r="AWR115" s="68"/>
      <c r="AWS115" s="68"/>
      <c r="AWT115" s="68"/>
      <c r="AWU115" s="68"/>
      <c r="AWV115" s="68"/>
      <c r="AWW115" s="68"/>
      <c r="AWX115" s="68"/>
      <c r="AWY115" s="68"/>
      <c r="AWZ115" s="68"/>
      <c r="AXA115" s="68"/>
      <c r="AXB115" s="68"/>
      <c r="AXC115" s="68"/>
      <c r="AXD115" s="68"/>
      <c r="AXE115" s="68"/>
      <c r="AXF115" s="68"/>
      <c r="AXG115" s="68"/>
      <c r="AXH115" s="68"/>
      <c r="AXI115" s="68"/>
      <c r="AXJ115" s="68"/>
      <c r="AXK115" s="68"/>
      <c r="AXL115" s="68"/>
      <c r="AXM115" s="68"/>
      <c r="AXN115" s="68"/>
      <c r="AXO115" s="68"/>
      <c r="AXP115" s="68"/>
      <c r="AXQ115" s="68"/>
      <c r="AXR115" s="68"/>
      <c r="AXS115" s="68"/>
      <c r="AXT115" s="68"/>
      <c r="AXU115" s="68"/>
      <c r="AXV115" s="68"/>
      <c r="AXW115" s="68"/>
      <c r="AXX115" s="68"/>
      <c r="AXY115" s="68"/>
      <c r="AXZ115" s="68"/>
      <c r="AYA115" s="68"/>
      <c r="AYB115" s="68"/>
      <c r="AYC115" s="68"/>
      <c r="AYD115" s="68"/>
      <c r="AYE115" s="68"/>
      <c r="AYF115" s="68"/>
      <c r="AYG115" s="68"/>
      <c r="AYH115" s="68"/>
      <c r="AYI115" s="68"/>
      <c r="AYJ115" s="68"/>
      <c r="AYK115" s="68"/>
      <c r="AYL115" s="68"/>
      <c r="AYM115" s="68"/>
      <c r="AYN115" s="68"/>
      <c r="AYO115" s="68"/>
      <c r="AYP115" s="68"/>
      <c r="AYQ115" s="68"/>
      <c r="AYR115" s="68"/>
      <c r="AYS115" s="68"/>
      <c r="AYT115" s="68"/>
      <c r="AYU115" s="68"/>
      <c r="AYV115" s="68"/>
      <c r="AYW115" s="68"/>
      <c r="AYX115" s="68"/>
      <c r="AYY115" s="68"/>
      <c r="AYZ115" s="68"/>
      <c r="AZA115" s="68"/>
      <c r="AZB115" s="68"/>
      <c r="AZC115" s="68"/>
      <c r="AZD115" s="68"/>
      <c r="AZE115" s="68"/>
      <c r="AZF115" s="68"/>
      <c r="AZG115" s="68"/>
      <c r="AZH115" s="68"/>
      <c r="AZI115" s="68"/>
      <c r="AZJ115" s="68"/>
      <c r="AZK115" s="68"/>
      <c r="AZL115" s="68"/>
      <c r="AZM115" s="68"/>
      <c r="AZN115" s="68"/>
      <c r="AZO115" s="68"/>
      <c r="AZP115" s="68"/>
      <c r="AZQ115" s="68"/>
      <c r="AZR115" s="68"/>
      <c r="AZS115" s="68"/>
      <c r="AZT115" s="68"/>
      <c r="AZU115" s="68"/>
      <c r="AZV115" s="68"/>
      <c r="AZW115" s="68"/>
      <c r="AZX115" s="68"/>
      <c r="AZY115" s="68"/>
      <c r="AZZ115" s="68"/>
      <c r="BAA115" s="68"/>
      <c r="BAB115" s="68"/>
      <c r="BAC115" s="68"/>
      <c r="BAD115" s="68"/>
      <c r="BAE115" s="68"/>
      <c r="BAF115" s="68"/>
      <c r="BAG115" s="68"/>
      <c r="BAH115" s="68"/>
      <c r="BAI115" s="68"/>
      <c r="BAJ115" s="68"/>
      <c r="BAK115" s="68"/>
      <c r="BAL115" s="68"/>
      <c r="BAM115" s="68"/>
      <c r="BAN115" s="68"/>
      <c r="BAO115" s="68"/>
      <c r="BAP115" s="68"/>
      <c r="BAQ115" s="68"/>
      <c r="BAR115" s="68"/>
      <c r="BAS115" s="68"/>
      <c r="BAT115" s="68"/>
      <c r="BAU115" s="68"/>
      <c r="BAV115" s="68"/>
      <c r="BAW115" s="68"/>
      <c r="BAX115" s="68"/>
      <c r="BAY115" s="68"/>
      <c r="BAZ115" s="68"/>
      <c r="BBA115" s="68"/>
      <c r="BBB115" s="68"/>
      <c r="BBC115" s="68"/>
      <c r="BBD115" s="68"/>
      <c r="BBE115" s="68"/>
      <c r="BBF115" s="68"/>
      <c r="BBG115" s="68"/>
      <c r="BBH115" s="68"/>
      <c r="BBI115" s="68"/>
      <c r="BBJ115" s="68"/>
      <c r="BBK115" s="68"/>
      <c r="BBL115" s="68"/>
      <c r="BBM115" s="68"/>
      <c r="BBN115" s="68"/>
      <c r="BBO115" s="68"/>
      <c r="BBP115" s="68"/>
      <c r="BBQ115" s="68"/>
      <c r="BBR115" s="68"/>
      <c r="BBS115" s="68"/>
      <c r="BBT115" s="68"/>
      <c r="BBU115" s="68"/>
      <c r="BBV115" s="68"/>
      <c r="BBW115" s="68"/>
      <c r="BBX115" s="68"/>
      <c r="BBY115" s="68"/>
      <c r="BBZ115" s="68"/>
      <c r="BCA115" s="68"/>
      <c r="BCB115" s="68"/>
      <c r="BCC115" s="68"/>
      <c r="BCD115" s="68"/>
      <c r="BCE115" s="68"/>
      <c r="BCF115" s="68"/>
      <c r="BCG115" s="68"/>
      <c r="BCH115" s="68"/>
      <c r="BCI115" s="68"/>
      <c r="BCJ115" s="68"/>
      <c r="BCK115" s="68"/>
      <c r="BCL115" s="68"/>
      <c r="BCM115" s="68"/>
      <c r="BCN115" s="68"/>
      <c r="BCO115" s="68"/>
      <c r="BCP115" s="68"/>
      <c r="BCQ115" s="68"/>
      <c r="BCR115" s="68"/>
      <c r="BCS115" s="68"/>
      <c r="BCT115" s="68"/>
      <c r="BCU115" s="68"/>
      <c r="BCV115" s="68"/>
      <c r="BCW115" s="68"/>
      <c r="BCX115" s="68"/>
      <c r="BCY115" s="68"/>
      <c r="BCZ115" s="68"/>
      <c r="BDA115" s="68"/>
    </row>
    <row r="116" spans="1:1457" s="67" customFormat="1" ht="24.75" customHeight="1" x14ac:dyDescent="0.25">
      <c r="A116" s="49">
        <v>34</v>
      </c>
      <c r="B116" s="71" t="s">
        <v>313</v>
      </c>
      <c r="C116" s="71" t="s">
        <v>314</v>
      </c>
      <c r="D116" s="69" t="s">
        <v>708</v>
      </c>
      <c r="E116" s="71" t="s">
        <v>709</v>
      </c>
      <c r="F116" s="51">
        <v>65321</v>
      </c>
      <c r="G116" s="70" t="s">
        <v>654</v>
      </c>
      <c r="H116" s="42" t="s">
        <v>669</v>
      </c>
      <c r="I116" s="71" t="s">
        <v>17</v>
      </c>
      <c r="J116" s="71"/>
      <c r="K116" s="69"/>
      <c r="L116" s="69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Q116" s="68"/>
      <c r="BR116" s="68"/>
      <c r="BS116" s="68"/>
      <c r="BT116" s="68"/>
      <c r="BU116" s="68"/>
      <c r="BV116" s="68"/>
      <c r="BW116" s="68"/>
      <c r="BX116" s="68"/>
      <c r="BY116" s="68"/>
      <c r="BZ116" s="68"/>
      <c r="CA116" s="68"/>
      <c r="CB116" s="68"/>
      <c r="CC116" s="68"/>
      <c r="CD116" s="68"/>
      <c r="CE116" s="68"/>
      <c r="CF116" s="68"/>
      <c r="CG116" s="68"/>
      <c r="CH116" s="68"/>
      <c r="CI116" s="68"/>
      <c r="CJ116" s="68"/>
      <c r="CK116" s="68"/>
      <c r="CL116" s="68"/>
      <c r="CM116" s="68"/>
      <c r="CN116" s="68"/>
      <c r="CO116" s="68"/>
      <c r="CP116" s="68"/>
      <c r="CQ116" s="68"/>
      <c r="CR116" s="68"/>
      <c r="CS116" s="68"/>
      <c r="CT116" s="68"/>
      <c r="CU116" s="68"/>
      <c r="CV116" s="68"/>
      <c r="CW116" s="68"/>
      <c r="CX116" s="68"/>
      <c r="CY116" s="68"/>
      <c r="CZ116" s="68"/>
      <c r="DA116" s="68"/>
      <c r="DB116" s="68"/>
      <c r="DC116" s="68"/>
      <c r="DD116" s="68"/>
      <c r="DE116" s="68"/>
      <c r="DF116" s="68"/>
      <c r="DG116" s="68"/>
      <c r="DH116" s="68"/>
      <c r="DI116" s="68"/>
      <c r="DJ116" s="68"/>
      <c r="DK116" s="68"/>
      <c r="DL116" s="68"/>
      <c r="DM116" s="68"/>
      <c r="DN116" s="68"/>
      <c r="DO116" s="68"/>
      <c r="DP116" s="68"/>
      <c r="DQ116" s="68"/>
      <c r="DR116" s="68"/>
      <c r="DS116" s="68"/>
      <c r="DT116" s="68"/>
      <c r="DU116" s="68"/>
      <c r="DV116" s="68"/>
      <c r="DW116" s="68"/>
      <c r="DX116" s="68"/>
      <c r="DY116" s="68"/>
      <c r="DZ116" s="68"/>
      <c r="EA116" s="68"/>
      <c r="EB116" s="68"/>
      <c r="EC116" s="68"/>
      <c r="ED116" s="68"/>
      <c r="EE116" s="68"/>
      <c r="EF116" s="68"/>
      <c r="EG116" s="68"/>
      <c r="EH116" s="68"/>
      <c r="EI116" s="68"/>
      <c r="EJ116" s="68"/>
      <c r="EK116" s="68"/>
      <c r="EL116" s="68"/>
      <c r="EM116" s="68"/>
      <c r="EN116" s="68"/>
      <c r="EO116" s="68"/>
      <c r="EP116" s="68"/>
      <c r="EQ116" s="68"/>
      <c r="ER116" s="68"/>
      <c r="ES116" s="68"/>
      <c r="ET116" s="68"/>
      <c r="EU116" s="68"/>
      <c r="EV116" s="68"/>
      <c r="EW116" s="68"/>
      <c r="EX116" s="68"/>
      <c r="EY116" s="68"/>
      <c r="EZ116" s="68"/>
      <c r="FA116" s="68"/>
      <c r="FB116" s="68"/>
      <c r="FC116" s="68"/>
      <c r="FD116" s="68"/>
      <c r="FE116" s="68"/>
      <c r="FF116" s="68"/>
      <c r="FG116" s="68"/>
      <c r="FH116" s="68"/>
      <c r="FI116" s="68"/>
      <c r="FJ116" s="68"/>
      <c r="FK116" s="68"/>
      <c r="FL116" s="68"/>
      <c r="FM116" s="68"/>
      <c r="FN116" s="68"/>
      <c r="FO116" s="68"/>
      <c r="FP116" s="68"/>
      <c r="FQ116" s="68"/>
      <c r="FR116" s="68"/>
      <c r="FS116" s="68"/>
      <c r="FT116" s="68"/>
      <c r="FU116" s="68"/>
      <c r="FV116" s="68"/>
      <c r="FW116" s="68"/>
      <c r="FX116" s="68"/>
      <c r="FY116" s="68"/>
      <c r="FZ116" s="68"/>
      <c r="GA116" s="68"/>
      <c r="GB116" s="68"/>
      <c r="GC116" s="68"/>
      <c r="GD116" s="68"/>
      <c r="GE116" s="68"/>
      <c r="GF116" s="68"/>
      <c r="GG116" s="68"/>
      <c r="GH116" s="68"/>
      <c r="GI116" s="68"/>
      <c r="GJ116" s="68"/>
      <c r="GK116" s="68"/>
      <c r="GL116" s="68"/>
      <c r="GM116" s="68"/>
      <c r="GN116" s="68"/>
      <c r="GO116" s="68"/>
      <c r="GP116" s="68"/>
      <c r="GQ116" s="68"/>
      <c r="GR116" s="68"/>
      <c r="GS116" s="68"/>
      <c r="GT116" s="68"/>
      <c r="GU116" s="68"/>
      <c r="GV116" s="68"/>
      <c r="GW116" s="68"/>
      <c r="GX116" s="68"/>
      <c r="GY116" s="68"/>
      <c r="GZ116" s="68"/>
      <c r="HA116" s="68"/>
      <c r="HB116" s="68"/>
      <c r="HC116" s="68"/>
      <c r="HD116" s="68"/>
      <c r="HE116" s="68"/>
      <c r="HF116" s="68"/>
      <c r="HG116" s="68"/>
      <c r="HH116" s="68"/>
      <c r="HI116" s="68"/>
      <c r="HJ116" s="68"/>
      <c r="HK116" s="68"/>
      <c r="HL116" s="68"/>
      <c r="HM116" s="68"/>
      <c r="HN116" s="68"/>
      <c r="HO116" s="68"/>
      <c r="HP116" s="68"/>
      <c r="HQ116" s="68"/>
      <c r="HR116" s="68"/>
      <c r="HS116" s="68"/>
      <c r="HT116" s="68"/>
      <c r="HU116" s="68"/>
      <c r="HV116" s="68"/>
      <c r="HW116" s="68"/>
      <c r="HX116" s="68"/>
      <c r="HY116" s="68"/>
      <c r="HZ116" s="68"/>
      <c r="IA116" s="68"/>
      <c r="IB116" s="68"/>
      <c r="IC116" s="68"/>
      <c r="ID116" s="68"/>
      <c r="IE116" s="68"/>
      <c r="IF116" s="68"/>
      <c r="IG116" s="68"/>
      <c r="IH116" s="68"/>
      <c r="II116" s="68"/>
      <c r="IJ116" s="68"/>
      <c r="IK116" s="68"/>
      <c r="IL116" s="68"/>
      <c r="IM116" s="68"/>
      <c r="IN116" s="68"/>
      <c r="IO116" s="68"/>
      <c r="IP116" s="68"/>
      <c r="IQ116" s="68"/>
      <c r="IR116" s="68"/>
      <c r="IS116" s="68"/>
      <c r="IT116" s="68"/>
      <c r="IU116" s="68"/>
      <c r="IV116" s="68"/>
      <c r="IW116" s="68"/>
      <c r="IX116" s="68"/>
      <c r="IY116" s="68"/>
      <c r="IZ116" s="68"/>
      <c r="JA116" s="68"/>
      <c r="JB116" s="68"/>
      <c r="JC116" s="68"/>
      <c r="JD116" s="68"/>
      <c r="JE116" s="68"/>
      <c r="JF116" s="68"/>
      <c r="JG116" s="68"/>
      <c r="JH116" s="68"/>
      <c r="JI116" s="68"/>
      <c r="JJ116" s="68"/>
      <c r="JK116" s="68"/>
      <c r="JL116" s="68"/>
      <c r="JM116" s="68"/>
      <c r="JN116" s="68"/>
      <c r="JO116" s="68"/>
      <c r="JP116" s="68"/>
      <c r="JQ116" s="68"/>
      <c r="JR116" s="68"/>
      <c r="JS116" s="68"/>
      <c r="JT116" s="68"/>
      <c r="JU116" s="68"/>
      <c r="JV116" s="68"/>
      <c r="JW116" s="68"/>
      <c r="JX116" s="68"/>
      <c r="JY116" s="68"/>
      <c r="JZ116" s="68"/>
      <c r="KA116" s="68"/>
      <c r="KB116" s="68"/>
      <c r="KC116" s="68"/>
      <c r="KD116" s="68"/>
      <c r="KE116" s="68"/>
      <c r="KF116" s="68"/>
      <c r="KG116" s="68"/>
      <c r="KH116" s="68"/>
      <c r="KI116" s="68"/>
      <c r="KJ116" s="68"/>
      <c r="KK116" s="68"/>
      <c r="KL116" s="68"/>
      <c r="KM116" s="68"/>
      <c r="KN116" s="68"/>
      <c r="KO116" s="68"/>
      <c r="KP116" s="68"/>
      <c r="KQ116" s="68"/>
      <c r="KR116" s="68"/>
      <c r="KS116" s="68"/>
      <c r="KT116" s="68"/>
      <c r="KU116" s="68"/>
      <c r="KV116" s="68"/>
      <c r="KW116" s="68"/>
      <c r="KX116" s="68"/>
      <c r="KY116" s="68"/>
      <c r="KZ116" s="68"/>
      <c r="LA116" s="68"/>
      <c r="LB116" s="68"/>
      <c r="LC116" s="68"/>
      <c r="LD116" s="68"/>
      <c r="LE116" s="68"/>
      <c r="LF116" s="68"/>
      <c r="LG116" s="68"/>
      <c r="LH116" s="68"/>
      <c r="LI116" s="68"/>
      <c r="LJ116" s="68"/>
      <c r="LK116" s="68"/>
      <c r="LL116" s="68"/>
      <c r="LM116" s="68"/>
      <c r="LN116" s="68"/>
      <c r="LO116" s="68"/>
      <c r="LP116" s="68"/>
      <c r="LQ116" s="68"/>
      <c r="LR116" s="68"/>
      <c r="LS116" s="68"/>
      <c r="LT116" s="68"/>
      <c r="LU116" s="68"/>
      <c r="LV116" s="68"/>
      <c r="LW116" s="68"/>
      <c r="LX116" s="68"/>
      <c r="LY116" s="68"/>
      <c r="LZ116" s="68"/>
      <c r="MA116" s="68"/>
      <c r="MB116" s="68"/>
      <c r="MC116" s="68"/>
      <c r="MD116" s="68"/>
      <c r="ME116" s="68"/>
      <c r="MF116" s="68"/>
      <c r="MG116" s="68"/>
      <c r="MH116" s="68"/>
      <c r="MI116" s="68"/>
      <c r="MJ116" s="68"/>
      <c r="MK116" s="68"/>
      <c r="ML116" s="68"/>
      <c r="MM116" s="68"/>
      <c r="MN116" s="68"/>
      <c r="MO116" s="68"/>
      <c r="MP116" s="68"/>
      <c r="MQ116" s="68"/>
      <c r="MR116" s="68"/>
      <c r="MS116" s="68"/>
      <c r="MT116" s="68"/>
      <c r="MU116" s="68"/>
      <c r="MV116" s="68"/>
      <c r="MW116" s="68"/>
      <c r="MX116" s="68"/>
      <c r="MY116" s="68"/>
      <c r="MZ116" s="68"/>
      <c r="NA116" s="68"/>
      <c r="NB116" s="68"/>
      <c r="NC116" s="68"/>
      <c r="ND116" s="68"/>
      <c r="NE116" s="68"/>
      <c r="NF116" s="68"/>
      <c r="NG116" s="68"/>
      <c r="NH116" s="68"/>
      <c r="NI116" s="68"/>
      <c r="NJ116" s="68"/>
      <c r="NK116" s="68"/>
      <c r="NL116" s="68"/>
      <c r="NM116" s="68"/>
      <c r="NN116" s="68"/>
      <c r="NO116" s="68"/>
      <c r="NP116" s="68"/>
      <c r="NQ116" s="68"/>
      <c r="NR116" s="68"/>
      <c r="NS116" s="68"/>
      <c r="NT116" s="68"/>
      <c r="NU116" s="68"/>
      <c r="NV116" s="68"/>
      <c r="NW116" s="68"/>
      <c r="NX116" s="68"/>
      <c r="NY116" s="68"/>
      <c r="NZ116" s="68"/>
      <c r="OA116" s="68"/>
      <c r="OB116" s="68"/>
      <c r="OC116" s="68"/>
      <c r="OD116" s="68"/>
      <c r="OE116" s="68"/>
      <c r="OF116" s="68"/>
      <c r="OG116" s="68"/>
      <c r="OH116" s="68"/>
      <c r="OI116" s="68"/>
      <c r="OJ116" s="68"/>
      <c r="OK116" s="68"/>
      <c r="OL116" s="68"/>
      <c r="OM116" s="68"/>
      <c r="ON116" s="68"/>
      <c r="OO116" s="68"/>
      <c r="OP116" s="68"/>
      <c r="OQ116" s="68"/>
      <c r="OR116" s="68"/>
      <c r="OS116" s="68"/>
      <c r="OT116" s="68"/>
      <c r="OU116" s="68"/>
      <c r="OV116" s="68"/>
      <c r="OW116" s="68"/>
      <c r="OX116" s="68"/>
      <c r="OY116" s="68"/>
      <c r="OZ116" s="68"/>
      <c r="PA116" s="68"/>
      <c r="PB116" s="68"/>
      <c r="PC116" s="68"/>
      <c r="PD116" s="68"/>
      <c r="PE116" s="68"/>
      <c r="PF116" s="68"/>
      <c r="PG116" s="68"/>
      <c r="PH116" s="68"/>
      <c r="PI116" s="68"/>
      <c r="PJ116" s="68"/>
      <c r="PK116" s="68"/>
      <c r="PL116" s="68"/>
      <c r="PM116" s="68"/>
      <c r="PN116" s="68"/>
      <c r="PO116" s="68"/>
      <c r="PP116" s="68"/>
      <c r="PQ116" s="68"/>
      <c r="PR116" s="68"/>
      <c r="PS116" s="68"/>
      <c r="PT116" s="68"/>
      <c r="PU116" s="68"/>
      <c r="PV116" s="68"/>
      <c r="PW116" s="68"/>
      <c r="PX116" s="68"/>
      <c r="PY116" s="68"/>
      <c r="PZ116" s="68"/>
      <c r="QA116" s="68"/>
      <c r="QB116" s="68"/>
      <c r="QC116" s="68"/>
      <c r="QD116" s="68"/>
      <c r="QE116" s="68"/>
      <c r="QF116" s="68"/>
      <c r="QG116" s="68"/>
      <c r="QH116" s="68"/>
      <c r="QI116" s="68"/>
      <c r="QJ116" s="68"/>
      <c r="QK116" s="68"/>
      <c r="QL116" s="68"/>
      <c r="QM116" s="68"/>
      <c r="QN116" s="68"/>
      <c r="QO116" s="68"/>
      <c r="QP116" s="68"/>
      <c r="QQ116" s="68"/>
      <c r="QR116" s="68"/>
      <c r="QS116" s="68"/>
      <c r="QT116" s="68"/>
      <c r="QU116" s="68"/>
      <c r="QV116" s="68"/>
      <c r="QW116" s="68"/>
      <c r="QX116" s="68"/>
      <c r="QY116" s="68"/>
      <c r="QZ116" s="68"/>
      <c r="RA116" s="68"/>
      <c r="RB116" s="68"/>
      <c r="RC116" s="68"/>
      <c r="RD116" s="68"/>
      <c r="RE116" s="68"/>
      <c r="RF116" s="68"/>
      <c r="RG116" s="68"/>
      <c r="RH116" s="68"/>
      <c r="RI116" s="68"/>
      <c r="RJ116" s="68"/>
      <c r="RK116" s="68"/>
      <c r="RL116" s="68"/>
      <c r="RM116" s="68"/>
      <c r="RN116" s="68"/>
      <c r="RO116" s="68"/>
      <c r="RP116" s="68"/>
      <c r="RQ116" s="68"/>
      <c r="RR116" s="68"/>
      <c r="RS116" s="68"/>
      <c r="RT116" s="68"/>
      <c r="RU116" s="68"/>
      <c r="RV116" s="68"/>
      <c r="RW116" s="68"/>
      <c r="RX116" s="68"/>
      <c r="RY116" s="68"/>
      <c r="RZ116" s="68"/>
      <c r="SA116" s="68"/>
      <c r="SB116" s="68"/>
      <c r="SC116" s="68"/>
      <c r="SD116" s="68"/>
      <c r="SE116" s="68"/>
      <c r="SF116" s="68"/>
      <c r="SG116" s="68"/>
      <c r="SH116" s="68"/>
      <c r="SI116" s="68"/>
      <c r="SJ116" s="68"/>
      <c r="SK116" s="68"/>
      <c r="SL116" s="68"/>
      <c r="SM116" s="68"/>
      <c r="SN116" s="68"/>
      <c r="SO116" s="68"/>
      <c r="SP116" s="68"/>
      <c r="SQ116" s="68"/>
      <c r="SR116" s="68"/>
      <c r="SS116" s="68"/>
      <c r="ST116" s="68"/>
      <c r="SU116" s="68"/>
      <c r="SV116" s="68"/>
      <c r="SW116" s="68"/>
      <c r="SX116" s="68"/>
      <c r="SY116" s="68"/>
      <c r="SZ116" s="68"/>
      <c r="TA116" s="68"/>
      <c r="TB116" s="68"/>
      <c r="TC116" s="68"/>
      <c r="TD116" s="68"/>
      <c r="TE116" s="68"/>
      <c r="TF116" s="68"/>
      <c r="TG116" s="68"/>
      <c r="TH116" s="68"/>
      <c r="TI116" s="68"/>
      <c r="TJ116" s="68"/>
      <c r="TK116" s="68"/>
      <c r="TL116" s="68"/>
      <c r="TM116" s="68"/>
      <c r="TN116" s="68"/>
      <c r="TO116" s="68"/>
      <c r="TP116" s="68"/>
      <c r="TQ116" s="68"/>
      <c r="TR116" s="68"/>
      <c r="TS116" s="68"/>
      <c r="TT116" s="68"/>
      <c r="TU116" s="68"/>
      <c r="TV116" s="68"/>
      <c r="TW116" s="68"/>
      <c r="TX116" s="68"/>
      <c r="TY116" s="68"/>
      <c r="TZ116" s="68"/>
      <c r="UA116" s="68"/>
      <c r="UB116" s="68"/>
      <c r="UC116" s="68"/>
      <c r="UD116" s="68"/>
      <c r="UE116" s="68"/>
      <c r="UF116" s="68"/>
      <c r="UG116" s="68"/>
      <c r="UH116" s="68"/>
      <c r="UI116" s="68"/>
      <c r="UJ116" s="68"/>
      <c r="UK116" s="68"/>
      <c r="UL116" s="68"/>
      <c r="UM116" s="68"/>
      <c r="UN116" s="68"/>
      <c r="UO116" s="68"/>
      <c r="UP116" s="68"/>
      <c r="UQ116" s="68"/>
      <c r="UR116" s="68"/>
      <c r="US116" s="68"/>
      <c r="UT116" s="68"/>
      <c r="UU116" s="68"/>
      <c r="UV116" s="68"/>
      <c r="UW116" s="68"/>
      <c r="UX116" s="68"/>
      <c r="UY116" s="68"/>
      <c r="UZ116" s="68"/>
      <c r="VA116" s="68"/>
      <c r="VB116" s="68"/>
      <c r="VC116" s="68"/>
      <c r="VD116" s="68"/>
      <c r="VE116" s="68"/>
      <c r="VF116" s="68"/>
      <c r="VG116" s="68"/>
      <c r="VH116" s="68"/>
      <c r="VI116" s="68"/>
      <c r="VJ116" s="68"/>
      <c r="VK116" s="68"/>
      <c r="VL116" s="68"/>
      <c r="VM116" s="68"/>
      <c r="VN116" s="68"/>
      <c r="VO116" s="68"/>
      <c r="VP116" s="68"/>
      <c r="VQ116" s="68"/>
      <c r="VR116" s="68"/>
      <c r="VS116" s="68"/>
      <c r="VT116" s="68"/>
      <c r="VU116" s="68"/>
      <c r="VV116" s="68"/>
      <c r="VW116" s="68"/>
      <c r="VX116" s="68"/>
      <c r="VY116" s="68"/>
      <c r="VZ116" s="68"/>
      <c r="WA116" s="68"/>
      <c r="WB116" s="68"/>
      <c r="WC116" s="68"/>
      <c r="WD116" s="68"/>
      <c r="WE116" s="68"/>
      <c r="WF116" s="68"/>
      <c r="WG116" s="68"/>
      <c r="WH116" s="68"/>
      <c r="WI116" s="68"/>
      <c r="WJ116" s="68"/>
      <c r="WK116" s="68"/>
      <c r="WL116" s="68"/>
      <c r="WM116" s="68"/>
      <c r="WN116" s="68"/>
      <c r="WO116" s="68"/>
      <c r="WP116" s="68"/>
      <c r="WQ116" s="68"/>
      <c r="WR116" s="68"/>
      <c r="WS116" s="68"/>
      <c r="WT116" s="68"/>
      <c r="WU116" s="68"/>
      <c r="WV116" s="68"/>
      <c r="WW116" s="68"/>
      <c r="WX116" s="68"/>
      <c r="WY116" s="68"/>
      <c r="WZ116" s="68"/>
      <c r="XA116" s="68"/>
      <c r="XB116" s="68"/>
      <c r="XC116" s="68"/>
      <c r="XD116" s="68"/>
      <c r="XE116" s="68"/>
      <c r="XF116" s="68"/>
      <c r="XG116" s="68"/>
      <c r="XH116" s="68"/>
      <c r="XI116" s="68"/>
      <c r="XJ116" s="68"/>
      <c r="XK116" s="68"/>
      <c r="XL116" s="68"/>
      <c r="XM116" s="68"/>
      <c r="XN116" s="68"/>
      <c r="XO116" s="68"/>
      <c r="XP116" s="68"/>
      <c r="XQ116" s="68"/>
      <c r="XR116" s="68"/>
      <c r="XS116" s="68"/>
      <c r="XT116" s="68"/>
      <c r="XU116" s="68"/>
      <c r="XV116" s="68"/>
      <c r="XW116" s="68"/>
      <c r="XX116" s="68"/>
      <c r="XY116" s="68"/>
      <c r="XZ116" s="68"/>
      <c r="YA116" s="68"/>
      <c r="YB116" s="68"/>
      <c r="YC116" s="68"/>
      <c r="YD116" s="68"/>
      <c r="YE116" s="68"/>
      <c r="YF116" s="68"/>
      <c r="YG116" s="68"/>
      <c r="YH116" s="68"/>
      <c r="YI116" s="68"/>
      <c r="YJ116" s="68"/>
      <c r="YK116" s="68"/>
      <c r="YL116" s="68"/>
      <c r="YM116" s="68"/>
      <c r="YN116" s="68"/>
      <c r="YO116" s="68"/>
      <c r="YP116" s="68"/>
      <c r="YQ116" s="68"/>
      <c r="YR116" s="68"/>
      <c r="YS116" s="68"/>
      <c r="YT116" s="68"/>
      <c r="YU116" s="68"/>
      <c r="YV116" s="68"/>
      <c r="YW116" s="68"/>
      <c r="YX116" s="68"/>
      <c r="YY116" s="68"/>
      <c r="YZ116" s="68"/>
      <c r="ZA116" s="68"/>
      <c r="ZB116" s="68"/>
      <c r="ZC116" s="68"/>
      <c r="ZD116" s="68"/>
      <c r="ZE116" s="68"/>
      <c r="ZF116" s="68"/>
      <c r="ZG116" s="68"/>
      <c r="ZH116" s="68"/>
      <c r="ZI116" s="68"/>
      <c r="ZJ116" s="68"/>
      <c r="ZK116" s="68"/>
      <c r="ZL116" s="68"/>
      <c r="ZM116" s="68"/>
      <c r="ZN116" s="68"/>
      <c r="ZO116" s="68"/>
      <c r="ZP116" s="68"/>
      <c r="ZQ116" s="68"/>
      <c r="ZR116" s="68"/>
      <c r="ZS116" s="68"/>
      <c r="ZT116" s="68"/>
      <c r="ZU116" s="68"/>
      <c r="ZV116" s="68"/>
      <c r="ZW116" s="68"/>
      <c r="ZX116" s="68"/>
      <c r="ZY116" s="68"/>
      <c r="ZZ116" s="68"/>
      <c r="AAA116" s="68"/>
      <c r="AAB116" s="68"/>
      <c r="AAC116" s="68"/>
      <c r="AAD116" s="68"/>
      <c r="AAE116" s="68"/>
      <c r="AAF116" s="68"/>
      <c r="AAG116" s="68"/>
      <c r="AAH116" s="68"/>
      <c r="AAI116" s="68"/>
      <c r="AAJ116" s="68"/>
      <c r="AAK116" s="68"/>
      <c r="AAL116" s="68"/>
      <c r="AAM116" s="68"/>
      <c r="AAN116" s="68"/>
      <c r="AAO116" s="68"/>
      <c r="AAP116" s="68"/>
      <c r="AAQ116" s="68"/>
      <c r="AAR116" s="68"/>
      <c r="AAS116" s="68"/>
      <c r="AAT116" s="68"/>
      <c r="AAU116" s="68"/>
      <c r="AAV116" s="68"/>
      <c r="AAW116" s="68"/>
      <c r="AAX116" s="68"/>
      <c r="AAY116" s="68"/>
      <c r="AAZ116" s="68"/>
      <c r="ABA116" s="68"/>
      <c r="ABB116" s="68"/>
      <c r="ABC116" s="68"/>
      <c r="ABD116" s="68"/>
      <c r="ABE116" s="68"/>
      <c r="ABF116" s="68"/>
      <c r="ABG116" s="68"/>
      <c r="ABH116" s="68"/>
      <c r="ABI116" s="68"/>
      <c r="ABJ116" s="68"/>
      <c r="ABK116" s="68"/>
      <c r="ABL116" s="68"/>
      <c r="ABM116" s="68"/>
      <c r="ABN116" s="68"/>
      <c r="ABO116" s="68"/>
      <c r="ABP116" s="68"/>
      <c r="ABQ116" s="68"/>
      <c r="ABR116" s="68"/>
      <c r="ABS116" s="68"/>
      <c r="ABT116" s="68"/>
      <c r="ABU116" s="68"/>
      <c r="ABV116" s="68"/>
      <c r="ABW116" s="68"/>
      <c r="ABX116" s="68"/>
      <c r="ABY116" s="68"/>
      <c r="ABZ116" s="68"/>
      <c r="ACA116" s="68"/>
      <c r="ACB116" s="68"/>
      <c r="ACC116" s="68"/>
      <c r="ACD116" s="68"/>
      <c r="ACE116" s="68"/>
      <c r="ACF116" s="68"/>
      <c r="ACG116" s="68"/>
      <c r="ACH116" s="68"/>
      <c r="ACI116" s="68"/>
      <c r="ACJ116" s="68"/>
      <c r="ACK116" s="68"/>
      <c r="ACL116" s="68"/>
      <c r="ACM116" s="68"/>
      <c r="ACN116" s="68"/>
      <c r="ACO116" s="68"/>
      <c r="ACP116" s="68"/>
      <c r="ACQ116" s="68"/>
      <c r="ACR116" s="68"/>
      <c r="ACS116" s="68"/>
      <c r="ACT116" s="68"/>
      <c r="ACU116" s="68"/>
      <c r="ACV116" s="68"/>
      <c r="ACW116" s="68"/>
      <c r="ACX116" s="68"/>
      <c r="ACY116" s="68"/>
      <c r="ACZ116" s="68"/>
      <c r="ADA116" s="68"/>
      <c r="ADB116" s="68"/>
      <c r="ADC116" s="68"/>
      <c r="ADD116" s="68"/>
      <c r="ADE116" s="68"/>
      <c r="ADF116" s="68"/>
      <c r="ADG116" s="68"/>
      <c r="ADH116" s="68"/>
      <c r="ADI116" s="68"/>
      <c r="ADJ116" s="68"/>
      <c r="ADK116" s="68"/>
      <c r="ADL116" s="68"/>
      <c r="ADM116" s="68"/>
      <c r="ADN116" s="68"/>
      <c r="ADO116" s="68"/>
      <c r="ADP116" s="68"/>
      <c r="ADQ116" s="68"/>
      <c r="ADR116" s="68"/>
      <c r="ADS116" s="68"/>
      <c r="ADT116" s="68"/>
      <c r="ADU116" s="68"/>
      <c r="ADV116" s="68"/>
      <c r="ADW116" s="68"/>
      <c r="ADX116" s="68"/>
      <c r="ADY116" s="68"/>
      <c r="ADZ116" s="68"/>
      <c r="AEA116" s="68"/>
      <c r="AEB116" s="68"/>
      <c r="AEC116" s="68"/>
      <c r="AED116" s="68"/>
      <c r="AEE116" s="68"/>
      <c r="AEF116" s="68"/>
      <c r="AEG116" s="68"/>
      <c r="AEH116" s="68"/>
      <c r="AEI116" s="68"/>
      <c r="AEJ116" s="68"/>
      <c r="AEK116" s="68"/>
      <c r="AEL116" s="68"/>
      <c r="AEM116" s="68"/>
      <c r="AEN116" s="68"/>
      <c r="AEO116" s="68"/>
      <c r="AEP116" s="68"/>
      <c r="AEQ116" s="68"/>
      <c r="AER116" s="68"/>
      <c r="AES116" s="68"/>
      <c r="AET116" s="68"/>
      <c r="AEU116" s="68"/>
      <c r="AEV116" s="68"/>
      <c r="AEW116" s="68"/>
      <c r="AEX116" s="68"/>
      <c r="AEY116" s="68"/>
      <c r="AEZ116" s="68"/>
      <c r="AFA116" s="68"/>
      <c r="AFB116" s="68"/>
      <c r="AFC116" s="68"/>
      <c r="AFD116" s="68"/>
      <c r="AFE116" s="68"/>
      <c r="AFF116" s="68"/>
      <c r="AFG116" s="68"/>
      <c r="AFH116" s="68"/>
      <c r="AFI116" s="68"/>
      <c r="AFJ116" s="68"/>
      <c r="AFK116" s="68"/>
      <c r="AFL116" s="68"/>
      <c r="AFM116" s="68"/>
      <c r="AFN116" s="68"/>
      <c r="AFO116" s="68"/>
      <c r="AFP116" s="68"/>
      <c r="AFQ116" s="68"/>
      <c r="AFR116" s="68"/>
      <c r="AFS116" s="68"/>
      <c r="AFT116" s="68"/>
      <c r="AFU116" s="68"/>
      <c r="AFV116" s="68"/>
      <c r="AFW116" s="68"/>
      <c r="AFX116" s="68"/>
      <c r="AFY116" s="68"/>
      <c r="AFZ116" s="68"/>
      <c r="AGA116" s="68"/>
      <c r="AGB116" s="68"/>
      <c r="AGC116" s="68"/>
      <c r="AGD116" s="68"/>
      <c r="AGE116" s="68"/>
      <c r="AGF116" s="68"/>
      <c r="AGG116" s="68"/>
      <c r="AGH116" s="68"/>
      <c r="AGI116" s="68"/>
      <c r="AGJ116" s="68"/>
      <c r="AGK116" s="68"/>
      <c r="AGL116" s="68"/>
      <c r="AGM116" s="68"/>
      <c r="AGN116" s="68"/>
      <c r="AGO116" s="68"/>
      <c r="AGP116" s="68"/>
      <c r="AGQ116" s="68"/>
      <c r="AGR116" s="68"/>
      <c r="AGS116" s="68"/>
      <c r="AGT116" s="68"/>
      <c r="AGU116" s="68"/>
      <c r="AGV116" s="68"/>
      <c r="AGW116" s="68"/>
      <c r="AGX116" s="68"/>
      <c r="AGY116" s="68"/>
      <c r="AGZ116" s="68"/>
      <c r="AHA116" s="68"/>
      <c r="AHB116" s="68"/>
      <c r="AHC116" s="68"/>
      <c r="AHD116" s="68"/>
      <c r="AHE116" s="68"/>
      <c r="AHF116" s="68"/>
      <c r="AHG116" s="68"/>
      <c r="AHH116" s="68"/>
      <c r="AHI116" s="68"/>
      <c r="AHJ116" s="68"/>
      <c r="AHK116" s="68"/>
      <c r="AHL116" s="68"/>
      <c r="AHM116" s="68"/>
      <c r="AHN116" s="68"/>
      <c r="AHO116" s="68"/>
      <c r="AHP116" s="68"/>
      <c r="AHQ116" s="68"/>
      <c r="AHR116" s="68"/>
      <c r="AHS116" s="68"/>
      <c r="AHT116" s="68"/>
      <c r="AHU116" s="68"/>
      <c r="AHV116" s="68"/>
      <c r="AHW116" s="68"/>
      <c r="AHX116" s="68"/>
      <c r="AHY116" s="68"/>
      <c r="AHZ116" s="68"/>
      <c r="AIA116" s="68"/>
      <c r="AIB116" s="68"/>
      <c r="AIC116" s="68"/>
      <c r="AID116" s="68"/>
      <c r="AIE116" s="68"/>
      <c r="AIF116" s="68"/>
      <c r="AIG116" s="68"/>
      <c r="AIH116" s="68"/>
      <c r="AII116" s="68"/>
      <c r="AIJ116" s="68"/>
      <c r="AIK116" s="68"/>
      <c r="AIL116" s="68"/>
      <c r="AIM116" s="68"/>
      <c r="AIN116" s="68"/>
      <c r="AIO116" s="68"/>
      <c r="AIP116" s="68"/>
      <c r="AIQ116" s="68"/>
      <c r="AIR116" s="68"/>
      <c r="AIS116" s="68"/>
      <c r="AIT116" s="68"/>
      <c r="AIU116" s="68"/>
      <c r="AIV116" s="68"/>
      <c r="AIW116" s="68"/>
      <c r="AIX116" s="68"/>
      <c r="AIY116" s="68"/>
      <c r="AIZ116" s="68"/>
      <c r="AJA116" s="68"/>
      <c r="AJB116" s="68"/>
      <c r="AJC116" s="68"/>
      <c r="AJD116" s="68"/>
      <c r="AJE116" s="68"/>
      <c r="AJF116" s="68"/>
      <c r="AJG116" s="68"/>
      <c r="AJH116" s="68"/>
      <c r="AJI116" s="68"/>
      <c r="AJJ116" s="68"/>
      <c r="AJK116" s="68"/>
      <c r="AJL116" s="68"/>
      <c r="AJM116" s="68"/>
      <c r="AJN116" s="68"/>
      <c r="AJO116" s="68"/>
      <c r="AJP116" s="68"/>
      <c r="AJQ116" s="68"/>
      <c r="AJR116" s="68"/>
      <c r="AJS116" s="68"/>
      <c r="AJT116" s="68"/>
      <c r="AJU116" s="68"/>
      <c r="AJV116" s="68"/>
      <c r="AJW116" s="68"/>
      <c r="AJX116" s="68"/>
      <c r="AJY116" s="68"/>
      <c r="AJZ116" s="68"/>
      <c r="AKA116" s="68"/>
      <c r="AKB116" s="68"/>
      <c r="AKC116" s="68"/>
      <c r="AKD116" s="68"/>
      <c r="AKE116" s="68"/>
      <c r="AKF116" s="68"/>
      <c r="AKG116" s="68"/>
      <c r="AKH116" s="68"/>
      <c r="AKI116" s="68"/>
      <c r="AKJ116" s="68"/>
      <c r="AKK116" s="68"/>
      <c r="AKL116" s="68"/>
      <c r="AKM116" s="68"/>
      <c r="AKN116" s="68"/>
      <c r="AKO116" s="68"/>
      <c r="AKP116" s="68"/>
      <c r="AKQ116" s="68"/>
      <c r="AKR116" s="68"/>
      <c r="AKS116" s="68"/>
      <c r="AKT116" s="68"/>
      <c r="AKU116" s="68"/>
      <c r="AKV116" s="68"/>
      <c r="AKW116" s="68"/>
      <c r="AKX116" s="68"/>
      <c r="AKY116" s="68"/>
      <c r="AKZ116" s="68"/>
      <c r="ALA116" s="68"/>
      <c r="ALB116" s="68"/>
      <c r="ALC116" s="68"/>
      <c r="ALD116" s="68"/>
      <c r="ALE116" s="68"/>
      <c r="ALF116" s="68"/>
      <c r="ALG116" s="68"/>
      <c r="ALH116" s="68"/>
      <c r="ALI116" s="68"/>
      <c r="ALJ116" s="68"/>
      <c r="ALK116" s="68"/>
      <c r="ALL116" s="68"/>
      <c r="ALM116" s="68"/>
      <c r="ALN116" s="68"/>
      <c r="ALO116" s="68"/>
      <c r="ALP116" s="68"/>
      <c r="ALQ116" s="68"/>
      <c r="ALR116" s="68"/>
      <c r="ALS116" s="68"/>
      <c r="ALT116" s="68"/>
      <c r="ALU116" s="68"/>
      <c r="ALV116" s="68"/>
      <c r="ALW116" s="68"/>
      <c r="ALX116" s="68"/>
      <c r="ALY116" s="68"/>
      <c r="ALZ116" s="68"/>
      <c r="AMA116" s="68"/>
      <c r="AMB116" s="68"/>
      <c r="AMC116" s="68"/>
      <c r="AMD116" s="68"/>
      <c r="AME116" s="68"/>
      <c r="AMF116" s="68"/>
      <c r="AMG116" s="68"/>
      <c r="AMH116" s="68"/>
      <c r="AMI116" s="68"/>
      <c r="AMJ116" s="68"/>
      <c r="AMK116" s="68"/>
      <c r="AML116" s="68"/>
      <c r="AMM116" s="68"/>
      <c r="AMN116" s="68"/>
      <c r="AMO116" s="68"/>
      <c r="AMP116" s="68"/>
      <c r="AMQ116" s="68"/>
      <c r="AMR116" s="68"/>
      <c r="AMS116" s="68"/>
      <c r="AMT116" s="68"/>
      <c r="AMU116" s="68"/>
      <c r="AMV116" s="68"/>
      <c r="AMW116" s="68"/>
      <c r="AMX116" s="68"/>
      <c r="AMY116" s="68"/>
      <c r="AMZ116" s="68"/>
      <c r="ANA116" s="68"/>
      <c r="ANB116" s="68"/>
      <c r="ANC116" s="68"/>
      <c r="AND116" s="68"/>
      <c r="ANE116" s="68"/>
      <c r="ANF116" s="68"/>
      <c r="ANG116" s="68"/>
      <c r="ANH116" s="68"/>
      <c r="ANI116" s="68"/>
      <c r="ANJ116" s="68"/>
      <c r="ANK116" s="68"/>
      <c r="ANL116" s="68"/>
      <c r="ANM116" s="68"/>
      <c r="ANN116" s="68"/>
      <c r="ANO116" s="68"/>
      <c r="ANP116" s="68"/>
      <c r="ANQ116" s="68"/>
      <c r="ANR116" s="68"/>
      <c r="ANS116" s="68"/>
      <c r="ANT116" s="68"/>
      <c r="ANU116" s="68"/>
      <c r="ANV116" s="68"/>
      <c r="ANW116" s="68"/>
      <c r="ANX116" s="68"/>
      <c r="ANY116" s="68"/>
      <c r="ANZ116" s="68"/>
      <c r="AOA116" s="68"/>
      <c r="AOB116" s="68"/>
      <c r="AOC116" s="68"/>
      <c r="AOD116" s="68"/>
      <c r="AOE116" s="68"/>
      <c r="AOF116" s="68"/>
      <c r="AOG116" s="68"/>
      <c r="AOH116" s="68"/>
      <c r="AOI116" s="68"/>
      <c r="AOJ116" s="68"/>
      <c r="AOK116" s="68"/>
      <c r="AOL116" s="68"/>
      <c r="AOM116" s="68"/>
      <c r="AON116" s="68"/>
      <c r="AOO116" s="68"/>
      <c r="AOP116" s="68"/>
      <c r="AOQ116" s="68"/>
      <c r="AOR116" s="68"/>
      <c r="AOS116" s="68"/>
      <c r="AOT116" s="68"/>
      <c r="AOU116" s="68"/>
      <c r="AOV116" s="68"/>
      <c r="AOW116" s="68"/>
      <c r="AOX116" s="68"/>
      <c r="AOY116" s="68"/>
      <c r="AOZ116" s="68"/>
      <c r="APA116" s="68"/>
      <c r="APB116" s="68"/>
      <c r="APC116" s="68"/>
      <c r="APD116" s="68"/>
      <c r="APE116" s="68"/>
      <c r="APF116" s="68"/>
      <c r="APG116" s="68"/>
      <c r="APH116" s="68"/>
      <c r="API116" s="68"/>
      <c r="APJ116" s="68"/>
      <c r="APK116" s="68"/>
      <c r="APL116" s="68"/>
      <c r="APM116" s="68"/>
      <c r="APN116" s="68"/>
      <c r="APO116" s="68"/>
      <c r="APP116" s="68"/>
      <c r="APQ116" s="68"/>
      <c r="APR116" s="68"/>
      <c r="APS116" s="68"/>
      <c r="APT116" s="68"/>
      <c r="APU116" s="68"/>
      <c r="APV116" s="68"/>
      <c r="APW116" s="68"/>
      <c r="APX116" s="68"/>
      <c r="APY116" s="68"/>
      <c r="APZ116" s="68"/>
      <c r="AQA116" s="68"/>
      <c r="AQB116" s="68"/>
      <c r="AQC116" s="68"/>
      <c r="AQD116" s="68"/>
      <c r="AQE116" s="68"/>
      <c r="AQF116" s="68"/>
      <c r="AQG116" s="68"/>
      <c r="AQH116" s="68"/>
      <c r="AQI116" s="68"/>
      <c r="AQJ116" s="68"/>
      <c r="AQK116" s="68"/>
      <c r="AQL116" s="68"/>
      <c r="AQM116" s="68"/>
      <c r="AQN116" s="68"/>
      <c r="AQO116" s="68"/>
      <c r="AQP116" s="68"/>
      <c r="AQQ116" s="68"/>
      <c r="AQR116" s="68"/>
      <c r="AQS116" s="68"/>
      <c r="AQT116" s="68"/>
      <c r="AQU116" s="68"/>
      <c r="AQV116" s="68"/>
      <c r="AQW116" s="68"/>
      <c r="AQX116" s="68"/>
      <c r="AQY116" s="68"/>
      <c r="AQZ116" s="68"/>
      <c r="ARA116" s="68"/>
      <c r="ARB116" s="68"/>
      <c r="ARC116" s="68"/>
      <c r="ARD116" s="68"/>
      <c r="ARE116" s="68"/>
      <c r="ARF116" s="68"/>
      <c r="ARG116" s="68"/>
      <c r="ARH116" s="68"/>
      <c r="ARI116" s="68"/>
      <c r="ARJ116" s="68"/>
      <c r="ARK116" s="68"/>
      <c r="ARL116" s="68"/>
      <c r="ARM116" s="68"/>
      <c r="ARN116" s="68"/>
      <c r="ARO116" s="68"/>
      <c r="ARP116" s="68"/>
      <c r="ARQ116" s="68"/>
      <c r="ARR116" s="68"/>
      <c r="ARS116" s="68"/>
      <c r="ART116" s="68"/>
      <c r="ARU116" s="68"/>
      <c r="ARV116" s="68"/>
      <c r="ARW116" s="68"/>
      <c r="ARX116" s="68"/>
      <c r="ARY116" s="68"/>
      <c r="ARZ116" s="68"/>
      <c r="ASA116" s="68"/>
      <c r="ASB116" s="68"/>
      <c r="ASC116" s="68"/>
      <c r="ASD116" s="68"/>
      <c r="ASE116" s="68"/>
      <c r="ASF116" s="68"/>
      <c r="ASG116" s="68"/>
      <c r="ASH116" s="68"/>
      <c r="ASI116" s="68"/>
      <c r="ASJ116" s="68"/>
      <c r="ASK116" s="68"/>
      <c r="ASL116" s="68"/>
      <c r="ASM116" s="68"/>
      <c r="ASN116" s="68"/>
      <c r="ASO116" s="68"/>
      <c r="ASP116" s="68"/>
      <c r="ASQ116" s="68"/>
      <c r="ASR116" s="68"/>
      <c r="ASS116" s="68"/>
      <c r="AST116" s="68"/>
      <c r="ASU116" s="68"/>
      <c r="ASV116" s="68"/>
      <c r="ASW116" s="68"/>
      <c r="ASX116" s="68"/>
      <c r="ASY116" s="68"/>
      <c r="ASZ116" s="68"/>
      <c r="ATA116" s="68"/>
      <c r="ATB116" s="68"/>
      <c r="ATC116" s="68"/>
      <c r="ATD116" s="68"/>
      <c r="ATE116" s="68"/>
      <c r="ATF116" s="68"/>
      <c r="ATG116" s="68"/>
      <c r="ATH116" s="68"/>
      <c r="ATI116" s="68"/>
      <c r="ATJ116" s="68"/>
      <c r="ATK116" s="68"/>
      <c r="ATL116" s="68"/>
      <c r="ATM116" s="68"/>
      <c r="ATN116" s="68"/>
      <c r="ATO116" s="68"/>
      <c r="ATP116" s="68"/>
      <c r="ATQ116" s="68"/>
      <c r="ATR116" s="68"/>
      <c r="ATS116" s="68"/>
      <c r="ATT116" s="68"/>
      <c r="ATU116" s="68"/>
      <c r="ATV116" s="68"/>
      <c r="ATW116" s="68"/>
      <c r="ATX116" s="68"/>
      <c r="ATY116" s="68"/>
      <c r="ATZ116" s="68"/>
      <c r="AUA116" s="68"/>
      <c r="AUB116" s="68"/>
      <c r="AUC116" s="68"/>
      <c r="AUD116" s="68"/>
      <c r="AUE116" s="68"/>
      <c r="AUF116" s="68"/>
      <c r="AUG116" s="68"/>
      <c r="AUH116" s="68"/>
      <c r="AUI116" s="68"/>
      <c r="AUJ116" s="68"/>
      <c r="AUK116" s="68"/>
      <c r="AUL116" s="68"/>
      <c r="AUM116" s="68"/>
      <c r="AUN116" s="68"/>
      <c r="AUO116" s="68"/>
      <c r="AUP116" s="68"/>
      <c r="AUQ116" s="68"/>
      <c r="AUR116" s="68"/>
      <c r="AUS116" s="68"/>
      <c r="AUT116" s="68"/>
      <c r="AUU116" s="68"/>
      <c r="AUV116" s="68"/>
      <c r="AUW116" s="68"/>
      <c r="AUX116" s="68"/>
      <c r="AUY116" s="68"/>
      <c r="AUZ116" s="68"/>
      <c r="AVA116" s="68"/>
      <c r="AVB116" s="68"/>
      <c r="AVC116" s="68"/>
      <c r="AVD116" s="68"/>
      <c r="AVE116" s="68"/>
      <c r="AVF116" s="68"/>
      <c r="AVG116" s="68"/>
      <c r="AVH116" s="68"/>
      <c r="AVI116" s="68"/>
      <c r="AVJ116" s="68"/>
      <c r="AVK116" s="68"/>
      <c r="AVL116" s="68"/>
      <c r="AVM116" s="68"/>
      <c r="AVN116" s="68"/>
      <c r="AVO116" s="68"/>
      <c r="AVP116" s="68"/>
      <c r="AVQ116" s="68"/>
      <c r="AVR116" s="68"/>
      <c r="AVS116" s="68"/>
      <c r="AVT116" s="68"/>
      <c r="AVU116" s="68"/>
      <c r="AVV116" s="68"/>
      <c r="AVW116" s="68"/>
      <c r="AVX116" s="68"/>
      <c r="AVY116" s="68"/>
      <c r="AVZ116" s="68"/>
      <c r="AWA116" s="68"/>
      <c r="AWB116" s="68"/>
      <c r="AWC116" s="68"/>
      <c r="AWD116" s="68"/>
      <c r="AWE116" s="68"/>
      <c r="AWF116" s="68"/>
      <c r="AWG116" s="68"/>
      <c r="AWH116" s="68"/>
      <c r="AWI116" s="68"/>
      <c r="AWJ116" s="68"/>
      <c r="AWK116" s="68"/>
      <c r="AWL116" s="68"/>
      <c r="AWM116" s="68"/>
      <c r="AWN116" s="68"/>
      <c r="AWO116" s="68"/>
      <c r="AWP116" s="68"/>
      <c r="AWQ116" s="68"/>
      <c r="AWR116" s="68"/>
      <c r="AWS116" s="68"/>
      <c r="AWT116" s="68"/>
      <c r="AWU116" s="68"/>
      <c r="AWV116" s="68"/>
      <c r="AWW116" s="68"/>
      <c r="AWX116" s="68"/>
      <c r="AWY116" s="68"/>
      <c r="AWZ116" s="68"/>
      <c r="AXA116" s="68"/>
      <c r="AXB116" s="68"/>
      <c r="AXC116" s="68"/>
      <c r="AXD116" s="68"/>
      <c r="AXE116" s="68"/>
      <c r="AXF116" s="68"/>
      <c r="AXG116" s="68"/>
      <c r="AXH116" s="68"/>
      <c r="AXI116" s="68"/>
      <c r="AXJ116" s="68"/>
      <c r="AXK116" s="68"/>
      <c r="AXL116" s="68"/>
      <c r="AXM116" s="68"/>
      <c r="AXN116" s="68"/>
      <c r="AXO116" s="68"/>
      <c r="AXP116" s="68"/>
      <c r="AXQ116" s="68"/>
      <c r="AXR116" s="68"/>
      <c r="AXS116" s="68"/>
      <c r="AXT116" s="68"/>
      <c r="AXU116" s="68"/>
      <c r="AXV116" s="68"/>
      <c r="AXW116" s="68"/>
      <c r="AXX116" s="68"/>
      <c r="AXY116" s="68"/>
      <c r="AXZ116" s="68"/>
      <c r="AYA116" s="68"/>
      <c r="AYB116" s="68"/>
      <c r="AYC116" s="68"/>
      <c r="AYD116" s="68"/>
      <c r="AYE116" s="68"/>
      <c r="AYF116" s="68"/>
      <c r="AYG116" s="68"/>
      <c r="AYH116" s="68"/>
      <c r="AYI116" s="68"/>
      <c r="AYJ116" s="68"/>
      <c r="AYK116" s="68"/>
      <c r="AYL116" s="68"/>
      <c r="AYM116" s="68"/>
      <c r="AYN116" s="68"/>
      <c r="AYO116" s="68"/>
      <c r="AYP116" s="68"/>
      <c r="AYQ116" s="68"/>
      <c r="AYR116" s="68"/>
      <c r="AYS116" s="68"/>
      <c r="AYT116" s="68"/>
      <c r="AYU116" s="68"/>
      <c r="AYV116" s="68"/>
      <c r="AYW116" s="68"/>
      <c r="AYX116" s="68"/>
      <c r="AYY116" s="68"/>
      <c r="AYZ116" s="68"/>
      <c r="AZA116" s="68"/>
      <c r="AZB116" s="68"/>
      <c r="AZC116" s="68"/>
      <c r="AZD116" s="68"/>
      <c r="AZE116" s="68"/>
      <c r="AZF116" s="68"/>
      <c r="AZG116" s="68"/>
      <c r="AZH116" s="68"/>
      <c r="AZI116" s="68"/>
      <c r="AZJ116" s="68"/>
      <c r="AZK116" s="68"/>
      <c r="AZL116" s="68"/>
      <c r="AZM116" s="68"/>
      <c r="AZN116" s="68"/>
      <c r="AZO116" s="68"/>
      <c r="AZP116" s="68"/>
      <c r="AZQ116" s="68"/>
      <c r="AZR116" s="68"/>
      <c r="AZS116" s="68"/>
      <c r="AZT116" s="68"/>
      <c r="AZU116" s="68"/>
      <c r="AZV116" s="68"/>
      <c r="AZW116" s="68"/>
      <c r="AZX116" s="68"/>
      <c r="AZY116" s="68"/>
      <c r="AZZ116" s="68"/>
      <c r="BAA116" s="68"/>
      <c r="BAB116" s="68"/>
      <c r="BAC116" s="68"/>
      <c r="BAD116" s="68"/>
      <c r="BAE116" s="68"/>
      <c r="BAF116" s="68"/>
      <c r="BAG116" s="68"/>
      <c r="BAH116" s="68"/>
      <c r="BAI116" s="68"/>
      <c r="BAJ116" s="68"/>
      <c r="BAK116" s="68"/>
      <c r="BAL116" s="68"/>
      <c r="BAM116" s="68"/>
      <c r="BAN116" s="68"/>
      <c r="BAO116" s="68"/>
      <c r="BAP116" s="68"/>
      <c r="BAQ116" s="68"/>
      <c r="BAR116" s="68"/>
      <c r="BAS116" s="68"/>
      <c r="BAT116" s="68"/>
      <c r="BAU116" s="68"/>
      <c r="BAV116" s="68"/>
      <c r="BAW116" s="68"/>
      <c r="BAX116" s="68"/>
      <c r="BAY116" s="68"/>
      <c r="BAZ116" s="68"/>
      <c r="BBA116" s="68"/>
      <c r="BBB116" s="68"/>
      <c r="BBC116" s="68"/>
      <c r="BBD116" s="68"/>
      <c r="BBE116" s="68"/>
      <c r="BBF116" s="68"/>
      <c r="BBG116" s="68"/>
      <c r="BBH116" s="68"/>
      <c r="BBI116" s="68"/>
      <c r="BBJ116" s="68"/>
      <c r="BBK116" s="68"/>
      <c r="BBL116" s="68"/>
      <c r="BBM116" s="68"/>
      <c r="BBN116" s="68"/>
      <c r="BBO116" s="68"/>
      <c r="BBP116" s="68"/>
      <c r="BBQ116" s="68"/>
      <c r="BBR116" s="68"/>
      <c r="BBS116" s="68"/>
      <c r="BBT116" s="68"/>
      <c r="BBU116" s="68"/>
      <c r="BBV116" s="68"/>
      <c r="BBW116" s="68"/>
      <c r="BBX116" s="68"/>
      <c r="BBY116" s="68"/>
      <c r="BBZ116" s="68"/>
      <c r="BCA116" s="68"/>
      <c r="BCB116" s="68"/>
      <c r="BCC116" s="68"/>
      <c r="BCD116" s="68"/>
      <c r="BCE116" s="68"/>
      <c r="BCF116" s="68"/>
      <c r="BCG116" s="68"/>
      <c r="BCH116" s="68"/>
      <c r="BCI116" s="68"/>
      <c r="BCJ116" s="68"/>
      <c r="BCK116" s="68"/>
      <c r="BCL116" s="68"/>
      <c r="BCM116" s="68"/>
      <c r="BCN116" s="68"/>
      <c r="BCO116" s="68"/>
      <c r="BCP116" s="68"/>
      <c r="BCQ116" s="68"/>
      <c r="BCR116" s="68"/>
      <c r="BCS116" s="68"/>
      <c r="BCT116" s="68"/>
      <c r="BCU116" s="68"/>
      <c r="BCV116" s="68"/>
      <c r="BCW116" s="68"/>
      <c r="BCX116" s="68"/>
      <c r="BCY116" s="68"/>
      <c r="BCZ116" s="68"/>
      <c r="BDA116" s="68"/>
    </row>
    <row r="117" spans="1:1457" s="67" customFormat="1" ht="41.25" customHeight="1" x14ac:dyDescent="0.25">
      <c r="A117" s="49">
        <v>35</v>
      </c>
      <c r="B117" s="71" t="s">
        <v>327</v>
      </c>
      <c r="C117" s="71" t="s">
        <v>328</v>
      </c>
      <c r="D117" s="69" t="s">
        <v>708</v>
      </c>
      <c r="E117" s="71" t="s">
        <v>709</v>
      </c>
      <c r="F117" s="51">
        <v>198379.95</v>
      </c>
      <c r="G117" s="118" t="s">
        <v>329</v>
      </c>
      <c r="H117" s="118"/>
      <c r="I117" s="71" t="s">
        <v>444</v>
      </c>
      <c r="J117" s="71"/>
      <c r="K117" s="69"/>
      <c r="L117" s="69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8"/>
      <c r="BU117" s="68"/>
      <c r="BV117" s="68"/>
      <c r="BW117" s="68"/>
      <c r="BX117" s="68"/>
      <c r="BY117" s="68"/>
      <c r="BZ117" s="68"/>
      <c r="CA117" s="68"/>
      <c r="CB117" s="68"/>
      <c r="CC117" s="68"/>
      <c r="CD117" s="68"/>
      <c r="CE117" s="68"/>
      <c r="CF117" s="68"/>
      <c r="CG117" s="68"/>
      <c r="CH117" s="68"/>
      <c r="CI117" s="68"/>
      <c r="CJ117" s="68"/>
      <c r="CK117" s="68"/>
      <c r="CL117" s="68"/>
      <c r="CM117" s="68"/>
      <c r="CN117" s="68"/>
      <c r="CO117" s="68"/>
      <c r="CP117" s="68"/>
      <c r="CQ117" s="68"/>
      <c r="CR117" s="68"/>
      <c r="CS117" s="68"/>
      <c r="CT117" s="68"/>
      <c r="CU117" s="68"/>
      <c r="CV117" s="68"/>
      <c r="CW117" s="68"/>
      <c r="CX117" s="68"/>
      <c r="CY117" s="68"/>
      <c r="CZ117" s="68"/>
      <c r="DA117" s="68"/>
      <c r="DB117" s="68"/>
      <c r="DC117" s="68"/>
      <c r="DD117" s="68"/>
      <c r="DE117" s="68"/>
      <c r="DF117" s="68"/>
      <c r="DG117" s="68"/>
      <c r="DH117" s="68"/>
      <c r="DI117" s="68"/>
      <c r="DJ117" s="68"/>
      <c r="DK117" s="68"/>
      <c r="DL117" s="68"/>
      <c r="DM117" s="68"/>
      <c r="DN117" s="68"/>
      <c r="DO117" s="68"/>
      <c r="DP117" s="68"/>
      <c r="DQ117" s="68"/>
      <c r="DR117" s="68"/>
      <c r="DS117" s="68"/>
      <c r="DT117" s="68"/>
      <c r="DU117" s="68"/>
      <c r="DV117" s="68"/>
      <c r="DW117" s="68"/>
      <c r="DX117" s="68"/>
      <c r="DY117" s="68"/>
      <c r="DZ117" s="68"/>
      <c r="EA117" s="68"/>
      <c r="EB117" s="68"/>
      <c r="EC117" s="68"/>
      <c r="ED117" s="68"/>
      <c r="EE117" s="68"/>
      <c r="EF117" s="68"/>
      <c r="EG117" s="68"/>
      <c r="EH117" s="68"/>
      <c r="EI117" s="68"/>
      <c r="EJ117" s="68"/>
      <c r="EK117" s="68"/>
      <c r="EL117" s="68"/>
      <c r="EM117" s="68"/>
      <c r="EN117" s="68"/>
      <c r="EO117" s="68"/>
      <c r="EP117" s="68"/>
      <c r="EQ117" s="68"/>
      <c r="ER117" s="68"/>
      <c r="ES117" s="68"/>
      <c r="ET117" s="68"/>
      <c r="EU117" s="68"/>
      <c r="EV117" s="68"/>
      <c r="EW117" s="68"/>
      <c r="EX117" s="68"/>
      <c r="EY117" s="68"/>
      <c r="EZ117" s="68"/>
      <c r="FA117" s="68"/>
      <c r="FB117" s="68"/>
      <c r="FC117" s="68"/>
      <c r="FD117" s="68"/>
      <c r="FE117" s="68"/>
      <c r="FF117" s="68"/>
      <c r="FG117" s="68"/>
      <c r="FH117" s="68"/>
      <c r="FI117" s="68"/>
      <c r="FJ117" s="68"/>
      <c r="FK117" s="68"/>
      <c r="FL117" s="68"/>
      <c r="FM117" s="68"/>
      <c r="FN117" s="68"/>
      <c r="FO117" s="68"/>
      <c r="FP117" s="68"/>
      <c r="FQ117" s="68"/>
      <c r="FR117" s="68"/>
      <c r="FS117" s="68"/>
      <c r="FT117" s="68"/>
      <c r="FU117" s="68"/>
      <c r="FV117" s="68"/>
      <c r="FW117" s="68"/>
      <c r="FX117" s="68"/>
      <c r="FY117" s="68"/>
      <c r="FZ117" s="68"/>
      <c r="GA117" s="68"/>
      <c r="GB117" s="68"/>
      <c r="GC117" s="68"/>
      <c r="GD117" s="68"/>
      <c r="GE117" s="68"/>
      <c r="GF117" s="68"/>
      <c r="GG117" s="68"/>
      <c r="GH117" s="68"/>
      <c r="GI117" s="68"/>
      <c r="GJ117" s="68"/>
      <c r="GK117" s="68"/>
      <c r="GL117" s="68"/>
      <c r="GM117" s="68"/>
      <c r="GN117" s="68"/>
      <c r="GO117" s="68"/>
      <c r="GP117" s="68"/>
      <c r="GQ117" s="68"/>
      <c r="GR117" s="68"/>
      <c r="GS117" s="68"/>
      <c r="GT117" s="68"/>
      <c r="GU117" s="68"/>
      <c r="GV117" s="68"/>
      <c r="GW117" s="68"/>
      <c r="GX117" s="68"/>
      <c r="GY117" s="68"/>
      <c r="GZ117" s="68"/>
      <c r="HA117" s="68"/>
      <c r="HB117" s="68"/>
      <c r="HC117" s="68"/>
      <c r="HD117" s="68"/>
      <c r="HE117" s="68"/>
      <c r="HF117" s="68"/>
      <c r="HG117" s="68"/>
      <c r="HH117" s="68"/>
      <c r="HI117" s="68"/>
      <c r="HJ117" s="68"/>
      <c r="HK117" s="68"/>
      <c r="HL117" s="68"/>
      <c r="HM117" s="68"/>
      <c r="HN117" s="68"/>
      <c r="HO117" s="68"/>
      <c r="HP117" s="68"/>
      <c r="HQ117" s="68"/>
      <c r="HR117" s="68"/>
      <c r="HS117" s="68"/>
      <c r="HT117" s="68"/>
      <c r="HU117" s="68"/>
      <c r="HV117" s="68"/>
      <c r="HW117" s="68"/>
      <c r="HX117" s="68"/>
      <c r="HY117" s="68"/>
      <c r="HZ117" s="68"/>
      <c r="IA117" s="68"/>
      <c r="IB117" s="68"/>
      <c r="IC117" s="68"/>
      <c r="ID117" s="68"/>
      <c r="IE117" s="68"/>
      <c r="IF117" s="68"/>
      <c r="IG117" s="68"/>
      <c r="IH117" s="68"/>
      <c r="II117" s="68"/>
      <c r="IJ117" s="68"/>
      <c r="IK117" s="68"/>
      <c r="IL117" s="68"/>
      <c r="IM117" s="68"/>
      <c r="IN117" s="68"/>
      <c r="IO117" s="68"/>
      <c r="IP117" s="68"/>
      <c r="IQ117" s="68"/>
      <c r="IR117" s="68"/>
      <c r="IS117" s="68"/>
      <c r="IT117" s="68"/>
      <c r="IU117" s="68"/>
      <c r="IV117" s="68"/>
      <c r="IW117" s="68"/>
      <c r="IX117" s="68"/>
      <c r="IY117" s="68"/>
      <c r="IZ117" s="68"/>
      <c r="JA117" s="68"/>
      <c r="JB117" s="68"/>
      <c r="JC117" s="68"/>
      <c r="JD117" s="68"/>
      <c r="JE117" s="68"/>
      <c r="JF117" s="68"/>
      <c r="JG117" s="68"/>
      <c r="JH117" s="68"/>
      <c r="JI117" s="68"/>
      <c r="JJ117" s="68"/>
      <c r="JK117" s="68"/>
      <c r="JL117" s="68"/>
      <c r="JM117" s="68"/>
      <c r="JN117" s="68"/>
      <c r="JO117" s="68"/>
      <c r="JP117" s="68"/>
      <c r="JQ117" s="68"/>
      <c r="JR117" s="68"/>
      <c r="JS117" s="68"/>
      <c r="JT117" s="68"/>
      <c r="JU117" s="68"/>
      <c r="JV117" s="68"/>
      <c r="JW117" s="68"/>
      <c r="JX117" s="68"/>
      <c r="JY117" s="68"/>
      <c r="JZ117" s="68"/>
      <c r="KA117" s="68"/>
      <c r="KB117" s="68"/>
      <c r="KC117" s="68"/>
      <c r="KD117" s="68"/>
      <c r="KE117" s="68"/>
      <c r="KF117" s="68"/>
      <c r="KG117" s="68"/>
      <c r="KH117" s="68"/>
      <c r="KI117" s="68"/>
      <c r="KJ117" s="68"/>
      <c r="KK117" s="68"/>
      <c r="KL117" s="68"/>
      <c r="KM117" s="68"/>
      <c r="KN117" s="68"/>
      <c r="KO117" s="68"/>
      <c r="KP117" s="68"/>
      <c r="KQ117" s="68"/>
      <c r="KR117" s="68"/>
      <c r="KS117" s="68"/>
      <c r="KT117" s="68"/>
      <c r="KU117" s="68"/>
      <c r="KV117" s="68"/>
      <c r="KW117" s="68"/>
      <c r="KX117" s="68"/>
      <c r="KY117" s="68"/>
      <c r="KZ117" s="68"/>
      <c r="LA117" s="68"/>
      <c r="LB117" s="68"/>
      <c r="LC117" s="68"/>
      <c r="LD117" s="68"/>
      <c r="LE117" s="68"/>
      <c r="LF117" s="68"/>
      <c r="LG117" s="68"/>
      <c r="LH117" s="68"/>
      <c r="LI117" s="68"/>
      <c r="LJ117" s="68"/>
      <c r="LK117" s="68"/>
      <c r="LL117" s="68"/>
      <c r="LM117" s="68"/>
      <c r="LN117" s="68"/>
      <c r="LO117" s="68"/>
      <c r="LP117" s="68"/>
      <c r="LQ117" s="68"/>
      <c r="LR117" s="68"/>
      <c r="LS117" s="68"/>
      <c r="LT117" s="68"/>
      <c r="LU117" s="68"/>
      <c r="LV117" s="68"/>
      <c r="LW117" s="68"/>
      <c r="LX117" s="68"/>
      <c r="LY117" s="68"/>
      <c r="LZ117" s="68"/>
      <c r="MA117" s="68"/>
      <c r="MB117" s="68"/>
      <c r="MC117" s="68"/>
      <c r="MD117" s="68"/>
      <c r="ME117" s="68"/>
      <c r="MF117" s="68"/>
      <c r="MG117" s="68"/>
      <c r="MH117" s="68"/>
      <c r="MI117" s="68"/>
      <c r="MJ117" s="68"/>
      <c r="MK117" s="68"/>
      <c r="ML117" s="68"/>
      <c r="MM117" s="68"/>
      <c r="MN117" s="68"/>
      <c r="MO117" s="68"/>
      <c r="MP117" s="68"/>
      <c r="MQ117" s="68"/>
      <c r="MR117" s="68"/>
      <c r="MS117" s="68"/>
      <c r="MT117" s="68"/>
      <c r="MU117" s="68"/>
      <c r="MV117" s="68"/>
      <c r="MW117" s="68"/>
      <c r="MX117" s="68"/>
      <c r="MY117" s="68"/>
      <c r="MZ117" s="68"/>
      <c r="NA117" s="68"/>
      <c r="NB117" s="68"/>
      <c r="NC117" s="68"/>
      <c r="ND117" s="68"/>
      <c r="NE117" s="68"/>
      <c r="NF117" s="68"/>
      <c r="NG117" s="68"/>
      <c r="NH117" s="68"/>
      <c r="NI117" s="68"/>
      <c r="NJ117" s="68"/>
      <c r="NK117" s="68"/>
      <c r="NL117" s="68"/>
      <c r="NM117" s="68"/>
      <c r="NN117" s="68"/>
      <c r="NO117" s="68"/>
      <c r="NP117" s="68"/>
      <c r="NQ117" s="68"/>
      <c r="NR117" s="68"/>
      <c r="NS117" s="68"/>
      <c r="NT117" s="68"/>
      <c r="NU117" s="68"/>
      <c r="NV117" s="68"/>
      <c r="NW117" s="68"/>
      <c r="NX117" s="68"/>
      <c r="NY117" s="68"/>
      <c r="NZ117" s="68"/>
      <c r="OA117" s="68"/>
      <c r="OB117" s="68"/>
      <c r="OC117" s="68"/>
      <c r="OD117" s="68"/>
      <c r="OE117" s="68"/>
      <c r="OF117" s="68"/>
      <c r="OG117" s="68"/>
      <c r="OH117" s="68"/>
      <c r="OI117" s="68"/>
      <c r="OJ117" s="68"/>
      <c r="OK117" s="68"/>
      <c r="OL117" s="68"/>
      <c r="OM117" s="68"/>
      <c r="ON117" s="68"/>
      <c r="OO117" s="68"/>
      <c r="OP117" s="68"/>
      <c r="OQ117" s="68"/>
      <c r="OR117" s="68"/>
      <c r="OS117" s="68"/>
      <c r="OT117" s="68"/>
      <c r="OU117" s="68"/>
      <c r="OV117" s="68"/>
      <c r="OW117" s="68"/>
      <c r="OX117" s="68"/>
      <c r="OY117" s="68"/>
      <c r="OZ117" s="68"/>
      <c r="PA117" s="68"/>
      <c r="PB117" s="68"/>
      <c r="PC117" s="68"/>
      <c r="PD117" s="68"/>
      <c r="PE117" s="68"/>
      <c r="PF117" s="68"/>
      <c r="PG117" s="68"/>
      <c r="PH117" s="68"/>
      <c r="PI117" s="68"/>
      <c r="PJ117" s="68"/>
      <c r="PK117" s="68"/>
      <c r="PL117" s="68"/>
      <c r="PM117" s="68"/>
      <c r="PN117" s="68"/>
      <c r="PO117" s="68"/>
      <c r="PP117" s="68"/>
      <c r="PQ117" s="68"/>
      <c r="PR117" s="68"/>
      <c r="PS117" s="68"/>
      <c r="PT117" s="68"/>
      <c r="PU117" s="68"/>
      <c r="PV117" s="68"/>
      <c r="PW117" s="68"/>
      <c r="PX117" s="68"/>
      <c r="PY117" s="68"/>
      <c r="PZ117" s="68"/>
      <c r="QA117" s="68"/>
      <c r="QB117" s="68"/>
      <c r="QC117" s="68"/>
      <c r="QD117" s="68"/>
      <c r="QE117" s="68"/>
      <c r="QF117" s="68"/>
      <c r="QG117" s="68"/>
      <c r="QH117" s="68"/>
      <c r="QI117" s="68"/>
      <c r="QJ117" s="68"/>
      <c r="QK117" s="68"/>
      <c r="QL117" s="68"/>
      <c r="QM117" s="68"/>
      <c r="QN117" s="68"/>
      <c r="QO117" s="68"/>
      <c r="QP117" s="68"/>
      <c r="QQ117" s="68"/>
      <c r="QR117" s="68"/>
      <c r="QS117" s="68"/>
      <c r="QT117" s="68"/>
      <c r="QU117" s="68"/>
      <c r="QV117" s="68"/>
      <c r="QW117" s="68"/>
      <c r="QX117" s="68"/>
      <c r="QY117" s="68"/>
      <c r="QZ117" s="68"/>
      <c r="RA117" s="68"/>
      <c r="RB117" s="68"/>
      <c r="RC117" s="68"/>
      <c r="RD117" s="68"/>
      <c r="RE117" s="68"/>
      <c r="RF117" s="68"/>
      <c r="RG117" s="68"/>
      <c r="RH117" s="68"/>
      <c r="RI117" s="68"/>
      <c r="RJ117" s="68"/>
      <c r="RK117" s="68"/>
      <c r="RL117" s="68"/>
      <c r="RM117" s="68"/>
      <c r="RN117" s="68"/>
      <c r="RO117" s="68"/>
      <c r="RP117" s="68"/>
      <c r="RQ117" s="68"/>
      <c r="RR117" s="68"/>
      <c r="RS117" s="68"/>
      <c r="RT117" s="68"/>
      <c r="RU117" s="68"/>
      <c r="RV117" s="68"/>
      <c r="RW117" s="68"/>
      <c r="RX117" s="68"/>
      <c r="RY117" s="68"/>
      <c r="RZ117" s="68"/>
      <c r="SA117" s="68"/>
      <c r="SB117" s="68"/>
      <c r="SC117" s="68"/>
      <c r="SD117" s="68"/>
      <c r="SE117" s="68"/>
      <c r="SF117" s="68"/>
      <c r="SG117" s="68"/>
      <c r="SH117" s="68"/>
      <c r="SI117" s="68"/>
      <c r="SJ117" s="68"/>
      <c r="SK117" s="68"/>
      <c r="SL117" s="68"/>
      <c r="SM117" s="68"/>
      <c r="SN117" s="68"/>
      <c r="SO117" s="68"/>
      <c r="SP117" s="68"/>
      <c r="SQ117" s="68"/>
      <c r="SR117" s="68"/>
      <c r="SS117" s="68"/>
      <c r="ST117" s="68"/>
      <c r="SU117" s="68"/>
      <c r="SV117" s="68"/>
      <c r="SW117" s="68"/>
      <c r="SX117" s="68"/>
      <c r="SY117" s="68"/>
      <c r="SZ117" s="68"/>
      <c r="TA117" s="68"/>
      <c r="TB117" s="68"/>
      <c r="TC117" s="68"/>
      <c r="TD117" s="68"/>
      <c r="TE117" s="68"/>
      <c r="TF117" s="68"/>
      <c r="TG117" s="68"/>
      <c r="TH117" s="68"/>
      <c r="TI117" s="68"/>
      <c r="TJ117" s="68"/>
      <c r="TK117" s="68"/>
      <c r="TL117" s="68"/>
      <c r="TM117" s="68"/>
      <c r="TN117" s="68"/>
      <c r="TO117" s="68"/>
      <c r="TP117" s="68"/>
      <c r="TQ117" s="68"/>
      <c r="TR117" s="68"/>
      <c r="TS117" s="68"/>
      <c r="TT117" s="68"/>
      <c r="TU117" s="68"/>
      <c r="TV117" s="68"/>
      <c r="TW117" s="68"/>
      <c r="TX117" s="68"/>
      <c r="TY117" s="68"/>
      <c r="TZ117" s="68"/>
      <c r="UA117" s="68"/>
      <c r="UB117" s="68"/>
      <c r="UC117" s="68"/>
      <c r="UD117" s="68"/>
      <c r="UE117" s="68"/>
      <c r="UF117" s="68"/>
      <c r="UG117" s="68"/>
      <c r="UH117" s="68"/>
      <c r="UI117" s="68"/>
      <c r="UJ117" s="68"/>
      <c r="UK117" s="68"/>
      <c r="UL117" s="68"/>
      <c r="UM117" s="68"/>
      <c r="UN117" s="68"/>
      <c r="UO117" s="68"/>
      <c r="UP117" s="68"/>
      <c r="UQ117" s="68"/>
      <c r="UR117" s="68"/>
      <c r="US117" s="68"/>
      <c r="UT117" s="68"/>
      <c r="UU117" s="68"/>
      <c r="UV117" s="68"/>
      <c r="UW117" s="68"/>
      <c r="UX117" s="68"/>
      <c r="UY117" s="68"/>
      <c r="UZ117" s="68"/>
      <c r="VA117" s="68"/>
      <c r="VB117" s="68"/>
      <c r="VC117" s="68"/>
      <c r="VD117" s="68"/>
      <c r="VE117" s="68"/>
      <c r="VF117" s="68"/>
      <c r="VG117" s="68"/>
      <c r="VH117" s="68"/>
      <c r="VI117" s="68"/>
      <c r="VJ117" s="68"/>
      <c r="VK117" s="68"/>
      <c r="VL117" s="68"/>
      <c r="VM117" s="68"/>
      <c r="VN117" s="68"/>
      <c r="VO117" s="68"/>
      <c r="VP117" s="68"/>
      <c r="VQ117" s="68"/>
      <c r="VR117" s="68"/>
      <c r="VS117" s="68"/>
      <c r="VT117" s="68"/>
      <c r="VU117" s="68"/>
      <c r="VV117" s="68"/>
      <c r="VW117" s="68"/>
      <c r="VX117" s="68"/>
      <c r="VY117" s="68"/>
      <c r="VZ117" s="68"/>
      <c r="WA117" s="68"/>
      <c r="WB117" s="68"/>
      <c r="WC117" s="68"/>
      <c r="WD117" s="68"/>
      <c r="WE117" s="68"/>
      <c r="WF117" s="68"/>
      <c r="WG117" s="68"/>
      <c r="WH117" s="68"/>
      <c r="WI117" s="68"/>
      <c r="WJ117" s="68"/>
      <c r="WK117" s="68"/>
      <c r="WL117" s="68"/>
      <c r="WM117" s="68"/>
      <c r="WN117" s="68"/>
      <c r="WO117" s="68"/>
      <c r="WP117" s="68"/>
      <c r="WQ117" s="68"/>
      <c r="WR117" s="68"/>
      <c r="WS117" s="68"/>
      <c r="WT117" s="68"/>
      <c r="WU117" s="68"/>
      <c r="WV117" s="68"/>
      <c r="WW117" s="68"/>
      <c r="WX117" s="68"/>
      <c r="WY117" s="68"/>
      <c r="WZ117" s="68"/>
      <c r="XA117" s="68"/>
      <c r="XB117" s="68"/>
      <c r="XC117" s="68"/>
      <c r="XD117" s="68"/>
      <c r="XE117" s="68"/>
      <c r="XF117" s="68"/>
      <c r="XG117" s="68"/>
      <c r="XH117" s="68"/>
      <c r="XI117" s="68"/>
      <c r="XJ117" s="68"/>
      <c r="XK117" s="68"/>
      <c r="XL117" s="68"/>
      <c r="XM117" s="68"/>
      <c r="XN117" s="68"/>
      <c r="XO117" s="68"/>
      <c r="XP117" s="68"/>
      <c r="XQ117" s="68"/>
      <c r="XR117" s="68"/>
      <c r="XS117" s="68"/>
      <c r="XT117" s="68"/>
      <c r="XU117" s="68"/>
      <c r="XV117" s="68"/>
      <c r="XW117" s="68"/>
      <c r="XX117" s="68"/>
      <c r="XY117" s="68"/>
      <c r="XZ117" s="68"/>
      <c r="YA117" s="68"/>
      <c r="YB117" s="68"/>
      <c r="YC117" s="68"/>
      <c r="YD117" s="68"/>
      <c r="YE117" s="68"/>
      <c r="YF117" s="68"/>
      <c r="YG117" s="68"/>
      <c r="YH117" s="68"/>
      <c r="YI117" s="68"/>
      <c r="YJ117" s="68"/>
      <c r="YK117" s="68"/>
      <c r="YL117" s="68"/>
      <c r="YM117" s="68"/>
      <c r="YN117" s="68"/>
      <c r="YO117" s="68"/>
      <c r="YP117" s="68"/>
      <c r="YQ117" s="68"/>
      <c r="YR117" s="68"/>
      <c r="YS117" s="68"/>
      <c r="YT117" s="68"/>
      <c r="YU117" s="68"/>
      <c r="YV117" s="68"/>
      <c r="YW117" s="68"/>
      <c r="YX117" s="68"/>
      <c r="YY117" s="68"/>
      <c r="YZ117" s="68"/>
      <c r="ZA117" s="68"/>
      <c r="ZB117" s="68"/>
      <c r="ZC117" s="68"/>
      <c r="ZD117" s="68"/>
      <c r="ZE117" s="68"/>
      <c r="ZF117" s="68"/>
      <c r="ZG117" s="68"/>
      <c r="ZH117" s="68"/>
      <c r="ZI117" s="68"/>
      <c r="ZJ117" s="68"/>
      <c r="ZK117" s="68"/>
      <c r="ZL117" s="68"/>
      <c r="ZM117" s="68"/>
      <c r="ZN117" s="68"/>
      <c r="ZO117" s="68"/>
      <c r="ZP117" s="68"/>
      <c r="ZQ117" s="68"/>
      <c r="ZR117" s="68"/>
      <c r="ZS117" s="68"/>
      <c r="ZT117" s="68"/>
      <c r="ZU117" s="68"/>
      <c r="ZV117" s="68"/>
      <c r="ZW117" s="68"/>
      <c r="ZX117" s="68"/>
      <c r="ZY117" s="68"/>
      <c r="ZZ117" s="68"/>
      <c r="AAA117" s="68"/>
      <c r="AAB117" s="68"/>
      <c r="AAC117" s="68"/>
      <c r="AAD117" s="68"/>
      <c r="AAE117" s="68"/>
      <c r="AAF117" s="68"/>
      <c r="AAG117" s="68"/>
      <c r="AAH117" s="68"/>
      <c r="AAI117" s="68"/>
      <c r="AAJ117" s="68"/>
      <c r="AAK117" s="68"/>
      <c r="AAL117" s="68"/>
      <c r="AAM117" s="68"/>
      <c r="AAN117" s="68"/>
      <c r="AAO117" s="68"/>
      <c r="AAP117" s="68"/>
      <c r="AAQ117" s="68"/>
      <c r="AAR117" s="68"/>
      <c r="AAS117" s="68"/>
      <c r="AAT117" s="68"/>
      <c r="AAU117" s="68"/>
      <c r="AAV117" s="68"/>
      <c r="AAW117" s="68"/>
      <c r="AAX117" s="68"/>
      <c r="AAY117" s="68"/>
      <c r="AAZ117" s="68"/>
      <c r="ABA117" s="68"/>
      <c r="ABB117" s="68"/>
      <c r="ABC117" s="68"/>
      <c r="ABD117" s="68"/>
      <c r="ABE117" s="68"/>
      <c r="ABF117" s="68"/>
      <c r="ABG117" s="68"/>
      <c r="ABH117" s="68"/>
      <c r="ABI117" s="68"/>
      <c r="ABJ117" s="68"/>
      <c r="ABK117" s="68"/>
      <c r="ABL117" s="68"/>
      <c r="ABM117" s="68"/>
      <c r="ABN117" s="68"/>
      <c r="ABO117" s="68"/>
      <c r="ABP117" s="68"/>
      <c r="ABQ117" s="68"/>
      <c r="ABR117" s="68"/>
      <c r="ABS117" s="68"/>
      <c r="ABT117" s="68"/>
      <c r="ABU117" s="68"/>
      <c r="ABV117" s="68"/>
      <c r="ABW117" s="68"/>
      <c r="ABX117" s="68"/>
      <c r="ABY117" s="68"/>
      <c r="ABZ117" s="68"/>
      <c r="ACA117" s="68"/>
      <c r="ACB117" s="68"/>
      <c r="ACC117" s="68"/>
      <c r="ACD117" s="68"/>
      <c r="ACE117" s="68"/>
      <c r="ACF117" s="68"/>
      <c r="ACG117" s="68"/>
      <c r="ACH117" s="68"/>
      <c r="ACI117" s="68"/>
      <c r="ACJ117" s="68"/>
      <c r="ACK117" s="68"/>
      <c r="ACL117" s="68"/>
      <c r="ACM117" s="68"/>
      <c r="ACN117" s="68"/>
      <c r="ACO117" s="68"/>
      <c r="ACP117" s="68"/>
      <c r="ACQ117" s="68"/>
      <c r="ACR117" s="68"/>
      <c r="ACS117" s="68"/>
      <c r="ACT117" s="68"/>
      <c r="ACU117" s="68"/>
      <c r="ACV117" s="68"/>
      <c r="ACW117" s="68"/>
      <c r="ACX117" s="68"/>
      <c r="ACY117" s="68"/>
      <c r="ACZ117" s="68"/>
      <c r="ADA117" s="68"/>
      <c r="ADB117" s="68"/>
      <c r="ADC117" s="68"/>
      <c r="ADD117" s="68"/>
      <c r="ADE117" s="68"/>
      <c r="ADF117" s="68"/>
      <c r="ADG117" s="68"/>
      <c r="ADH117" s="68"/>
      <c r="ADI117" s="68"/>
      <c r="ADJ117" s="68"/>
      <c r="ADK117" s="68"/>
      <c r="ADL117" s="68"/>
      <c r="ADM117" s="68"/>
      <c r="ADN117" s="68"/>
      <c r="ADO117" s="68"/>
      <c r="ADP117" s="68"/>
      <c r="ADQ117" s="68"/>
      <c r="ADR117" s="68"/>
      <c r="ADS117" s="68"/>
      <c r="ADT117" s="68"/>
      <c r="ADU117" s="68"/>
      <c r="ADV117" s="68"/>
      <c r="ADW117" s="68"/>
      <c r="ADX117" s="68"/>
      <c r="ADY117" s="68"/>
      <c r="ADZ117" s="68"/>
      <c r="AEA117" s="68"/>
      <c r="AEB117" s="68"/>
      <c r="AEC117" s="68"/>
      <c r="AED117" s="68"/>
      <c r="AEE117" s="68"/>
      <c r="AEF117" s="68"/>
      <c r="AEG117" s="68"/>
      <c r="AEH117" s="68"/>
      <c r="AEI117" s="68"/>
      <c r="AEJ117" s="68"/>
      <c r="AEK117" s="68"/>
      <c r="AEL117" s="68"/>
      <c r="AEM117" s="68"/>
      <c r="AEN117" s="68"/>
      <c r="AEO117" s="68"/>
      <c r="AEP117" s="68"/>
      <c r="AEQ117" s="68"/>
      <c r="AER117" s="68"/>
      <c r="AES117" s="68"/>
      <c r="AET117" s="68"/>
      <c r="AEU117" s="68"/>
      <c r="AEV117" s="68"/>
      <c r="AEW117" s="68"/>
      <c r="AEX117" s="68"/>
      <c r="AEY117" s="68"/>
      <c r="AEZ117" s="68"/>
      <c r="AFA117" s="68"/>
      <c r="AFB117" s="68"/>
      <c r="AFC117" s="68"/>
      <c r="AFD117" s="68"/>
      <c r="AFE117" s="68"/>
      <c r="AFF117" s="68"/>
      <c r="AFG117" s="68"/>
      <c r="AFH117" s="68"/>
      <c r="AFI117" s="68"/>
      <c r="AFJ117" s="68"/>
      <c r="AFK117" s="68"/>
      <c r="AFL117" s="68"/>
      <c r="AFM117" s="68"/>
      <c r="AFN117" s="68"/>
      <c r="AFO117" s="68"/>
      <c r="AFP117" s="68"/>
      <c r="AFQ117" s="68"/>
      <c r="AFR117" s="68"/>
      <c r="AFS117" s="68"/>
      <c r="AFT117" s="68"/>
      <c r="AFU117" s="68"/>
      <c r="AFV117" s="68"/>
      <c r="AFW117" s="68"/>
      <c r="AFX117" s="68"/>
      <c r="AFY117" s="68"/>
      <c r="AFZ117" s="68"/>
      <c r="AGA117" s="68"/>
      <c r="AGB117" s="68"/>
      <c r="AGC117" s="68"/>
      <c r="AGD117" s="68"/>
      <c r="AGE117" s="68"/>
      <c r="AGF117" s="68"/>
      <c r="AGG117" s="68"/>
      <c r="AGH117" s="68"/>
      <c r="AGI117" s="68"/>
      <c r="AGJ117" s="68"/>
      <c r="AGK117" s="68"/>
      <c r="AGL117" s="68"/>
      <c r="AGM117" s="68"/>
      <c r="AGN117" s="68"/>
      <c r="AGO117" s="68"/>
      <c r="AGP117" s="68"/>
      <c r="AGQ117" s="68"/>
      <c r="AGR117" s="68"/>
      <c r="AGS117" s="68"/>
      <c r="AGT117" s="68"/>
      <c r="AGU117" s="68"/>
      <c r="AGV117" s="68"/>
      <c r="AGW117" s="68"/>
      <c r="AGX117" s="68"/>
      <c r="AGY117" s="68"/>
      <c r="AGZ117" s="68"/>
      <c r="AHA117" s="68"/>
      <c r="AHB117" s="68"/>
      <c r="AHC117" s="68"/>
      <c r="AHD117" s="68"/>
      <c r="AHE117" s="68"/>
      <c r="AHF117" s="68"/>
      <c r="AHG117" s="68"/>
      <c r="AHH117" s="68"/>
      <c r="AHI117" s="68"/>
      <c r="AHJ117" s="68"/>
      <c r="AHK117" s="68"/>
      <c r="AHL117" s="68"/>
      <c r="AHM117" s="68"/>
      <c r="AHN117" s="68"/>
      <c r="AHO117" s="68"/>
      <c r="AHP117" s="68"/>
      <c r="AHQ117" s="68"/>
      <c r="AHR117" s="68"/>
      <c r="AHS117" s="68"/>
      <c r="AHT117" s="68"/>
      <c r="AHU117" s="68"/>
      <c r="AHV117" s="68"/>
      <c r="AHW117" s="68"/>
      <c r="AHX117" s="68"/>
      <c r="AHY117" s="68"/>
      <c r="AHZ117" s="68"/>
      <c r="AIA117" s="68"/>
      <c r="AIB117" s="68"/>
      <c r="AIC117" s="68"/>
      <c r="AID117" s="68"/>
      <c r="AIE117" s="68"/>
      <c r="AIF117" s="68"/>
      <c r="AIG117" s="68"/>
      <c r="AIH117" s="68"/>
      <c r="AII117" s="68"/>
      <c r="AIJ117" s="68"/>
      <c r="AIK117" s="68"/>
      <c r="AIL117" s="68"/>
      <c r="AIM117" s="68"/>
      <c r="AIN117" s="68"/>
      <c r="AIO117" s="68"/>
      <c r="AIP117" s="68"/>
      <c r="AIQ117" s="68"/>
      <c r="AIR117" s="68"/>
      <c r="AIS117" s="68"/>
      <c r="AIT117" s="68"/>
      <c r="AIU117" s="68"/>
      <c r="AIV117" s="68"/>
      <c r="AIW117" s="68"/>
      <c r="AIX117" s="68"/>
      <c r="AIY117" s="68"/>
      <c r="AIZ117" s="68"/>
      <c r="AJA117" s="68"/>
      <c r="AJB117" s="68"/>
      <c r="AJC117" s="68"/>
      <c r="AJD117" s="68"/>
      <c r="AJE117" s="68"/>
      <c r="AJF117" s="68"/>
      <c r="AJG117" s="68"/>
      <c r="AJH117" s="68"/>
      <c r="AJI117" s="68"/>
      <c r="AJJ117" s="68"/>
      <c r="AJK117" s="68"/>
      <c r="AJL117" s="68"/>
      <c r="AJM117" s="68"/>
      <c r="AJN117" s="68"/>
      <c r="AJO117" s="68"/>
      <c r="AJP117" s="68"/>
      <c r="AJQ117" s="68"/>
      <c r="AJR117" s="68"/>
      <c r="AJS117" s="68"/>
      <c r="AJT117" s="68"/>
      <c r="AJU117" s="68"/>
      <c r="AJV117" s="68"/>
      <c r="AJW117" s="68"/>
      <c r="AJX117" s="68"/>
      <c r="AJY117" s="68"/>
      <c r="AJZ117" s="68"/>
      <c r="AKA117" s="68"/>
      <c r="AKB117" s="68"/>
      <c r="AKC117" s="68"/>
      <c r="AKD117" s="68"/>
      <c r="AKE117" s="68"/>
      <c r="AKF117" s="68"/>
      <c r="AKG117" s="68"/>
      <c r="AKH117" s="68"/>
      <c r="AKI117" s="68"/>
      <c r="AKJ117" s="68"/>
      <c r="AKK117" s="68"/>
      <c r="AKL117" s="68"/>
      <c r="AKM117" s="68"/>
      <c r="AKN117" s="68"/>
      <c r="AKO117" s="68"/>
      <c r="AKP117" s="68"/>
      <c r="AKQ117" s="68"/>
      <c r="AKR117" s="68"/>
      <c r="AKS117" s="68"/>
      <c r="AKT117" s="68"/>
      <c r="AKU117" s="68"/>
      <c r="AKV117" s="68"/>
      <c r="AKW117" s="68"/>
      <c r="AKX117" s="68"/>
      <c r="AKY117" s="68"/>
      <c r="AKZ117" s="68"/>
      <c r="ALA117" s="68"/>
      <c r="ALB117" s="68"/>
      <c r="ALC117" s="68"/>
      <c r="ALD117" s="68"/>
      <c r="ALE117" s="68"/>
      <c r="ALF117" s="68"/>
      <c r="ALG117" s="68"/>
      <c r="ALH117" s="68"/>
      <c r="ALI117" s="68"/>
      <c r="ALJ117" s="68"/>
      <c r="ALK117" s="68"/>
      <c r="ALL117" s="68"/>
      <c r="ALM117" s="68"/>
      <c r="ALN117" s="68"/>
      <c r="ALO117" s="68"/>
      <c r="ALP117" s="68"/>
      <c r="ALQ117" s="68"/>
      <c r="ALR117" s="68"/>
      <c r="ALS117" s="68"/>
      <c r="ALT117" s="68"/>
      <c r="ALU117" s="68"/>
      <c r="ALV117" s="68"/>
      <c r="ALW117" s="68"/>
      <c r="ALX117" s="68"/>
      <c r="ALY117" s="68"/>
      <c r="ALZ117" s="68"/>
      <c r="AMA117" s="68"/>
      <c r="AMB117" s="68"/>
      <c r="AMC117" s="68"/>
      <c r="AMD117" s="68"/>
      <c r="AME117" s="68"/>
      <c r="AMF117" s="68"/>
      <c r="AMG117" s="68"/>
      <c r="AMH117" s="68"/>
      <c r="AMI117" s="68"/>
      <c r="AMJ117" s="68"/>
      <c r="AMK117" s="68"/>
      <c r="AML117" s="68"/>
      <c r="AMM117" s="68"/>
      <c r="AMN117" s="68"/>
      <c r="AMO117" s="68"/>
      <c r="AMP117" s="68"/>
      <c r="AMQ117" s="68"/>
      <c r="AMR117" s="68"/>
      <c r="AMS117" s="68"/>
      <c r="AMT117" s="68"/>
      <c r="AMU117" s="68"/>
      <c r="AMV117" s="68"/>
      <c r="AMW117" s="68"/>
      <c r="AMX117" s="68"/>
      <c r="AMY117" s="68"/>
      <c r="AMZ117" s="68"/>
      <c r="ANA117" s="68"/>
      <c r="ANB117" s="68"/>
      <c r="ANC117" s="68"/>
      <c r="AND117" s="68"/>
      <c r="ANE117" s="68"/>
      <c r="ANF117" s="68"/>
      <c r="ANG117" s="68"/>
      <c r="ANH117" s="68"/>
      <c r="ANI117" s="68"/>
      <c r="ANJ117" s="68"/>
      <c r="ANK117" s="68"/>
      <c r="ANL117" s="68"/>
      <c r="ANM117" s="68"/>
      <c r="ANN117" s="68"/>
      <c r="ANO117" s="68"/>
      <c r="ANP117" s="68"/>
      <c r="ANQ117" s="68"/>
      <c r="ANR117" s="68"/>
      <c r="ANS117" s="68"/>
      <c r="ANT117" s="68"/>
      <c r="ANU117" s="68"/>
      <c r="ANV117" s="68"/>
      <c r="ANW117" s="68"/>
      <c r="ANX117" s="68"/>
      <c r="ANY117" s="68"/>
      <c r="ANZ117" s="68"/>
      <c r="AOA117" s="68"/>
      <c r="AOB117" s="68"/>
      <c r="AOC117" s="68"/>
      <c r="AOD117" s="68"/>
      <c r="AOE117" s="68"/>
      <c r="AOF117" s="68"/>
      <c r="AOG117" s="68"/>
      <c r="AOH117" s="68"/>
      <c r="AOI117" s="68"/>
      <c r="AOJ117" s="68"/>
      <c r="AOK117" s="68"/>
      <c r="AOL117" s="68"/>
      <c r="AOM117" s="68"/>
      <c r="AON117" s="68"/>
      <c r="AOO117" s="68"/>
      <c r="AOP117" s="68"/>
      <c r="AOQ117" s="68"/>
      <c r="AOR117" s="68"/>
      <c r="AOS117" s="68"/>
      <c r="AOT117" s="68"/>
      <c r="AOU117" s="68"/>
      <c r="AOV117" s="68"/>
      <c r="AOW117" s="68"/>
      <c r="AOX117" s="68"/>
      <c r="AOY117" s="68"/>
      <c r="AOZ117" s="68"/>
      <c r="APA117" s="68"/>
      <c r="APB117" s="68"/>
      <c r="APC117" s="68"/>
      <c r="APD117" s="68"/>
      <c r="APE117" s="68"/>
      <c r="APF117" s="68"/>
      <c r="APG117" s="68"/>
      <c r="APH117" s="68"/>
      <c r="API117" s="68"/>
      <c r="APJ117" s="68"/>
      <c r="APK117" s="68"/>
      <c r="APL117" s="68"/>
      <c r="APM117" s="68"/>
      <c r="APN117" s="68"/>
      <c r="APO117" s="68"/>
      <c r="APP117" s="68"/>
      <c r="APQ117" s="68"/>
      <c r="APR117" s="68"/>
      <c r="APS117" s="68"/>
      <c r="APT117" s="68"/>
      <c r="APU117" s="68"/>
      <c r="APV117" s="68"/>
      <c r="APW117" s="68"/>
      <c r="APX117" s="68"/>
      <c r="APY117" s="68"/>
      <c r="APZ117" s="68"/>
      <c r="AQA117" s="68"/>
      <c r="AQB117" s="68"/>
      <c r="AQC117" s="68"/>
      <c r="AQD117" s="68"/>
      <c r="AQE117" s="68"/>
      <c r="AQF117" s="68"/>
      <c r="AQG117" s="68"/>
      <c r="AQH117" s="68"/>
      <c r="AQI117" s="68"/>
      <c r="AQJ117" s="68"/>
      <c r="AQK117" s="68"/>
      <c r="AQL117" s="68"/>
      <c r="AQM117" s="68"/>
      <c r="AQN117" s="68"/>
      <c r="AQO117" s="68"/>
      <c r="AQP117" s="68"/>
      <c r="AQQ117" s="68"/>
      <c r="AQR117" s="68"/>
      <c r="AQS117" s="68"/>
      <c r="AQT117" s="68"/>
      <c r="AQU117" s="68"/>
      <c r="AQV117" s="68"/>
      <c r="AQW117" s="68"/>
      <c r="AQX117" s="68"/>
      <c r="AQY117" s="68"/>
      <c r="AQZ117" s="68"/>
      <c r="ARA117" s="68"/>
      <c r="ARB117" s="68"/>
      <c r="ARC117" s="68"/>
      <c r="ARD117" s="68"/>
      <c r="ARE117" s="68"/>
      <c r="ARF117" s="68"/>
      <c r="ARG117" s="68"/>
      <c r="ARH117" s="68"/>
      <c r="ARI117" s="68"/>
      <c r="ARJ117" s="68"/>
      <c r="ARK117" s="68"/>
      <c r="ARL117" s="68"/>
      <c r="ARM117" s="68"/>
      <c r="ARN117" s="68"/>
      <c r="ARO117" s="68"/>
      <c r="ARP117" s="68"/>
      <c r="ARQ117" s="68"/>
      <c r="ARR117" s="68"/>
      <c r="ARS117" s="68"/>
      <c r="ART117" s="68"/>
      <c r="ARU117" s="68"/>
      <c r="ARV117" s="68"/>
      <c r="ARW117" s="68"/>
      <c r="ARX117" s="68"/>
      <c r="ARY117" s="68"/>
      <c r="ARZ117" s="68"/>
      <c r="ASA117" s="68"/>
      <c r="ASB117" s="68"/>
      <c r="ASC117" s="68"/>
      <c r="ASD117" s="68"/>
      <c r="ASE117" s="68"/>
      <c r="ASF117" s="68"/>
      <c r="ASG117" s="68"/>
      <c r="ASH117" s="68"/>
      <c r="ASI117" s="68"/>
      <c r="ASJ117" s="68"/>
      <c r="ASK117" s="68"/>
      <c r="ASL117" s="68"/>
      <c r="ASM117" s="68"/>
      <c r="ASN117" s="68"/>
      <c r="ASO117" s="68"/>
      <c r="ASP117" s="68"/>
      <c r="ASQ117" s="68"/>
      <c r="ASR117" s="68"/>
      <c r="ASS117" s="68"/>
      <c r="AST117" s="68"/>
      <c r="ASU117" s="68"/>
      <c r="ASV117" s="68"/>
      <c r="ASW117" s="68"/>
      <c r="ASX117" s="68"/>
      <c r="ASY117" s="68"/>
      <c r="ASZ117" s="68"/>
      <c r="ATA117" s="68"/>
      <c r="ATB117" s="68"/>
      <c r="ATC117" s="68"/>
      <c r="ATD117" s="68"/>
      <c r="ATE117" s="68"/>
      <c r="ATF117" s="68"/>
      <c r="ATG117" s="68"/>
      <c r="ATH117" s="68"/>
      <c r="ATI117" s="68"/>
      <c r="ATJ117" s="68"/>
      <c r="ATK117" s="68"/>
      <c r="ATL117" s="68"/>
      <c r="ATM117" s="68"/>
      <c r="ATN117" s="68"/>
      <c r="ATO117" s="68"/>
      <c r="ATP117" s="68"/>
      <c r="ATQ117" s="68"/>
      <c r="ATR117" s="68"/>
      <c r="ATS117" s="68"/>
      <c r="ATT117" s="68"/>
      <c r="ATU117" s="68"/>
      <c r="ATV117" s="68"/>
      <c r="ATW117" s="68"/>
      <c r="ATX117" s="68"/>
      <c r="ATY117" s="68"/>
      <c r="ATZ117" s="68"/>
      <c r="AUA117" s="68"/>
      <c r="AUB117" s="68"/>
      <c r="AUC117" s="68"/>
      <c r="AUD117" s="68"/>
      <c r="AUE117" s="68"/>
      <c r="AUF117" s="68"/>
      <c r="AUG117" s="68"/>
      <c r="AUH117" s="68"/>
      <c r="AUI117" s="68"/>
      <c r="AUJ117" s="68"/>
      <c r="AUK117" s="68"/>
      <c r="AUL117" s="68"/>
      <c r="AUM117" s="68"/>
      <c r="AUN117" s="68"/>
      <c r="AUO117" s="68"/>
      <c r="AUP117" s="68"/>
      <c r="AUQ117" s="68"/>
      <c r="AUR117" s="68"/>
      <c r="AUS117" s="68"/>
      <c r="AUT117" s="68"/>
      <c r="AUU117" s="68"/>
      <c r="AUV117" s="68"/>
      <c r="AUW117" s="68"/>
      <c r="AUX117" s="68"/>
      <c r="AUY117" s="68"/>
      <c r="AUZ117" s="68"/>
      <c r="AVA117" s="68"/>
      <c r="AVB117" s="68"/>
      <c r="AVC117" s="68"/>
      <c r="AVD117" s="68"/>
      <c r="AVE117" s="68"/>
      <c r="AVF117" s="68"/>
      <c r="AVG117" s="68"/>
      <c r="AVH117" s="68"/>
      <c r="AVI117" s="68"/>
      <c r="AVJ117" s="68"/>
      <c r="AVK117" s="68"/>
      <c r="AVL117" s="68"/>
      <c r="AVM117" s="68"/>
      <c r="AVN117" s="68"/>
      <c r="AVO117" s="68"/>
      <c r="AVP117" s="68"/>
      <c r="AVQ117" s="68"/>
      <c r="AVR117" s="68"/>
      <c r="AVS117" s="68"/>
      <c r="AVT117" s="68"/>
      <c r="AVU117" s="68"/>
      <c r="AVV117" s="68"/>
      <c r="AVW117" s="68"/>
      <c r="AVX117" s="68"/>
      <c r="AVY117" s="68"/>
      <c r="AVZ117" s="68"/>
      <c r="AWA117" s="68"/>
      <c r="AWB117" s="68"/>
      <c r="AWC117" s="68"/>
      <c r="AWD117" s="68"/>
      <c r="AWE117" s="68"/>
      <c r="AWF117" s="68"/>
      <c r="AWG117" s="68"/>
      <c r="AWH117" s="68"/>
      <c r="AWI117" s="68"/>
      <c r="AWJ117" s="68"/>
      <c r="AWK117" s="68"/>
      <c r="AWL117" s="68"/>
      <c r="AWM117" s="68"/>
      <c r="AWN117" s="68"/>
      <c r="AWO117" s="68"/>
      <c r="AWP117" s="68"/>
      <c r="AWQ117" s="68"/>
      <c r="AWR117" s="68"/>
      <c r="AWS117" s="68"/>
      <c r="AWT117" s="68"/>
      <c r="AWU117" s="68"/>
      <c r="AWV117" s="68"/>
      <c r="AWW117" s="68"/>
      <c r="AWX117" s="68"/>
      <c r="AWY117" s="68"/>
      <c r="AWZ117" s="68"/>
      <c r="AXA117" s="68"/>
      <c r="AXB117" s="68"/>
      <c r="AXC117" s="68"/>
      <c r="AXD117" s="68"/>
      <c r="AXE117" s="68"/>
      <c r="AXF117" s="68"/>
      <c r="AXG117" s="68"/>
      <c r="AXH117" s="68"/>
      <c r="AXI117" s="68"/>
      <c r="AXJ117" s="68"/>
      <c r="AXK117" s="68"/>
      <c r="AXL117" s="68"/>
      <c r="AXM117" s="68"/>
      <c r="AXN117" s="68"/>
      <c r="AXO117" s="68"/>
      <c r="AXP117" s="68"/>
      <c r="AXQ117" s="68"/>
      <c r="AXR117" s="68"/>
      <c r="AXS117" s="68"/>
      <c r="AXT117" s="68"/>
      <c r="AXU117" s="68"/>
      <c r="AXV117" s="68"/>
      <c r="AXW117" s="68"/>
      <c r="AXX117" s="68"/>
      <c r="AXY117" s="68"/>
      <c r="AXZ117" s="68"/>
      <c r="AYA117" s="68"/>
      <c r="AYB117" s="68"/>
      <c r="AYC117" s="68"/>
      <c r="AYD117" s="68"/>
      <c r="AYE117" s="68"/>
      <c r="AYF117" s="68"/>
      <c r="AYG117" s="68"/>
      <c r="AYH117" s="68"/>
      <c r="AYI117" s="68"/>
      <c r="AYJ117" s="68"/>
      <c r="AYK117" s="68"/>
      <c r="AYL117" s="68"/>
      <c r="AYM117" s="68"/>
      <c r="AYN117" s="68"/>
      <c r="AYO117" s="68"/>
      <c r="AYP117" s="68"/>
      <c r="AYQ117" s="68"/>
      <c r="AYR117" s="68"/>
      <c r="AYS117" s="68"/>
      <c r="AYT117" s="68"/>
      <c r="AYU117" s="68"/>
      <c r="AYV117" s="68"/>
      <c r="AYW117" s="68"/>
      <c r="AYX117" s="68"/>
      <c r="AYY117" s="68"/>
      <c r="AYZ117" s="68"/>
      <c r="AZA117" s="68"/>
      <c r="AZB117" s="68"/>
      <c r="AZC117" s="68"/>
      <c r="AZD117" s="68"/>
      <c r="AZE117" s="68"/>
      <c r="AZF117" s="68"/>
      <c r="AZG117" s="68"/>
      <c r="AZH117" s="68"/>
      <c r="AZI117" s="68"/>
      <c r="AZJ117" s="68"/>
      <c r="AZK117" s="68"/>
      <c r="AZL117" s="68"/>
      <c r="AZM117" s="68"/>
      <c r="AZN117" s="68"/>
      <c r="AZO117" s="68"/>
      <c r="AZP117" s="68"/>
      <c r="AZQ117" s="68"/>
      <c r="AZR117" s="68"/>
      <c r="AZS117" s="68"/>
      <c r="AZT117" s="68"/>
      <c r="AZU117" s="68"/>
      <c r="AZV117" s="68"/>
      <c r="AZW117" s="68"/>
      <c r="AZX117" s="68"/>
      <c r="AZY117" s="68"/>
      <c r="AZZ117" s="68"/>
      <c r="BAA117" s="68"/>
      <c r="BAB117" s="68"/>
      <c r="BAC117" s="68"/>
      <c r="BAD117" s="68"/>
      <c r="BAE117" s="68"/>
      <c r="BAF117" s="68"/>
      <c r="BAG117" s="68"/>
      <c r="BAH117" s="68"/>
      <c r="BAI117" s="68"/>
      <c r="BAJ117" s="68"/>
      <c r="BAK117" s="68"/>
      <c r="BAL117" s="68"/>
      <c r="BAM117" s="68"/>
      <c r="BAN117" s="68"/>
      <c r="BAO117" s="68"/>
      <c r="BAP117" s="68"/>
      <c r="BAQ117" s="68"/>
      <c r="BAR117" s="68"/>
      <c r="BAS117" s="68"/>
      <c r="BAT117" s="68"/>
      <c r="BAU117" s="68"/>
      <c r="BAV117" s="68"/>
      <c r="BAW117" s="68"/>
      <c r="BAX117" s="68"/>
      <c r="BAY117" s="68"/>
      <c r="BAZ117" s="68"/>
      <c r="BBA117" s="68"/>
      <c r="BBB117" s="68"/>
      <c r="BBC117" s="68"/>
      <c r="BBD117" s="68"/>
      <c r="BBE117" s="68"/>
      <c r="BBF117" s="68"/>
      <c r="BBG117" s="68"/>
      <c r="BBH117" s="68"/>
      <c r="BBI117" s="68"/>
      <c r="BBJ117" s="68"/>
      <c r="BBK117" s="68"/>
      <c r="BBL117" s="68"/>
      <c r="BBM117" s="68"/>
      <c r="BBN117" s="68"/>
      <c r="BBO117" s="68"/>
      <c r="BBP117" s="68"/>
      <c r="BBQ117" s="68"/>
      <c r="BBR117" s="68"/>
      <c r="BBS117" s="68"/>
      <c r="BBT117" s="68"/>
      <c r="BBU117" s="68"/>
      <c r="BBV117" s="68"/>
      <c r="BBW117" s="68"/>
      <c r="BBX117" s="68"/>
      <c r="BBY117" s="68"/>
      <c r="BBZ117" s="68"/>
      <c r="BCA117" s="68"/>
      <c r="BCB117" s="68"/>
      <c r="BCC117" s="68"/>
      <c r="BCD117" s="68"/>
      <c r="BCE117" s="68"/>
      <c r="BCF117" s="68"/>
      <c r="BCG117" s="68"/>
      <c r="BCH117" s="68"/>
      <c r="BCI117" s="68"/>
      <c r="BCJ117" s="68"/>
      <c r="BCK117" s="68"/>
      <c r="BCL117" s="68"/>
      <c r="BCM117" s="68"/>
      <c r="BCN117" s="68"/>
      <c r="BCO117" s="68"/>
      <c r="BCP117" s="68"/>
      <c r="BCQ117" s="68"/>
      <c r="BCR117" s="68"/>
      <c r="BCS117" s="68"/>
      <c r="BCT117" s="68"/>
      <c r="BCU117" s="68"/>
      <c r="BCV117" s="68"/>
      <c r="BCW117" s="68"/>
      <c r="BCX117" s="68"/>
      <c r="BCY117" s="68"/>
      <c r="BCZ117" s="68"/>
      <c r="BDA117" s="68"/>
    </row>
    <row r="118" spans="1:1457" s="67" customFormat="1" ht="39" customHeight="1" x14ac:dyDescent="0.25">
      <c r="A118" s="49">
        <v>36</v>
      </c>
      <c r="B118" s="71" t="s">
        <v>330</v>
      </c>
      <c r="C118" s="71" t="s">
        <v>331</v>
      </c>
      <c r="D118" s="69" t="s">
        <v>708</v>
      </c>
      <c r="E118" s="71" t="s">
        <v>709</v>
      </c>
      <c r="F118" s="51">
        <v>159976.69</v>
      </c>
      <c r="G118" s="118" t="s">
        <v>332</v>
      </c>
      <c r="H118" s="118"/>
      <c r="I118" s="71" t="s">
        <v>443</v>
      </c>
      <c r="J118" s="71"/>
      <c r="K118" s="69"/>
      <c r="L118" s="69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Q118" s="68"/>
      <c r="BR118" s="68"/>
      <c r="BS118" s="68"/>
      <c r="BT118" s="68"/>
      <c r="BU118" s="68"/>
      <c r="BV118" s="68"/>
      <c r="BW118" s="68"/>
      <c r="BX118" s="68"/>
      <c r="BY118" s="68"/>
      <c r="BZ118" s="68"/>
      <c r="CA118" s="68"/>
      <c r="CB118" s="68"/>
      <c r="CC118" s="68"/>
      <c r="CD118" s="68"/>
      <c r="CE118" s="68"/>
      <c r="CF118" s="68"/>
      <c r="CG118" s="68"/>
      <c r="CH118" s="68"/>
      <c r="CI118" s="68"/>
      <c r="CJ118" s="68"/>
      <c r="CK118" s="68"/>
      <c r="CL118" s="68"/>
      <c r="CM118" s="68"/>
      <c r="CN118" s="68"/>
      <c r="CO118" s="68"/>
      <c r="CP118" s="68"/>
      <c r="CQ118" s="68"/>
      <c r="CR118" s="68"/>
      <c r="CS118" s="68"/>
      <c r="CT118" s="68"/>
      <c r="CU118" s="68"/>
      <c r="CV118" s="68"/>
      <c r="CW118" s="68"/>
      <c r="CX118" s="68"/>
      <c r="CY118" s="68"/>
      <c r="CZ118" s="68"/>
      <c r="DA118" s="68"/>
      <c r="DB118" s="68"/>
      <c r="DC118" s="68"/>
      <c r="DD118" s="68"/>
      <c r="DE118" s="68"/>
      <c r="DF118" s="68"/>
      <c r="DG118" s="68"/>
      <c r="DH118" s="68"/>
      <c r="DI118" s="68"/>
      <c r="DJ118" s="68"/>
      <c r="DK118" s="68"/>
      <c r="DL118" s="68"/>
      <c r="DM118" s="68"/>
      <c r="DN118" s="68"/>
      <c r="DO118" s="68"/>
      <c r="DP118" s="68"/>
      <c r="DQ118" s="68"/>
      <c r="DR118" s="68"/>
      <c r="DS118" s="68"/>
      <c r="DT118" s="68"/>
      <c r="DU118" s="68"/>
      <c r="DV118" s="68"/>
      <c r="DW118" s="68"/>
      <c r="DX118" s="68"/>
      <c r="DY118" s="68"/>
      <c r="DZ118" s="68"/>
      <c r="EA118" s="68"/>
      <c r="EB118" s="68"/>
      <c r="EC118" s="68"/>
      <c r="ED118" s="68"/>
      <c r="EE118" s="68"/>
      <c r="EF118" s="68"/>
      <c r="EG118" s="68"/>
      <c r="EH118" s="68"/>
      <c r="EI118" s="68"/>
      <c r="EJ118" s="68"/>
      <c r="EK118" s="68"/>
      <c r="EL118" s="68"/>
      <c r="EM118" s="68"/>
      <c r="EN118" s="68"/>
      <c r="EO118" s="68"/>
      <c r="EP118" s="68"/>
      <c r="EQ118" s="68"/>
      <c r="ER118" s="68"/>
      <c r="ES118" s="68"/>
      <c r="ET118" s="68"/>
      <c r="EU118" s="68"/>
      <c r="EV118" s="68"/>
      <c r="EW118" s="68"/>
      <c r="EX118" s="68"/>
      <c r="EY118" s="68"/>
      <c r="EZ118" s="68"/>
      <c r="FA118" s="68"/>
      <c r="FB118" s="68"/>
      <c r="FC118" s="68"/>
      <c r="FD118" s="68"/>
      <c r="FE118" s="68"/>
      <c r="FF118" s="68"/>
      <c r="FG118" s="68"/>
      <c r="FH118" s="68"/>
      <c r="FI118" s="68"/>
      <c r="FJ118" s="68"/>
      <c r="FK118" s="68"/>
      <c r="FL118" s="68"/>
      <c r="FM118" s="68"/>
      <c r="FN118" s="68"/>
      <c r="FO118" s="68"/>
      <c r="FP118" s="68"/>
      <c r="FQ118" s="68"/>
      <c r="FR118" s="68"/>
      <c r="FS118" s="68"/>
      <c r="FT118" s="68"/>
      <c r="FU118" s="68"/>
      <c r="FV118" s="68"/>
      <c r="FW118" s="68"/>
      <c r="FX118" s="68"/>
      <c r="FY118" s="68"/>
      <c r="FZ118" s="68"/>
      <c r="GA118" s="68"/>
      <c r="GB118" s="68"/>
      <c r="GC118" s="68"/>
      <c r="GD118" s="68"/>
      <c r="GE118" s="68"/>
      <c r="GF118" s="68"/>
      <c r="GG118" s="68"/>
      <c r="GH118" s="68"/>
      <c r="GI118" s="68"/>
      <c r="GJ118" s="68"/>
      <c r="GK118" s="68"/>
      <c r="GL118" s="68"/>
      <c r="GM118" s="68"/>
      <c r="GN118" s="68"/>
      <c r="GO118" s="68"/>
      <c r="GP118" s="68"/>
      <c r="GQ118" s="68"/>
      <c r="GR118" s="68"/>
      <c r="GS118" s="68"/>
      <c r="GT118" s="68"/>
      <c r="GU118" s="68"/>
      <c r="GV118" s="68"/>
      <c r="GW118" s="68"/>
      <c r="GX118" s="68"/>
      <c r="GY118" s="68"/>
      <c r="GZ118" s="68"/>
      <c r="HA118" s="68"/>
      <c r="HB118" s="68"/>
      <c r="HC118" s="68"/>
      <c r="HD118" s="68"/>
      <c r="HE118" s="68"/>
      <c r="HF118" s="68"/>
      <c r="HG118" s="68"/>
      <c r="HH118" s="68"/>
      <c r="HI118" s="68"/>
      <c r="HJ118" s="68"/>
      <c r="HK118" s="68"/>
      <c r="HL118" s="68"/>
      <c r="HM118" s="68"/>
      <c r="HN118" s="68"/>
      <c r="HO118" s="68"/>
      <c r="HP118" s="68"/>
      <c r="HQ118" s="68"/>
      <c r="HR118" s="68"/>
      <c r="HS118" s="68"/>
      <c r="HT118" s="68"/>
      <c r="HU118" s="68"/>
      <c r="HV118" s="68"/>
      <c r="HW118" s="68"/>
      <c r="HX118" s="68"/>
      <c r="HY118" s="68"/>
      <c r="HZ118" s="68"/>
      <c r="IA118" s="68"/>
      <c r="IB118" s="68"/>
      <c r="IC118" s="68"/>
      <c r="ID118" s="68"/>
      <c r="IE118" s="68"/>
      <c r="IF118" s="68"/>
      <c r="IG118" s="68"/>
      <c r="IH118" s="68"/>
      <c r="II118" s="68"/>
      <c r="IJ118" s="68"/>
      <c r="IK118" s="68"/>
      <c r="IL118" s="68"/>
      <c r="IM118" s="68"/>
      <c r="IN118" s="68"/>
      <c r="IO118" s="68"/>
      <c r="IP118" s="68"/>
      <c r="IQ118" s="68"/>
      <c r="IR118" s="68"/>
      <c r="IS118" s="68"/>
      <c r="IT118" s="68"/>
      <c r="IU118" s="68"/>
      <c r="IV118" s="68"/>
      <c r="IW118" s="68"/>
      <c r="IX118" s="68"/>
      <c r="IY118" s="68"/>
      <c r="IZ118" s="68"/>
      <c r="JA118" s="68"/>
      <c r="JB118" s="68"/>
      <c r="JC118" s="68"/>
      <c r="JD118" s="68"/>
      <c r="JE118" s="68"/>
      <c r="JF118" s="68"/>
      <c r="JG118" s="68"/>
      <c r="JH118" s="68"/>
      <c r="JI118" s="68"/>
      <c r="JJ118" s="68"/>
      <c r="JK118" s="68"/>
      <c r="JL118" s="68"/>
      <c r="JM118" s="68"/>
      <c r="JN118" s="68"/>
      <c r="JO118" s="68"/>
      <c r="JP118" s="68"/>
      <c r="JQ118" s="68"/>
      <c r="JR118" s="68"/>
      <c r="JS118" s="68"/>
      <c r="JT118" s="68"/>
      <c r="JU118" s="68"/>
      <c r="JV118" s="68"/>
      <c r="JW118" s="68"/>
      <c r="JX118" s="68"/>
      <c r="JY118" s="68"/>
      <c r="JZ118" s="68"/>
      <c r="KA118" s="68"/>
      <c r="KB118" s="68"/>
      <c r="KC118" s="68"/>
      <c r="KD118" s="68"/>
      <c r="KE118" s="68"/>
      <c r="KF118" s="68"/>
      <c r="KG118" s="68"/>
      <c r="KH118" s="68"/>
      <c r="KI118" s="68"/>
      <c r="KJ118" s="68"/>
      <c r="KK118" s="68"/>
      <c r="KL118" s="68"/>
      <c r="KM118" s="68"/>
      <c r="KN118" s="68"/>
      <c r="KO118" s="68"/>
      <c r="KP118" s="68"/>
      <c r="KQ118" s="68"/>
      <c r="KR118" s="68"/>
      <c r="KS118" s="68"/>
      <c r="KT118" s="68"/>
      <c r="KU118" s="68"/>
      <c r="KV118" s="68"/>
      <c r="KW118" s="68"/>
      <c r="KX118" s="68"/>
      <c r="KY118" s="68"/>
      <c r="KZ118" s="68"/>
      <c r="LA118" s="68"/>
      <c r="LB118" s="68"/>
      <c r="LC118" s="68"/>
      <c r="LD118" s="68"/>
      <c r="LE118" s="68"/>
      <c r="LF118" s="68"/>
      <c r="LG118" s="68"/>
      <c r="LH118" s="68"/>
      <c r="LI118" s="68"/>
      <c r="LJ118" s="68"/>
      <c r="LK118" s="68"/>
      <c r="LL118" s="68"/>
      <c r="LM118" s="68"/>
      <c r="LN118" s="68"/>
      <c r="LO118" s="68"/>
      <c r="LP118" s="68"/>
      <c r="LQ118" s="68"/>
      <c r="LR118" s="68"/>
      <c r="LS118" s="68"/>
      <c r="LT118" s="68"/>
      <c r="LU118" s="68"/>
      <c r="LV118" s="68"/>
      <c r="LW118" s="68"/>
      <c r="LX118" s="68"/>
      <c r="LY118" s="68"/>
      <c r="LZ118" s="68"/>
      <c r="MA118" s="68"/>
      <c r="MB118" s="68"/>
      <c r="MC118" s="68"/>
      <c r="MD118" s="68"/>
      <c r="ME118" s="68"/>
      <c r="MF118" s="68"/>
      <c r="MG118" s="68"/>
      <c r="MH118" s="68"/>
      <c r="MI118" s="68"/>
      <c r="MJ118" s="68"/>
      <c r="MK118" s="68"/>
      <c r="ML118" s="68"/>
      <c r="MM118" s="68"/>
      <c r="MN118" s="68"/>
      <c r="MO118" s="68"/>
      <c r="MP118" s="68"/>
      <c r="MQ118" s="68"/>
      <c r="MR118" s="68"/>
      <c r="MS118" s="68"/>
      <c r="MT118" s="68"/>
      <c r="MU118" s="68"/>
      <c r="MV118" s="68"/>
      <c r="MW118" s="68"/>
      <c r="MX118" s="68"/>
      <c r="MY118" s="68"/>
      <c r="MZ118" s="68"/>
      <c r="NA118" s="68"/>
      <c r="NB118" s="68"/>
      <c r="NC118" s="68"/>
      <c r="ND118" s="68"/>
      <c r="NE118" s="68"/>
      <c r="NF118" s="68"/>
      <c r="NG118" s="68"/>
      <c r="NH118" s="68"/>
      <c r="NI118" s="68"/>
      <c r="NJ118" s="68"/>
      <c r="NK118" s="68"/>
      <c r="NL118" s="68"/>
      <c r="NM118" s="68"/>
      <c r="NN118" s="68"/>
      <c r="NO118" s="68"/>
      <c r="NP118" s="68"/>
      <c r="NQ118" s="68"/>
      <c r="NR118" s="68"/>
      <c r="NS118" s="68"/>
      <c r="NT118" s="68"/>
      <c r="NU118" s="68"/>
      <c r="NV118" s="68"/>
      <c r="NW118" s="68"/>
      <c r="NX118" s="68"/>
      <c r="NY118" s="68"/>
      <c r="NZ118" s="68"/>
      <c r="OA118" s="68"/>
      <c r="OB118" s="68"/>
      <c r="OC118" s="68"/>
      <c r="OD118" s="68"/>
      <c r="OE118" s="68"/>
      <c r="OF118" s="68"/>
      <c r="OG118" s="68"/>
      <c r="OH118" s="68"/>
      <c r="OI118" s="68"/>
      <c r="OJ118" s="68"/>
      <c r="OK118" s="68"/>
      <c r="OL118" s="68"/>
      <c r="OM118" s="68"/>
      <c r="ON118" s="68"/>
      <c r="OO118" s="68"/>
      <c r="OP118" s="68"/>
      <c r="OQ118" s="68"/>
      <c r="OR118" s="68"/>
      <c r="OS118" s="68"/>
      <c r="OT118" s="68"/>
      <c r="OU118" s="68"/>
      <c r="OV118" s="68"/>
      <c r="OW118" s="68"/>
      <c r="OX118" s="68"/>
      <c r="OY118" s="68"/>
      <c r="OZ118" s="68"/>
      <c r="PA118" s="68"/>
      <c r="PB118" s="68"/>
      <c r="PC118" s="68"/>
      <c r="PD118" s="68"/>
      <c r="PE118" s="68"/>
      <c r="PF118" s="68"/>
      <c r="PG118" s="68"/>
      <c r="PH118" s="68"/>
      <c r="PI118" s="68"/>
      <c r="PJ118" s="68"/>
      <c r="PK118" s="68"/>
      <c r="PL118" s="68"/>
      <c r="PM118" s="68"/>
      <c r="PN118" s="68"/>
      <c r="PO118" s="68"/>
      <c r="PP118" s="68"/>
      <c r="PQ118" s="68"/>
      <c r="PR118" s="68"/>
      <c r="PS118" s="68"/>
      <c r="PT118" s="68"/>
      <c r="PU118" s="68"/>
      <c r="PV118" s="68"/>
      <c r="PW118" s="68"/>
      <c r="PX118" s="68"/>
      <c r="PY118" s="68"/>
      <c r="PZ118" s="68"/>
      <c r="QA118" s="68"/>
      <c r="QB118" s="68"/>
      <c r="QC118" s="68"/>
      <c r="QD118" s="68"/>
      <c r="QE118" s="68"/>
      <c r="QF118" s="68"/>
      <c r="QG118" s="68"/>
      <c r="QH118" s="68"/>
      <c r="QI118" s="68"/>
      <c r="QJ118" s="68"/>
      <c r="QK118" s="68"/>
      <c r="QL118" s="68"/>
      <c r="QM118" s="68"/>
      <c r="QN118" s="68"/>
      <c r="QO118" s="68"/>
      <c r="QP118" s="68"/>
      <c r="QQ118" s="68"/>
      <c r="QR118" s="68"/>
      <c r="QS118" s="68"/>
      <c r="QT118" s="68"/>
      <c r="QU118" s="68"/>
      <c r="QV118" s="68"/>
      <c r="QW118" s="68"/>
      <c r="QX118" s="68"/>
      <c r="QY118" s="68"/>
      <c r="QZ118" s="68"/>
      <c r="RA118" s="68"/>
      <c r="RB118" s="68"/>
      <c r="RC118" s="68"/>
      <c r="RD118" s="68"/>
      <c r="RE118" s="68"/>
      <c r="RF118" s="68"/>
      <c r="RG118" s="68"/>
      <c r="RH118" s="68"/>
      <c r="RI118" s="68"/>
      <c r="RJ118" s="68"/>
      <c r="RK118" s="68"/>
      <c r="RL118" s="68"/>
      <c r="RM118" s="68"/>
      <c r="RN118" s="68"/>
      <c r="RO118" s="68"/>
      <c r="RP118" s="68"/>
      <c r="RQ118" s="68"/>
      <c r="RR118" s="68"/>
      <c r="RS118" s="68"/>
      <c r="RT118" s="68"/>
      <c r="RU118" s="68"/>
      <c r="RV118" s="68"/>
      <c r="RW118" s="68"/>
      <c r="RX118" s="68"/>
      <c r="RY118" s="68"/>
      <c r="RZ118" s="68"/>
      <c r="SA118" s="68"/>
      <c r="SB118" s="68"/>
      <c r="SC118" s="68"/>
      <c r="SD118" s="68"/>
      <c r="SE118" s="68"/>
      <c r="SF118" s="68"/>
      <c r="SG118" s="68"/>
      <c r="SH118" s="68"/>
      <c r="SI118" s="68"/>
      <c r="SJ118" s="68"/>
      <c r="SK118" s="68"/>
      <c r="SL118" s="68"/>
      <c r="SM118" s="68"/>
      <c r="SN118" s="68"/>
      <c r="SO118" s="68"/>
      <c r="SP118" s="68"/>
      <c r="SQ118" s="68"/>
      <c r="SR118" s="68"/>
      <c r="SS118" s="68"/>
      <c r="ST118" s="68"/>
      <c r="SU118" s="68"/>
      <c r="SV118" s="68"/>
      <c r="SW118" s="68"/>
      <c r="SX118" s="68"/>
      <c r="SY118" s="68"/>
      <c r="SZ118" s="68"/>
      <c r="TA118" s="68"/>
      <c r="TB118" s="68"/>
      <c r="TC118" s="68"/>
      <c r="TD118" s="68"/>
      <c r="TE118" s="68"/>
      <c r="TF118" s="68"/>
      <c r="TG118" s="68"/>
      <c r="TH118" s="68"/>
      <c r="TI118" s="68"/>
      <c r="TJ118" s="68"/>
      <c r="TK118" s="68"/>
      <c r="TL118" s="68"/>
      <c r="TM118" s="68"/>
      <c r="TN118" s="68"/>
      <c r="TO118" s="68"/>
      <c r="TP118" s="68"/>
      <c r="TQ118" s="68"/>
      <c r="TR118" s="68"/>
      <c r="TS118" s="68"/>
      <c r="TT118" s="68"/>
      <c r="TU118" s="68"/>
      <c r="TV118" s="68"/>
      <c r="TW118" s="68"/>
      <c r="TX118" s="68"/>
      <c r="TY118" s="68"/>
      <c r="TZ118" s="68"/>
      <c r="UA118" s="68"/>
      <c r="UB118" s="68"/>
      <c r="UC118" s="68"/>
      <c r="UD118" s="68"/>
      <c r="UE118" s="68"/>
      <c r="UF118" s="68"/>
      <c r="UG118" s="68"/>
      <c r="UH118" s="68"/>
      <c r="UI118" s="68"/>
      <c r="UJ118" s="68"/>
      <c r="UK118" s="68"/>
      <c r="UL118" s="68"/>
      <c r="UM118" s="68"/>
      <c r="UN118" s="68"/>
      <c r="UO118" s="68"/>
      <c r="UP118" s="68"/>
      <c r="UQ118" s="68"/>
      <c r="UR118" s="68"/>
      <c r="US118" s="68"/>
      <c r="UT118" s="68"/>
      <c r="UU118" s="68"/>
      <c r="UV118" s="68"/>
      <c r="UW118" s="68"/>
      <c r="UX118" s="68"/>
      <c r="UY118" s="68"/>
      <c r="UZ118" s="68"/>
      <c r="VA118" s="68"/>
      <c r="VB118" s="68"/>
      <c r="VC118" s="68"/>
      <c r="VD118" s="68"/>
      <c r="VE118" s="68"/>
      <c r="VF118" s="68"/>
      <c r="VG118" s="68"/>
      <c r="VH118" s="68"/>
      <c r="VI118" s="68"/>
      <c r="VJ118" s="68"/>
      <c r="VK118" s="68"/>
      <c r="VL118" s="68"/>
      <c r="VM118" s="68"/>
      <c r="VN118" s="68"/>
      <c r="VO118" s="68"/>
      <c r="VP118" s="68"/>
      <c r="VQ118" s="68"/>
      <c r="VR118" s="68"/>
      <c r="VS118" s="68"/>
      <c r="VT118" s="68"/>
      <c r="VU118" s="68"/>
      <c r="VV118" s="68"/>
      <c r="VW118" s="68"/>
      <c r="VX118" s="68"/>
      <c r="VY118" s="68"/>
      <c r="VZ118" s="68"/>
      <c r="WA118" s="68"/>
      <c r="WB118" s="68"/>
      <c r="WC118" s="68"/>
      <c r="WD118" s="68"/>
      <c r="WE118" s="68"/>
      <c r="WF118" s="68"/>
      <c r="WG118" s="68"/>
      <c r="WH118" s="68"/>
      <c r="WI118" s="68"/>
      <c r="WJ118" s="68"/>
      <c r="WK118" s="68"/>
      <c r="WL118" s="68"/>
      <c r="WM118" s="68"/>
      <c r="WN118" s="68"/>
      <c r="WO118" s="68"/>
      <c r="WP118" s="68"/>
      <c r="WQ118" s="68"/>
      <c r="WR118" s="68"/>
      <c r="WS118" s="68"/>
      <c r="WT118" s="68"/>
      <c r="WU118" s="68"/>
      <c r="WV118" s="68"/>
      <c r="WW118" s="68"/>
      <c r="WX118" s="68"/>
      <c r="WY118" s="68"/>
      <c r="WZ118" s="68"/>
      <c r="XA118" s="68"/>
      <c r="XB118" s="68"/>
      <c r="XC118" s="68"/>
      <c r="XD118" s="68"/>
      <c r="XE118" s="68"/>
      <c r="XF118" s="68"/>
      <c r="XG118" s="68"/>
      <c r="XH118" s="68"/>
      <c r="XI118" s="68"/>
      <c r="XJ118" s="68"/>
      <c r="XK118" s="68"/>
      <c r="XL118" s="68"/>
      <c r="XM118" s="68"/>
      <c r="XN118" s="68"/>
      <c r="XO118" s="68"/>
      <c r="XP118" s="68"/>
      <c r="XQ118" s="68"/>
      <c r="XR118" s="68"/>
      <c r="XS118" s="68"/>
      <c r="XT118" s="68"/>
      <c r="XU118" s="68"/>
      <c r="XV118" s="68"/>
      <c r="XW118" s="68"/>
      <c r="XX118" s="68"/>
      <c r="XY118" s="68"/>
      <c r="XZ118" s="68"/>
      <c r="YA118" s="68"/>
      <c r="YB118" s="68"/>
      <c r="YC118" s="68"/>
      <c r="YD118" s="68"/>
      <c r="YE118" s="68"/>
      <c r="YF118" s="68"/>
      <c r="YG118" s="68"/>
      <c r="YH118" s="68"/>
      <c r="YI118" s="68"/>
      <c r="YJ118" s="68"/>
      <c r="YK118" s="68"/>
      <c r="YL118" s="68"/>
      <c r="YM118" s="68"/>
      <c r="YN118" s="68"/>
      <c r="YO118" s="68"/>
      <c r="YP118" s="68"/>
      <c r="YQ118" s="68"/>
      <c r="YR118" s="68"/>
      <c r="YS118" s="68"/>
      <c r="YT118" s="68"/>
      <c r="YU118" s="68"/>
      <c r="YV118" s="68"/>
      <c r="YW118" s="68"/>
      <c r="YX118" s="68"/>
      <c r="YY118" s="68"/>
      <c r="YZ118" s="68"/>
      <c r="ZA118" s="68"/>
      <c r="ZB118" s="68"/>
      <c r="ZC118" s="68"/>
      <c r="ZD118" s="68"/>
      <c r="ZE118" s="68"/>
      <c r="ZF118" s="68"/>
      <c r="ZG118" s="68"/>
      <c r="ZH118" s="68"/>
      <c r="ZI118" s="68"/>
      <c r="ZJ118" s="68"/>
      <c r="ZK118" s="68"/>
      <c r="ZL118" s="68"/>
      <c r="ZM118" s="68"/>
      <c r="ZN118" s="68"/>
      <c r="ZO118" s="68"/>
      <c r="ZP118" s="68"/>
      <c r="ZQ118" s="68"/>
      <c r="ZR118" s="68"/>
      <c r="ZS118" s="68"/>
      <c r="ZT118" s="68"/>
      <c r="ZU118" s="68"/>
      <c r="ZV118" s="68"/>
      <c r="ZW118" s="68"/>
      <c r="ZX118" s="68"/>
      <c r="ZY118" s="68"/>
      <c r="ZZ118" s="68"/>
      <c r="AAA118" s="68"/>
      <c r="AAB118" s="68"/>
      <c r="AAC118" s="68"/>
      <c r="AAD118" s="68"/>
      <c r="AAE118" s="68"/>
      <c r="AAF118" s="68"/>
      <c r="AAG118" s="68"/>
      <c r="AAH118" s="68"/>
      <c r="AAI118" s="68"/>
      <c r="AAJ118" s="68"/>
      <c r="AAK118" s="68"/>
      <c r="AAL118" s="68"/>
      <c r="AAM118" s="68"/>
      <c r="AAN118" s="68"/>
      <c r="AAO118" s="68"/>
      <c r="AAP118" s="68"/>
      <c r="AAQ118" s="68"/>
      <c r="AAR118" s="68"/>
      <c r="AAS118" s="68"/>
      <c r="AAT118" s="68"/>
      <c r="AAU118" s="68"/>
      <c r="AAV118" s="68"/>
      <c r="AAW118" s="68"/>
      <c r="AAX118" s="68"/>
      <c r="AAY118" s="68"/>
      <c r="AAZ118" s="68"/>
      <c r="ABA118" s="68"/>
      <c r="ABB118" s="68"/>
      <c r="ABC118" s="68"/>
      <c r="ABD118" s="68"/>
      <c r="ABE118" s="68"/>
      <c r="ABF118" s="68"/>
      <c r="ABG118" s="68"/>
      <c r="ABH118" s="68"/>
      <c r="ABI118" s="68"/>
      <c r="ABJ118" s="68"/>
      <c r="ABK118" s="68"/>
      <c r="ABL118" s="68"/>
      <c r="ABM118" s="68"/>
      <c r="ABN118" s="68"/>
      <c r="ABO118" s="68"/>
      <c r="ABP118" s="68"/>
      <c r="ABQ118" s="68"/>
      <c r="ABR118" s="68"/>
      <c r="ABS118" s="68"/>
      <c r="ABT118" s="68"/>
      <c r="ABU118" s="68"/>
      <c r="ABV118" s="68"/>
      <c r="ABW118" s="68"/>
      <c r="ABX118" s="68"/>
      <c r="ABY118" s="68"/>
      <c r="ABZ118" s="68"/>
      <c r="ACA118" s="68"/>
      <c r="ACB118" s="68"/>
      <c r="ACC118" s="68"/>
      <c r="ACD118" s="68"/>
      <c r="ACE118" s="68"/>
      <c r="ACF118" s="68"/>
      <c r="ACG118" s="68"/>
      <c r="ACH118" s="68"/>
      <c r="ACI118" s="68"/>
      <c r="ACJ118" s="68"/>
      <c r="ACK118" s="68"/>
      <c r="ACL118" s="68"/>
      <c r="ACM118" s="68"/>
      <c r="ACN118" s="68"/>
      <c r="ACO118" s="68"/>
      <c r="ACP118" s="68"/>
      <c r="ACQ118" s="68"/>
      <c r="ACR118" s="68"/>
      <c r="ACS118" s="68"/>
      <c r="ACT118" s="68"/>
      <c r="ACU118" s="68"/>
      <c r="ACV118" s="68"/>
      <c r="ACW118" s="68"/>
      <c r="ACX118" s="68"/>
      <c r="ACY118" s="68"/>
      <c r="ACZ118" s="68"/>
      <c r="ADA118" s="68"/>
      <c r="ADB118" s="68"/>
      <c r="ADC118" s="68"/>
      <c r="ADD118" s="68"/>
      <c r="ADE118" s="68"/>
      <c r="ADF118" s="68"/>
      <c r="ADG118" s="68"/>
      <c r="ADH118" s="68"/>
      <c r="ADI118" s="68"/>
      <c r="ADJ118" s="68"/>
      <c r="ADK118" s="68"/>
      <c r="ADL118" s="68"/>
      <c r="ADM118" s="68"/>
      <c r="ADN118" s="68"/>
      <c r="ADO118" s="68"/>
      <c r="ADP118" s="68"/>
      <c r="ADQ118" s="68"/>
      <c r="ADR118" s="68"/>
      <c r="ADS118" s="68"/>
      <c r="ADT118" s="68"/>
      <c r="ADU118" s="68"/>
      <c r="ADV118" s="68"/>
      <c r="ADW118" s="68"/>
      <c r="ADX118" s="68"/>
      <c r="ADY118" s="68"/>
      <c r="ADZ118" s="68"/>
      <c r="AEA118" s="68"/>
      <c r="AEB118" s="68"/>
      <c r="AEC118" s="68"/>
      <c r="AED118" s="68"/>
      <c r="AEE118" s="68"/>
      <c r="AEF118" s="68"/>
      <c r="AEG118" s="68"/>
      <c r="AEH118" s="68"/>
      <c r="AEI118" s="68"/>
      <c r="AEJ118" s="68"/>
      <c r="AEK118" s="68"/>
      <c r="AEL118" s="68"/>
      <c r="AEM118" s="68"/>
      <c r="AEN118" s="68"/>
      <c r="AEO118" s="68"/>
      <c r="AEP118" s="68"/>
      <c r="AEQ118" s="68"/>
      <c r="AER118" s="68"/>
      <c r="AES118" s="68"/>
      <c r="AET118" s="68"/>
      <c r="AEU118" s="68"/>
      <c r="AEV118" s="68"/>
      <c r="AEW118" s="68"/>
      <c r="AEX118" s="68"/>
      <c r="AEY118" s="68"/>
      <c r="AEZ118" s="68"/>
      <c r="AFA118" s="68"/>
      <c r="AFB118" s="68"/>
      <c r="AFC118" s="68"/>
      <c r="AFD118" s="68"/>
      <c r="AFE118" s="68"/>
      <c r="AFF118" s="68"/>
      <c r="AFG118" s="68"/>
      <c r="AFH118" s="68"/>
      <c r="AFI118" s="68"/>
      <c r="AFJ118" s="68"/>
      <c r="AFK118" s="68"/>
      <c r="AFL118" s="68"/>
      <c r="AFM118" s="68"/>
      <c r="AFN118" s="68"/>
      <c r="AFO118" s="68"/>
      <c r="AFP118" s="68"/>
      <c r="AFQ118" s="68"/>
      <c r="AFR118" s="68"/>
      <c r="AFS118" s="68"/>
      <c r="AFT118" s="68"/>
      <c r="AFU118" s="68"/>
      <c r="AFV118" s="68"/>
      <c r="AFW118" s="68"/>
      <c r="AFX118" s="68"/>
      <c r="AFY118" s="68"/>
      <c r="AFZ118" s="68"/>
      <c r="AGA118" s="68"/>
      <c r="AGB118" s="68"/>
      <c r="AGC118" s="68"/>
      <c r="AGD118" s="68"/>
      <c r="AGE118" s="68"/>
      <c r="AGF118" s="68"/>
      <c r="AGG118" s="68"/>
      <c r="AGH118" s="68"/>
      <c r="AGI118" s="68"/>
      <c r="AGJ118" s="68"/>
      <c r="AGK118" s="68"/>
      <c r="AGL118" s="68"/>
      <c r="AGM118" s="68"/>
      <c r="AGN118" s="68"/>
      <c r="AGO118" s="68"/>
      <c r="AGP118" s="68"/>
      <c r="AGQ118" s="68"/>
      <c r="AGR118" s="68"/>
      <c r="AGS118" s="68"/>
      <c r="AGT118" s="68"/>
      <c r="AGU118" s="68"/>
      <c r="AGV118" s="68"/>
      <c r="AGW118" s="68"/>
      <c r="AGX118" s="68"/>
      <c r="AGY118" s="68"/>
      <c r="AGZ118" s="68"/>
      <c r="AHA118" s="68"/>
      <c r="AHB118" s="68"/>
      <c r="AHC118" s="68"/>
      <c r="AHD118" s="68"/>
      <c r="AHE118" s="68"/>
      <c r="AHF118" s="68"/>
      <c r="AHG118" s="68"/>
      <c r="AHH118" s="68"/>
      <c r="AHI118" s="68"/>
      <c r="AHJ118" s="68"/>
      <c r="AHK118" s="68"/>
      <c r="AHL118" s="68"/>
      <c r="AHM118" s="68"/>
      <c r="AHN118" s="68"/>
      <c r="AHO118" s="68"/>
      <c r="AHP118" s="68"/>
      <c r="AHQ118" s="68"/>
      <c r="AHR118" s="68"/>
      <c r="AHS118" s="68"/>
      <c r="AHT118" s="68"/>
      <c r="AHU118" s="68"/>
      <c r="AHV118" s="68"/>
      <c r="AHW118" s="68"/>
      <c r="AHX118" s="68"/>
      <c r="AHY118" s="68"/>
      <c r="AHZ118" s="68"/>
      <c r="AIA118" s="68"/>
      <c r="AIB118" s="68"/>
      <c r="AIC118" s="68"/>
      <c r="AID118" s="68"/>
      <c r="AIE118" s="68"/>
      <c r="AIF118" s="68"/>
      <c r="AIG118" s="68"/>
      <c r="AIH118" s="68"/>
      <c r="AII118" s="68"/>
      <c r="AIJ118" s="68"/>
      <c r="AIK118" s="68"/>
      <c r="AIL118" s="68"/>
      <c r="AIM118" s="68"/>
      <c r="AIN118" s="68"/>
      <c r="AIO118" s="68"/>
      <c r="AIP118" s="68"/>
      <c r="AIQ118" s="68"/>
      <c r="AIR118" s="68"/>
      <c r="AIS118" s="68"/>
      <c r="AIT118" s="68"/>
      <c r="AIU118" s="68"/>
      <c r="AIV118" s="68"/>
      <c r="AIW118" s="68"/>
      <c r="AIX118" s="68"/>
      <c r="AIY118" s="68"/>
      <c r="AIZ118" s="68"/>
      <c r="AJA118" s="68"/>
      <c r="AJB118" s="68"/>
      <c r="AJC118" s="68"/>
      <c r="AJD118" s="68"/>
      <c r="AJE118" s="68"/>
      <c r="AJF118" s="68"/>
      <c r="AJG118" s="68"/>
      <c r="AJH118" s="68"/>
      <c r="AJI118" s="68"/>
      <c r="AJJ118" s="68"/>
      <c r="AJK118" s="68"/>
      <c r="AJL118" s="68"/>
      <c r="AJM118" s="68"/>
      <c r="AJN118" s="68"/>
      <c r="AJO118" s="68"/>
      <c r="AJP118" s="68"/>
      <c r="AJQ118" s="68"/>
      <c r="AJR118" s="68"/>
      <c r="AJS118" s="68"/>
      <c r="AJT118" s="68"/>
      <c r="AJU118" s="68"/>
      <c r="AJV118" s="68"/>
      <c r="AJW118" s="68"/>
      <c r="AJX118" s="68"/>
      <c r="AJY118" s="68"/>
      <c r="AJZ118" s="68"/>
      <c r="AKA118" s="68"/>
      <c r="AKB118" s="68"/>
      <c r="AKC118" s="68"/>
      <c r="AKD118" s="68"/>
      <c r="AKE118" s="68"/>
      <c r="AKF118" s="68"/>
      <c r="AKG118" s="68"/>
      <c r="AKH118" s="68"/>
      <c r="AKI118" s="68"/>
      <c r="AKJ118" s="68"/>
      <c r="AKK118" s="68"/>
      <c r="AKL118" s="68"/>
      <c r="AKM118" s="68"/>
      <c r="AKN118" s="68"/>
      <c r="AKO118" s="68"/>
      <c r="AKP118" s="68"/>
      <c r="AKQ118" s="68"/>
      <c r="AKR118" s="68"/>
      <c r="AKS118" s="68"/>
      <c r="AKT118" s="68"/>
      <c r="AKU118" s="68"/>
      <c r="AKV118" s="68"/>
      <c r="AKW118" s="68"/>
      <c r="AKX118" s="68"/>
      <c r="AKY118" s="68"/>
      <c r="AKZ118" s="68"/>
      <c r="ALA118" s="68"/>
      <c r="ALB118" s="68"/>
      <c r="ALC118" s="68"/>
      <c r="ALD118" s="68"/>
      <c r="ALE118" s="68"/>
      <c r="ALF118" s="68"/>
      <c r="ALG118" s="68"/>
      <c r="ALH118" s="68"/>
      <c r="ALI118" s="68"/>
      <c r="ALJ118" s="68"/>
      <c r="ALK118" s="68"/>
      <c r="ALL118" s="68"/>
      <c r="ALM118" s="68"/>
      <c r="ALN118" s="68"/>
      <c r="ALO118" s="68"/>
      <c r="ALP118" s="68"/>
      <c r="ALQ118" s="68"/>
      <c r="ALR118" s="68"/>
      <c r="ALS118" s="68"/>
      <c r="ALT118" s="68"/>
      <c r="ALU118" s="68"/>
      <c r="ALV118" s="68"/>
      <c r="ALW118" s="68"/>
      <c r="ALX118" s="68"/>
      <c r="ALY118" s="68"/>
      <c r="ALZ118" s="68"/>
      <c r="AMA118" s="68"/>
      <c r="AMB118" s="68"/>
      <c r="AMC118" s="68"/>
      <c r="AMD118" s="68"/>
      <c r="AME118" s="68"/>
      <c r="AMF118" s="68"/>
      <c r="AMG118" s="68"/>
      <c r="AMH118" s="68"/>
      <c r="AMI118" s="68"/>
      <c r="AMJ118" s="68"/>
      <c r="AMK118" s="68"/>
      <c r="AML118" s="68"/>
      <c r="AMM118" s="68"/>
      <c r="AMN118" s="68"/>
      <c r="AMO118" s="68"/>
      <c r="AMP118" s="68"/>
      <c r="AMQ118" s="68"/>
      <c r="AMR118" s="68"/>
      <c r="AMS118" s="68"/>
      <c r="AMT118" s="68"/>
      <c r="AMU118" s="68"/>
      <c r="AMV118" s="68"/>
      <c r="AMW118" s="68"/>
      <c r="AMX118" s="68"/>
      <c r="AMY118" s="68"/>
      <c r="AMZ118" s="68"/>
      <c r="ANA118" s="68"/>
      <c r="ANB118" s="68"/>
      <c r="ANC118" s="68"/>
      <c r="AND118" s="68"/>
      <c r="ANE118" s="68"/>
      <c r="ANF118" s="68"/>
      <c r="ANG118" s="68"/>
      <c r="ANH118" s="68"/>
      <c r="ANI118" s="68"/>
      <c r="ANJ118" s="68"/>
      <c r="ANK118" s="68"/>
      <c r="ANL118" s="68"/>
      <c r="ANM118" s="68"/>
      <c r="ANN118" s="68"/>
      <c r="ANO118" s="68"/>
      <c r="ANP118" s="68"/>
      <c r="ANQ118" s="68"/>
      <c r="ANR118" s="68"/>
      <c r="ANS118" s="68"/>
      <c r="ANT118" s="68"/>
      <c r="ANU118" s="68"/>
      <c r="ANV118" s="68"/>
      <c r="ANW118" s="68"/>
      <c r="ANX118" s="68"/>
      <c r="ANY118" s="68"/>
      <c r="ANZ118" s="68"/>
      <c r="AOA118" s="68"/>
      <c r="AOB118" s="68"/>
      <c r="AOC118" s="68"/>
      <c r="AOD118" s="68"/>
      <c r="AOE118" s="68"/>
      <c r="AOF118" s="68"/>
      <c r="AOG118" s="68"/>
      <c r="AOH118" s="68"/>
      <c r="AOI118" s="68"/>
      <c r="AOJ118" s="68"/>
      <c r="AOK118" s="68"/>
      <c r="AOL118" s="68"/>
      <c r="AOM118" s="68"/>
      <c r="AON118" s="68"/>
      <c r="AOO118" s="68"/>
      <c r="AOP118" s="68"/>
      <c r="AOQ118" s="68"/>
      <c r="AOR118" s="68"/>
      <c r="AOS118" s="68"/>
      <c r="AOT118" s="68"/>
      <c r="AOU118" s="68"/>
      <c r="AOV118" s="68"/>
      <c r="AOW118" s="68"/>
      <c r="AOX118" s="68"/>
      <c r="AOY118" s="68"/>
      <c r="AOZ118" s="68"/>
      <c r="APA118" s="68"/>
      <c r="APB118" s="68"/>
      <c r="APC118" s="68"/>
      <c r="APD118" s="68"/>
      <c r="APE118" s="68"/>
      <c r="APF118" s="68"/>
      <c r="APG118" s="68"/>
      <c r="APH118" s="68"/>
      <c r="API118" s="68"/>
      <c r="APJ118" s="68"/>
      <c r="APK118" s="68"/>
      <c r="APL118" s="68"/>
      <c r="APM118" s="68"/>
      <c r="APN118" s="68"/>
      <c r="APO118" s="68"/>
      <c r="APP118" s="68"/>
      <c r="APQ118" s="68"/>
      <c r="APR118" s="68"/>
      <c r="APS118" s="68"/>
      <c r="APT118" s="68"/>
      <c r="APU118" s="68"/>
      <c r="APV118" s="68"/>
      <c r="APW118" s="68"/>
      <c r="APX118" s="68"/>
      <c r="APY118" s="68"/>
      <c r="APZ118" s="68"/>
      <c r="AQA118" s="68"/>
      <c r="AQB118" s="68"/>
      <c r="AQC118" s="68"/>
      <c r="AQD118" s="68"/>
      <c r="AQE118" s="68"/>
      <c r="AQF118" s="68"/>
      <c r="AQG118" s="68"/>
      <c r="AQH118" s="68"/>
      <c r="AQI118" s="68"/>
      <c r="AQJ118" s="68"/>
      <c r="AQK118" s="68"/>
      <c r="AQL118" s="68"/>
      <c r="AQM118" s="68"/>
      <c r="AQN118" s="68"/>
      <c r="AQO118" s="68"/>
      <c r="AQP118" s="68"/>
      <c r="AQQ118" s="68"/>
      <c r="AQR118" s="68"/>
      <c r="AQS118" s="68"/>
      <c r="AQT118" s="68"/>
      <c r="AQU118" s="68"/>
      <c r="AQV118" s="68"/>
      <c r="AQW118" s="68"/>
      <c r="AQX118" s="68"/>
      <c r="AQY118" s="68"/>
      <c r="AQZ118" s="68"/>
      <c r="ARA118" s="68"/>
      <c r="ARB118" s="68"/>
      <c r="ARC118" s="68"/>
      <c r="ARD118" s="68"/>
      <c r="ARE118" s="68"/>
      <c r="ARF118" s="68"/>
      <c r="ARG118" s="68"/>
      <c r="ARH118" s="68"/>
      <c r="ARI118" s="68"/>
      <c r="ARJ118" s="68"/>
      <c r="ARK118" s="68"/>
      <c r="ARL118" s="68"/>
      <c r="ARM118" s="68"/>
      <c r="ARN118" s="68"/>
      <c r="ARO118" s="68"/>
      <c r="ARP118" s="68"/>
      <c r="ARQ118" s="68"/>
      <c r="ARR118" s="68"/>
      <c r="ARS118" s="68"/>
      <c r="ART118" s="68"/>
      <c r="ARU118" s="68"/>
      <c r="ARV118" s="68"/>
      <c r="ARW118" s="68"/>
      <c r="ARX118" s="68"/>
      <c r="ARY118" s="68"/>
      <c r="ARZ118" s="68"/>
      <c r="ASA118" s="68"/>
      <c r="ASB118" s="68"/>
      <c r="ASC118" s="68"/>
      <c r="ASD118" s="68"/>
      <c r="ASE118" s="68"/>
      <c r="ASF118" s="68"/>
      <c r="ASG118" s="68"/>
      <c r="ASH118" s="68"/>
      <c r="ASI118" s="68"/>
      <c r="ASJ118" s="68"/>
      <c r="ASK118" s="68"/>
      <c r="ASL118" s="68"/>
      <c r="ASM118" s="68"/>
      <c r="ASN118" s="68"/>
      <c r="ASO118" s="68"/>
      <c r="ASP118" s="68"/>
      <c r="ASQ118" s="68"/>
      <c r="ASR118" s="68"/>
      <c r="ASS118" s="68"/>
      <c r="AST118" s="68"/>
      <c r="ASU118" s="68"/>
      <c r="ASV118" s="68"/>
      <c r="ASW118" s="68"/>
      <c r="ASX118" s="68"/>
      <c r="ASY118" s="68"/>
      <c r="ASZ118" s="68"/>
      <c r="ATA118" s="68"/>
      <c r="ATB118" s="68"/>
      <c r="ATC118" s="68"/>
      <c r="ATD118" s="68"/>
      <c r="ATE118" s="68"/>
      <c r="ATF118" s="68"/>
      <c r="ATG118" s="68"/>
      <c r="ATH118" s="68"/>
      <c r="ATI118" s="68"/>
      <c r="ATJ118" s="68"/>
      <c r="ATK118" s="68"/>
      <c r="ATL118" s="68"/>
      <c r="ATM118" s="68"/>
      <c r="ATN118" s="68"/>
      <c r="ATO118" s="68"/>
      <c r="ATP118" s="68"/>
      <c r="ATQ118" s="68"/>
      <c r="ATR118" s="68"/>
      <c r="ATS118" s="68"/>
      <c r="ATT118" s="68"/>
      <c r="ATU118" s="68"/>
      <c r="ATV118" s="68"/>
      <c r="ATW118" s="68"/>
      <c r="ATX118" s="68"/>
      <c r="ATY118" s="68"/>
      <c r="ATZ118" s="68"/>
      <c r="AUA118" s="68"/>
      <c r="AUB118" s="68"/>
      <c r="AUC118" s="68"/>
      <c r="AUD118" s="68"/>
      <c r="AUE118" s="68"/>
      <c r="AUF118" s="68"/>
      <c r="AUG118" s="68"/>
      <c r="AUH118" s="68"/>
      <c r="AUI118" s="68"/>
      <c r="AUJ118" s="68"/>
      <c r="AUK118" s="68"/>
      <c r="AUL118" s="68"/>
      <c r="AUM118" s="68"/>
      <c r="AUN118" s="68"/>
      <c r="AUO118" s="68"/>
      <c r="AUP118" s="68"/>
      <c r="AUQ118" s="68"/>
      <c r="AUR118" s="68"/>
      <c r="AUS118" s="68"/>
      <c r="AUT118" s="68"/>
      <c r="AUU118" s="68"/>
      <c r="AUV118" s="68"/>
      <c r="AUW118" s="68"/>
      <c r="AUX118" s="68"/>
      <c r="AUY118" s="68"/>
      <c r="AUZ118" s="68"/>
      <c r="AVA118" s="68"/>
      <c r="AVB118" s="68"/>
      <c r="AVC118" s="68"/>
      <c r="AVD118" s="68"/>
      <c r="AVE118" s="68"/>
      <c r="AVF118" s="68"/>
      <c r="AVG118" s="68"/>
      <c r="AVH118" s="68"/>
      <c r="AVI118" s="68"/>
      <c r="AVJ118" s="68"/>
      <c r="AVK118" s="68"/>
      <c r="AVL118" s="68"/>
      <c r="AVM118" s="68"/>
      <c r="AVN118" s="68"/>
      <c r="AVO118" s="68"/>
      <c r="AVP118" s="68"/>
      <c r="AVQ118" s="68"/>
      <c r="AVR118" s="68"/>
      <c r="AVS118" s="68"/>
      <c r="AVT118" s="68"/>
      <c r="AVU118" s="68"/>
      <c r="AVV118" s="68"/>
      <c r="AVW118" s="68"/>
      <c r="AVX118" s="68"/>
      <c r="AVY118" s="68"/>
      <c r="AVZ118" s="68"/>
      <c r="AWA118" s="68"/>
      <c r="AWB118" s="68"/>
      <c r="AWC118" s="68"/>
      <c r="AWD118" s="68"/>
      <c r="AWE118" s="68"/>
      <c r="AWF118" s="68"/>
      <c r="AWG118" s="68"/>
      <c r="AWH118" s="68"/>
      <c r="AWI118" s="68"/>
      <c r="AWJ118" s="68"/>
      <c r="AWK118" s="68"/>
      <c r="AWL118" s="68"/>
      <c r="AWM118" s="68"/>
      <c r="AWN118" s="68"/>
      <c r="AWO118" s="68"/>
      <c r="AWP118" s="68"/>
      <c r="AWQ118" s="68"/>
      <c r="AWR118" s="68"/>
      <c r="AWS118" s="68"/>
      <c r="AWT118" s="68"/>
      <c r="AWU118" s="68"/>
      <c r="AWV118" s="68"/>
      <c r="AWW118" s="68"/>
      <c r="AWX118" s="68"/>
      <c r="AWY118" s="68"/>
      <c r="AWZ118" s="68"/>
      <c r="AXA118" s="68"/>
      <c r="AXB118" s="68"/>
      <c r="AXC118" s="68"/>
      <c r="AXD118" s="68"/>
      <c r="AXE118" s="68"/>
      <c r="AXF118" s="68"/>
      <c r="AXG118" s="68"/>
      <c r="AXH118" s="68"/>
      <c r="AXI118" s="68"/>
      <c r="AXJ118" s="68"/>
      <c r="AXK118" s="68"/>
      <c r="AXL118" s="68"/>
      <c r="AXM118" s="68"/>
      <c r="AXN118" s="68"/>
      <c r="AXO118" s="68"/>
      <c r="AXP118" s="68"/>
      <c r="AXQ118" s="68"/>
      <c r="AXR118" s="68"/>
      <c r="AXS118" s="68"/>
      <c r="AXT118" s="68"/>
      <c r="AXU118" s="68"/>
      <c r="AXV118" s="68"/>
      <c r="AXW118" s="68"/>
      <c r="AXX118" s="68"/>
      <c r="AXY118" s="68"/>
      <c r="AXZ118" s="68"/>
      <c r="AYA118" s="68"/>
      <c r="AYB118" s="68"/>
      <c r="AYC118" s="68"/>
      <c r="AYD118" s="68"/>
      <c r="AYE118" s="68"/>
      <c r="AYF118" s="68"/>
      <c r="AYG118" s="68"/>
      <c r="AYH118" s="68"/>
      <c r="AYI118" s="68"/>
      <c r="AYJ118" s="68"/>
      <c r="AYK118" s="68"/>
      <c r="AYL118" s="68"/>
      <c r="AYM118" s="68"/>
      <c r="AYN118" s="68"/>
      <c r="AYO118" s="68"/>
      <c r="AYP118" s="68"/>
      <c r="AYQ118" s="68"/>
      <c r="AYR118" s="68"/>
      <c r="AYS118" s="68"/>
      <c r="AYT118" s="68"/>
      <c r="AYU118" s="68"/>
      <c r="AYV118" s="68"/>
      <c r="AYW118" s="68"/>
      <c r="AYX118" s="68"/>
      <c r="AYY118" s="68"/>
      <c r="AYZ118" s="68"/>
      <c r="AZA118" s="68"/>
      <c r="AZB118" s="68"/>
      <c r="AZC118" s="68"/>
      <c r="AZD118" s="68"/>
      <c r="AZE118" s="68"/>
      <c r="AZF118" s="68"/>
      <c r="AZG118" s="68"/>
      <c r="AZH118" s="68"/>
      <c r="AZI118" s="68"/>
      <c r="AZJ118" s="68"/>
      <c r="AZK118" s="68"/>
      <c r="AZL118" s="68"/>
      <c r="AZM118" s="68"/>
      <c r="AZN118" s="68"/>
      <c r="AZO118" s="68"/>
      <c r="AZP118" s="68"/>
      <c r="AZQ118" s="68"/>
      <c r="AZR118" s="68"/>
      <c r="AZS118" s="68"/>
      <c r="AZT118" s="68"/>
      <c r="AZU118" s="68"/>
      <c r="AZV118" s="68"/>
      <c r="AZW118" s="68"/>
      <c r="AZX118" s="68"/>
      <c r="AZY118" s="68"/>
      <c r="AZZ118" s="68"/>
      <c r="BAA118" s="68"/>
      <c r="BAB118" s="68"/>
      <c r="BAC118" s="68"/>
      <c r="BAD118" s="68"/>
      <c r="BAE118" s="68"/>
      <c r="BAF118" s="68"/>
      <c r="BAG118" s="68"/>
      <c r="BAH118" s="68"/>
      <c r="BAI118" s="68"/>
      <c r="BAJ118" s="68"/>
      <c r="BAK118" s="68"/>
      <c r="BAL118" s="68"/>
      <c r="BAM118" s="68"/>
      <c r="BAN118" s="68"/>
      <c r="BAO118" s="68"/>
      <c r="BAP118" s="68"/>
      <c r="BAQ118" s="68"/>
      <c r="BAR118" s="68"/>
      <c r="BAS118" s="68"/>
      <c r="BAT118" s="68"/>
      <c r="BAU118" s="68"/>
      <c r="BAV118" s="68"/>
      <c r="BAW118" s="68"/>
      <c r="BAX118" s="68"/>
      <c r="BAY118" s="68"/>
      <c r="BAZ118" s="68"/>
      <c r="BBA118" s="68"/>
      <c r="BBB118" s="68"/>
      <c r="BBC118" s="68"/>
      <c r="BBD118" s="68"/>
      <c r="BBE118" s="68"/>
      <c r="BBF118" s="68"/>
      <c r="BBG118" s="68"/>
      <c r="BBH118" s="68"/>
      <c r="BBI118" s="68"/>
      <c r="BBJ118" s="68"/>
      <c r="BBK118" s="68"/>
      <c r="BBL118" s="68"/>
      <c r="BBM118" s="68"/>
      <c r="BBN118" s="68"/>
      <c r="BBO118" s="68"/>
      <c r="BBP118" s="68"/>
      <c r="BBQ118" s="68"/>
      <c r="BBR118" s="68"/>
      <c r="BBS118" s="68"/>
      <c r="BBT118" s="68"/>
      <c r="BBU118" s="68"/>
      <c r="BBV118" s="68"/>
      <c r="BBW118" s="68"/>
      <c r="BBX118" s="68"/>
      <c r="BBY118" s="68"/>
      <c r="BBZ118" s="68"/>
      <c r="BCA118" s="68"/>
      <c r="BCB118" s="68"/>
      <c r="BCC118" s="68"/>
      <c r="BCD118" s="68"/>
      <c r="BCE118" s="68"/>
      <c r="BCF118" s="68"/>
      <c r="BCG118" s="68"/>
      <c r="BCH118" s="68"/>
      <c r="BCI118" s="68"/>
      <c r="BCJ118" s="68"/>
      <c r="BCK118" s="68"/>
      <c r="BCL118" s="68"/>
      <c r="BCM118" s="68"/>
      <c r="BCN118" s="68"/>
      <c r="BCO118" s="68"/>
      <c r="BCP118" s="68"/>
      <c r="BCQ118" s="68"/>
      <c r="BCR118" s="68"/>
      <c r="BCS118" s="68"/>
      <c r="BCT118" s="68"/>
      <c r="BCU118" s="68"/>
      <c r="BCV118" s="68"/>
      <c r="BCW118" s="68"/>
      <c r="BCX118" s="68"/>
      <c r="BCY118" s="68"/>
      <c r="BCZ118" s="68"/>
      <c r="BDA118" s="68"/>
    </row>
    <row r="119" spans="1:1457" s="67" customFormat="1" ht="24.75" customHeight="1" x14ac:dyDescent="0.25">
      <c r="A119" s="49">
        <v>37</v>
      </c>
      <c r="B119" s="71" t="s">
        <v>404</v>
      </c>
      <c r="C119" s="71" t="s">
        <v>405</v>
      </c>
      <c r="D119" s="69" t="s">
        <v>708</v>
      </c>
      <c r="E119" s="71" t="s">
        <v>709</v>
      </c>
      <c r="F119" s="51">
        <v>65321</v>
      </c>
      <c r="G119" s="70" t="s">
        <v>654</v>
      </c>
      <c r="H119" s="42" t="s">
        <v>669</v>
      </c>
      <c r="I119" s="71" t="s">
        <v>17</v>
      </c>
      <c r="J119" s="71"/>
      <c r="K119" s="69"/>
      <c r="L119" s="69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Q119" s="68"/>
      <c r="BR119" s="68"/>
      <c r="BS119" s="68"/>
      <c r="BT119" s="68"/>
      <c r="BU119" s="68"/>
      <c r="BV119" s="68"/>
      <c r="BW119" s="68"/>
      <c r="BX119" s="68"/>
      <c r="BY119" s="68"/>
      <c r="BZ119" s="68"/>
      <c r="CA119" s="68"/>
      <c r="CB119" s="68"/>
      <c r="CC119" s="68"/>
      <c r="CD119" s="68"/>
      <c r="CE119" s="68"/>
      <c r="CF119" s="68"/>
      <c r="CG119" s="68"/>
      <c r="CH119" s="68"/>
      <c r="CI119" s="68"/>
      <c r="CJ119" s="68"/>
      <c r="CK119" s="68"/>
      <c r="CL119" s="68"/>
      <c r="CM119" s="68"/>
      <c r="CN119" s="68"/>
      <c r="CO119" s="68"/>
      <c r="CP119" s="68"/>
      <c r="CQ119" s="68"/>
      <c r="CR119" s="68"/>
      <c r="CS119" s="68"/>
      <c r="CT119" s="68"/>
      <c r="CU119" s="68"/>
      <c r="CV119" s="68"/>
      <c r="CW119" s="68"/>
      <c r="CX119" s="68"/>
      <c r="CY119" s="68"/>
      <c r="CZ119" s="68"/>
      <c r="DA119" s="68"/>
      <c r="DB119" s="68"/>
      <c r="DC119" s="68"/>
      <c r="DD119" s="68"/>
      <c r="DE119" s="68"/>
      <c r="DF119" s="68"/>
      <c r="DG119" s="68"/>
      <c r="DH119" s="68"/>
      <c r="DI119" s="68"/>
      <c r="DJ119" s="68"/>
      <c r="DK119" s="68"/>
      <c r="DL119" s="68"/>
      <c r="DM119" s="68"/>
      <c r="DN119" s="68"/>
      <c r="DO119" s="68"/>
      <c r="DP119" s="68"/>
      <c r="DQ119" s="68"/>
      <c r="DR119" s="68"/>
      <c r="DS119" s="68"/>
      <c r="DT119" s="68"/>
      <c r="DU119" s="68"/>
      <c r="DV119" s="68"/>
      <c r="DW119" s="68"/>
      <c r="DX119" s="68"/>
      <c r="DY119" s="68"/>
      <c r="DZ119" s="68"/>
      <c r="EA119" s="68"/>
      <c r="EB119" s="68"/>
      <c r="EC119" s="68"/>
      <c r="ED119" s="68"/>
      <c r="EE119" s="68"/>
      <c r="EF119" s="68"/>
      <c r="EG119" s="68"/>
      <c r="EH119" s="68"/>
      <c r="EI119" s="68"/>
      <c r="EJ119" s="68"/>
      <c r="EK119" s="68"/>
      <c r="EL119" s="68"/>
      <c r="EM119" s="68"/>
      <c r="EN119" s="68"/>
      <c r="EO119" s="68"/>
      <c r="EP119" s="68"/>
      <c r="EQ119" s="68"/>
      <c r="ER119" s="68"/>
      <c r="ES119" s="68"/>
      <c r="ET119" s="68"/>
      <c r="EU119" s="68"/>
      <c r="EV119" s="68"/>
      <c r="EW119" s="68"/>
      <c r="EX119" s="68"/>
      <c r="EY119" s="68"/>
      <c r="EZ119" s="68"/>
      <c r="FA119" s="68"/>
      <c r="FB119" s="68"/>
      <c r="FC119" s="68"/>
      <c r="FD119" s="68"/>
      <c r="FE119" s="68"/>
      <c r="FF119" s="68"/>
      <c r="FG119" s="68"/>
      <c r="FH119" s="68"/>
      <c r="FI119" s="68"/>
      <c r="FJ119" s="68"/>
      <c r="FK119" s="68"/>
      <c r="FL119" s="68"/>
      <c r="FM119" s="68"/>
      <c r="FN119" s="68"/>
      <c r="FO119" s="68"/>
      <c r="FP119" s="68"/>
      <c r="FQ119" s="68"/>
      <c r="FR119" s="68"/>
      <c r="FS119" s="68"/>
      <c r="FT119" s="68"/>
      <c r="FU119" s="68"/>
      <c r="FV119" s="68"/>
      <c r="FW119" s="68"/>
      <c r="FX119" s="68"/>
      <c r="FY119" s="68"/>
      <c r="FZ119" s="68"/>
      <c r="GA119" s="68"/>
      <c r="GB119" s="68"/>
      <c r="GC119" s="68"/>
      <c r="GD119" s="68"/>
      <c r="GE119" s="68"/>
      <c r="GF119" s="68"/>
      <c r="GG119" s="68"/>
      <c r="GH119" s="68"/>
      <c r="GI119" s="68"/>
      <c r="GJ119" s="68"/>
      <c r="GK119" s="68"/>
      <c r="GL119" s="68"/>
      <c r="GM119" s="68"/>
      <c r="GN119" s="68"/>
      <c r="GO119" s="68"/>
      <c r="GP119" s="68"/>
      <c r="GQ119" s="68"/>
      <c r="GR119" s="68"/>
      <c r="GS119" s="68"/>
      <c r="GT119" s="68"/>
      <c r="GU119" s="68"/>
      <c r="GV119" s="68"/>
      <c r="GW119" s="68"/>
      <c r="GX119" s="68"/>
      <c r="GY119" s="68"/>
      <c r="GZ119" s="68"/>
      <c r="HA119" s="68"/>
      <c r="HB119" s="68"/>
      <c r="HC119" s="68"/>
      <c r="HD119" s="68"/>
      <c r="HE119" s="68"/>
      <c r="HF119" s="68"/>
      <c r="HG119" s="68"/>
      <c r="HH119" s="68"/>
      <c r="HI119" s="68"/>
      <c r="HJ119" s="68"/>
      <c r="HK119" s="68"/>
      <c r="HL119" s="68"/>
      <c r="HM119" s="68"/>
      <c r="HN119" s="68"/>
      <c r="HO119" s="68"/>
      <c r="HP119" s="68"/>
      <c r="HQ119" s="68"/>
      <c r="HR119" s="68"/>
      <c r="HS119" s="68"/>
      <c r="HT119" s="68"/>
      <c r="HU119" s="68"/>
      <c r="HV119" s="68"/>
      <c r="HW119" s="68"/>
      <c r="HX119" s="68"/>
      <c r="HY119" s="68"/>
      <c r="HZ119" s="68"/>
      <c r="IA119" s="68"/>
      <c r="IB119" s="68"/>
      <c r="IC119" s="68"/>
      <c r="ID119" s="68"/>
      <c r="IE119" s="68"/>
      <c r="IF119" s="68"/>
      <c r="IG119" s="68"/>
      <c r="IH119" s="68"/>
      <c r="II119" s="68"/>
      <c r="IJ119" s="68"/>
      <c r="IK119" s="68"/>
      <c r="IL119" s="68"/>
      <c r="IM119" s="68"/>
      <c r="IN119" s="68"/>
      <c r="IO119" s="68"/>
      <c r="IP119" s="68"/>
      <c r="IQ119" s="68"/>
      <c r="IR119" s="68"/>
      <c r="IS119" s="68"/>
      <c r="IT119" s="68"/>
      <c r="IU119" s="68"/>
      <c r="IV119" s="68"/>
      <c r="IW119" s="68"/>
      <c r="IX119" s="68"/>
      <c r="IY119" s="68"/>
      <c r="IZ119" s="68"/>
      <c r="JA119" s="68"/>
      <c r="JB119" s="68"/>
      <c r="JC119" s="68"/>
      <c r="JD119" s="68"/>
      <c r="JE119" s="68"/>
      <c r="JF119" s="68"/>
      <c r="JG119" s="68"/>
      <c r="JH119" s="68"/>
      <c r="JI119" s="68"/>
      <c r="JJ119" s="68"/>
      <c r="JK119" s="68"/>
      <c r="JL119" s="68"/>
      <c r="JM119" s="68"/>
      <c r="JN119" s="68"/>
      <c r="JO119" s="68"/>
      <c r="JP119" s="68"/>
      <c r="JQ119" s="68"/>
      <c r="JR119" s="68"/>
      <c r="JS119" s="68"/>
      <c r="JT119" s="68"/>
      <c r="JU119" s="68"/>
      <c r="JV119" s="68"/>
      <c r="JW119" s="68"/>
      <c r="JX119" s="68"/>
      <c r="JY119" s="68"/>
      <c r="JZ119" s="68"/>
      <c r="KA119" s="68"/>
      <c r="KB119" s="68"/>
      <c r="KC119" s="68"/>
      <c r="KD119" s="68"/>
      <c r="KE119" s="68"/>
      <c r="KF119" s="68"/>
      <c r="KG119" s="68"/>
      <c r="KH119" s="68"/>
      <c r="KI119" s="68"/>
      <c r="KJ119" s="68"/>
      <c r="KK119" s="68"/>
      <c r="KL119" s="68"/>
      <c r="KM119" s="68"/>
      <c r="KN119" s="68"/>
      <c r="KO119" s="68"/>
      <c r="KP119" s="68"/>
      <c r="KQ119" s="68"/>
      <c r="KR119" s="68"/>
      <c r="KS119" s="68"/>
      <c r="KT119" s="68"/>
      <c r="KU119" s="68"/>
      <c r="KV119" s="68"/>
      <c r="KW119" s="68"/>
      <c r="KX119" s="68"/>
      <c r="KY119" s="68"/>
      <c r="KZ119" s="68"/>
      <c r="LA119" s="68"/>
      <c r="LB119" s="68"/>
      <c r="LC119" s="68"/>
      <c r="LD119" s="68"/>
      <c r="LE119" s="68"/>
      <c r="LF119" s="68"/>
      <c r="LG119" s="68"/>
      <c r="LH119" s="68"/>
      <c r="LI119" s="68"/>
      <c r="LJ119" s="68"/>
      <c r="LK119" s="68"/>
      <c r="LL119" s="68"/>
      <c r="LM119" s="68"/>
      <c r="LN119" s="68"/>
      <c r="LO119" s="68"/>
      <c r="LP119" s="68"/>
      <c r="LQ119" s="68"/>
      <c r="LR119" s="68"/>
      <c r="LS119" s="68"/>
      <c r="LT119" s="68"/>
      <c r="LU119" s="68"/>
      <c r="LV119" s="68"/>
      <c r="LW119" s="68"/>
      <c r="LX119" s="68"/>
      <c r="LY119" s="68"/>
      <c r="LZ119" s="68"/>
      <c r="MA119" s="68"/>
      <c r="MB119" s="68"/>
      <c r="MC119" s="68"/>
      <c r="MD119" s="68"/>
      <c r="ME119" s="68"/>
      <c r="MF119" s="68"/>
      <c r="MG119" s="68"/>
      <c r="MH119" s="68"/>
      <c r="MI119" s="68"/>
      <c r="MJ119" s="68"/>
      <c r="MK119" s="68"/>
      <c r="ML119" s="68"/>
      <c r="MM119" s="68"/>
      <c r="MN119" s="68"/>
      <c r="MO119" s="68"/>
      <c r="MP119" s="68"/>
      <c r="MQ119" s="68"/>
      <c r="MR119" s="68"/>
      <c r="MS119" s="68"/>
      <c r="MT119" s="68"/>
      <c r="MU119" s="68"/>
      <c r="MV119" s="68"/>
      <c r="MW119" s="68"/>
      <c r="MX119" s="68"/>
      <c r="MY119" s="68"/>
      <c r="MZ119" s="68"/>
      <c r="NA119" s="68"/>
      <c r="NB119" s="68"/>
      <c r="NC119" s="68"/>
      <c r="ND119" s="68"/>
      <c r="NE119" s="68"/>
      <c r="NF119" s="68"/>
      <c r="NG119" s="68"/>
      <c r="NH119" s="68"/>
      <c r="NI119" s="68"/>
      <c r="NJ119" s="68"/>
      <c r="NK119" s="68"/>
      <c r="NL119" s="68"/>
      <c r="NM119" s="68"/>
      <c r="NN119" s="68"/>
      <c r="NO119" s="68"/>
      <c r="NP119" s="68"/>
      <c r="NQ119" s="68"/>
      <c r="NR119" s="68"/>
      <c r="NS119" s="68"/>
      <c r="NT119" s="68"/>
      <c r="NU119" s="68"/>
      <c r="NV119" s="68"/>
      <c r="NW119" s="68"/>
      <c r="NX119" s="68"/>
      <c r="NY119" s="68"/>
      <c r="NZ119" s="68"/>
      <c r="OA119" s="68"/>
      <c r="OB119" s="68"/>
      <c r="OC119" s="68"/>
      <c r="OD119" s="68"/>
      <c r="OE119" s="68"/>
      <c r="OF119" s="68"/>
      <c r="OG119" s="68"/>
      <c r="OH119" s="68"/>
      <c r="OI119" s="68"/>
      <c r="OJ119" s="68"/>
      <c r="OK119" s="68"/>
      <c r="OL119" s="68"/>
      <c r="OM119" s="68"/>
      <c r="ON119" s="68"/>
      <c r="OO119" s="68"/>
      <c r="OP119" s="68"/>
      <c r="OQ119" s="68"/>
      <c r="OR119" s="68"/>
      <c r="OS119" s="68"/>
      <c r="OT119" s="68"/>
      <c r="OU119" s="68"/>
      <c r="OV119" s="68"/>
      <c r="OW119" s="68"/>
      <c r="OX119" s="68"/>
      <c r="OY119" s="68"/>
      <c r="OZ119" s="68"/>
      <c r="PA119" s="68"/>
      <c r="PB119" s="68"/>
      <c r="PC119" s="68"/>
      <c r="PD119" s="68"/>
      <c r="PE119" s="68"/>
      <c r="PF119" s="68"/>
      <c r="PG119" s="68"/>
      <c r="PH119" s="68"/>
      <c r="PI119" s="68"/>
      <c r="PJ119" s="68"/>
      <c r="PK119" s="68"/>
      <c r="PL119" s="68"/>
      <c r="PM119" s="68"/>
      <c r="PN119" s="68"/>
      <c r="PO119" s="68"/>
      <c r="PP119" s="68"/>
      <c r="PQ119" s="68"/>
      <c r="PR119" s="68"/>
      <c r="PS119" s="68"/>
      <c r="PT119" s="68"/>
      <c r="PU119" s="68"/>
      <c r="PV119" s="68"/>
      <c r="PW119" s="68"/>
      <c r="PX119" s="68"/>
      <c r="PY119" s="68"/>
      <c r="PZ119" s="68"/>
      <c r="QA119" s="68"/>
      <c r="QB119" s="68"/>
      <c r="QC119" s="68"/>
      <c r="QD119" s="68"/>
      <c r="QE119" s="68"/>
      <c r="QF119" s="68"/>
      <c r="QG119" s="68"/>
      <c r="QH119" s="68"/>
      <c r="QI119" s="68"/>
      <c r="QJ119" s="68"/>
      <c r="QK119" s="68"/>
      <c r="QL119" s="68"/>
      <c r="QM119" s="68"/>
      <c r="QN119" s="68"/>
      <c r="QO119" s="68"/>
      <c r="QP119" s="68"/>
      <c r="QQ119" s="68"/>
      <c r="QR119" s="68"/>
      <c r="QS119" s="68"/>
      <c r="QT119" s="68"/>
      <c r="QU119" s="68"/>
      <c r="QV119" s="68"/>
      <c r="QW119" s="68"/>
      <c r="QX119" s="68"/>
      <c r="QY119" s="68"/>
      <c r="QZ119" s="68"/>
      <c r="RA119" s="68"/>
      <c r="RB119" s="68"/>
      <c r="RC119" s="68"/>
      <c r="RD119" s="68"/>
      <c r="RE119" s="68"/>
      <c r="RF119" s="68"/>
      <c r="RG119" s="68"/>
      <c r="RH119" s="68"/>
      <c r="RI119" s="68"/>
      <c r="RJ119" s="68"/>
      <c r="RK119" s="68"/>
      <c r="RL119" s="68"/>
      <c r="RM119" s="68"/>
      <c r="RN119" s="68"/>
      <c r="RO119" s="68"/>
      <c r="RP119" s="68"/>
      <c r="RQ119" s="68"/>
      <c r="RR119" s="68"/>
      <c r="RS119" s="68"/>
      <c r="RT119" s="68"/>
      <c r="RU119" s="68"/>
      <c r="RV119" s="68"/>
      <c r="RW119" s="68"/>
      <c r="RX119" s="68"/>
      <c r="RY119" s="68"/>
      <c r="RZ119" s="68"/>
      <c r="SA119" s="68"/>
      <c r="SB119" s="68"/>
      <c r="SC119" s="68"/>
      <c r="SD119" s="68"/>
      <c r="SE119" s="68"/>
      <c r="SF119" s="68"/>
      <c r="SG119" s="68"/>
      <c r="SH119" s="68"/>
      <c r="SI119" s="68"/>
      <c r="SJ119" s="68"/>
      <c r="SK119" s="68"/>
      <c r="SL119" s="68"/>
      <c r="SM119" s="68"/>
      <c r="SN119" s="68"/>
      <c r="SO119" s="68"/>
      <c r="SP119" s="68"/>
      <c r="SQ119" s="68"/>
      <c r="SR119" s="68"/>
      <c r="SS119" s="68"/>
      <c r="ST119" s="68"/>
      <c r="SU119" s="68"/>
      <c r="SV119" s="68"/>
      <c r="SW119" s="68"/>
      <c r="SX119" s="68"/>
      <c r="SY119" s="68"/>
      <c r="SZ119" s="68"/>
      <c r="TA119" s="68"/>
      <c r="TB119" s="68"/>
      <c r="TC119" s="68"/>
      <c r="TD119" s="68"/>
      <c r="TE119" s="68"/>
      <c r="TF119" s="68"/>
      <c r="TG119" s="68"/>
      <c r="TH119" s="68"/>
      <c r="TI119" s="68"/>
      <c r="TJ119" s="68"/>
      <c r="TK119" s="68"/>
      <c r="TL119" s="68"/>
      <c r="TM119" s="68"/>
      <c r="TN119" s="68"/>
      <c r="TO119" s="68"/>
      <c r="TP119" s="68"/>
      <c r="TQ119" s="68"/>
      <c r="TR119" s="68"/>
      <c r="TS119" s="68"/>
      <c r="TT119" s="68"/>
      <c r="TU119" s="68"/>
      <c r="TV119" s="68"/>
      <c r="TW119" s="68"/>
      <c r="TX119" s="68"/>
      <c r="TY119" s="68"/>
      <c r="TZ119" s="68"/>
      <c r="UA119" s="68"/>
      <c r="UB119" s="68"/>
      <c r="UC119" s="68"/>
      <c r="UD119" s="68"/>
      <c r="UE119" s="68"/>
      <c r="UF119" s="68"/>
      <c r="UG119" s="68"/>
      <c r="UH119" s="68"/>
      <c r="UI119" s="68"/>
      <c r="UJ119" s="68"/>
      <c r="UK119" s="68"/>
      <c r="UL119" s="68"/>
      <c r="UM119" s="68"/>
      <c r="UN119" s="68"/>
      <c r="UO119" s="68"/>
      <c r="UP119" s="68"/>
      <c r="UQ119" s="68"/>
      <c r="UR119" s="68"/>
      <c r="US119" s="68"/>
      <c r="UT119" s="68"/>
      <c r="UU119" s="68"/>
      <c r="UV119" s="68"/>
      <c r="UW119" s="68"/>
      <c r="UX119" s="68"/>
      <c r="UY119" s="68"/>
      <c r="UZ119" s="68"/>
      <c r="VA119" s="68"/>
      <c r="VB119" s="68"/>
      <c r="VC119" s="68"/>
      <c r="VD119" s="68"/>
      <c r="VE119" s="68"/>
      <c r="VF119" s="68"/>
      <c r="VG119" s="68"/>
      <c r="VH119" s="68"/>
      <c r="VI119" s="68"/>
      <c r="VJ119" s="68"/>
      <c r="VK119" s="68"/>
      <c r="VL119" s="68"/>
      <c r="VM119" s="68"/>
      <c r="VN119" s="68"/>
      <c r="VO119" s="68"/>
      <c r="VP119" s="68"/>
      <c r="VQ119" s="68"/>
      <c r="VR119" s="68"/>
      <c r="VS119" s="68"/>
      <c r="VT119" s="68"/>
      <c r="VU119" s="68"/>
      <c r="VV119" s="68"/>
      <c r="VW119" s="68"/>
      <c r="VX119" s="68"/>
      <c r="VY119" s="68"/>
      <c r="VZ119" s="68"/>
      <c r="WA119" s="68"/>
      <c r="WB119" s="68"/>
      <c r="WC119" s="68"/>
      <c r="WD119" s="68"/>
      <c r="WE119" s="68"/>
      <c r="WF119" s="68"/>
      <c r="WG119" s="68"/>
      <c r="WH119" s="68"/>
      <c r="WI119" s="68"/>
      <c r="WJ119" s="68"/>
      <c r="WK119" s="68"/>
      <c r="WL119" s="68"/>
      <c r="WM119" s="68"/>
      <c r="WN119" s="68"/>
      <c r="WO119" s="68"/>
      <c r="WP119" s="68"/>
      <c r="WQ119" s="68"/>
      <c r="WR119" s="68"/>
      <c r="WS119" s="68"/>
      <c r="WT119" s="68"/>
      <c r="WU119" s="68"/>
      <c r="WV119" s="68"/>
      <c r="WW119" s="68"/>
      <c r="WX119" s="68"/>
      <c r="WY119" s="68"/>
      <c r="WZ119" s="68"/>
      <c r="XA119" s="68"/>
      <c r="XB119" s="68"/>
      <c r="XC119" s="68"/>
      <c r="XD119" s="68"/>
      <c r="XE119" s="68"/>
      <c r="XF119" s="68"/>
      <c r="XG119" s="68"/>
      <c r="XH119" s="68"/>
      <c r="XI119" s="68"/>
      <c r="XJ119" s="68"/>
      <c r="XK119" s="68"/>
      <c r="XL119" s="68"/>
      <c r="XM119" s="68"/>
      <c r="XN119" s="68"/>
      <c r="XO119" s="68"/>
      <c r="XP119" s="68"/>
      <c r="XQ119" s="68"/>
      <c r="XR119" s="68"/>
      <c r="XS119" s="68"/>
      <c r="XT119" s="68"/>
      <c r="XU119" s="68"/>
      <c r="XV119" s="68"/>
      <c r="XW119" s="68"/>
      <c r="XX119" s="68"/>
      <c r="XY119" s="68"/>
      <c r="XZ119" s="68"/>
      <c r="YA119" s="68"/>
      <c r="YB119" s="68"/>
      <c r="YC119" s="68"/>
      <c r="YD119" s="68"/>
      <c r="YE119" s="68"/>
      <c r="YF119" s="68"/>
      <c r="YG119" s="68"/>
      <c r="YH119" s="68"/>
      <c r="YI119" s="68"/>
      <c r="YJ119" s="68"/>
      <c r="YK119" s="68"/>
      <c r="YL119" s="68"/>
      <c r="YM119" s="68"/>
      <c r="YN119" s="68"/>
      <c r="YO119" s="68"/>
      <c r="YP119" s="68"/>
      <c r="YQ119" s="68"/>
      <c r="YR119" s="68"/>
      <c r="YS119" s="68"/>
      <c r="YT119" s="68"/>
      <c r="YU119" s="68"/>
      <c r="YV119" s="68"/>
      <c r="YW119" s="68"/>
      <c r="YX119" s="68"/>
      <c r="YY119" s="68"/>
      <c r="YZ119" s="68"/>
      <c r="ZA119" s="68"/>
      <c r="ZB119" s="68"/>
      <c r="ZC119" s="68"/>
      <c r="ZD119" s="68"/>
      <c r="ZE119" s="68"/>
      <c r="ZF119" s="68"/>
      <c r="ZG119" s="68"/>
      <c r="ZH119" s="68"/>
      <c r="ZI119" s="68"/>
      <c r="ZJ119" s="68"/>
      <c r="ZK119" s="68"/>
      <c r="ZL119" s="68"/>
      <c r="ZM119" s="68"/>
      <c r="ZN119" s="68"/>
      <c r="ZO119" s="68"/>
      <c r="ZP119" s="68"/>
      <c r="ZQ119" s="68"/>
      <c r="ZR119" s="68"/>
      <c r="ZS119" s="68"/>
      <c r="ZT119" s="68"/>
      <c r="ZU119" s="68"/>
      <c r="ZV119" s="68"/>
      <c r="ZW119" s="68"/>
      <c r="ZX119" s="68"/>
      <c r="ZY119" s="68"/>
      <c r="ZZ119" s="68"/>
      <c r="AAA119" s="68"/>
      <c r="AAB119" s="68"/>
      <c r="AAC119" s="68"/>
      <c r="AAD119" s="68"/>
      <c r="AAE119" s="68"/>
      <c r="AAF119" s="68"/>
      <c r="AAG119" s="68"/>
      <c r="AAH119" s="68"/>
      <c r="AAI119" s="68"/>
      <c r="AAJ119" s="68"/>
      <c r="AAK119" s="68"/>
      <c r="AAL119" s="68"/>
      <c r="AAM119" s="68"/>
      <c r="AAN119" s="68"/>
      <c r="AAO119" s="68"/>
      <c r="AAP119" s="68"/>
      <c r="AAQ119" s="68"/>
      <c r="AAR119" s="68"/>
      <c r="AAS119" s="68"/>
      <c r="AAT119" s="68"/>
      <c r="AAU119" s="68"/>
      <c r="AAV119" s="68"/>
      <c r="AAW119" s="68"/>
      <c r="AAX119" s="68"/>
      <c r="AAY119" s="68"/>
      <c r="AAZ119" s="68"/>
      <c r="ABA119" s="68"/>
      <c r="ABB119" s="68"/>
      <c r="ABC119" s="68"/>
      <c r="ABD119" s="68"/>
      <c r="ABE119" s="68"/>
      <c r="ABF119" s="68"/>
      <c r="ABG119" s="68"/>
      <c r="ABH119" s="68"/>
      <c r="ABI119" s="68"/>
      <c r="ABJ119" s="68"/>
      <c r="ABK119" s="68"/>
      <c r="ABL119" s="68"/>
      <c r="ABM119" s="68"/>
      <c r="ABN119" s="68"/>
      <c r="ABO119" s="68"/>
      <c r="ABP119" s="68"/>
      <c r="ABQ119" s="68"/>
      <c r="ABR119" s="68"/>
      <c r="ABS119" s="68"/>
      <c r="ABT119" s="68"/>
      <c r="ABU119" s="68"/>
      <c r="ABV119" s="68"/>
      <c r="ABW119" s="68"/>
      <c r="ABX119" s="68"/>
      <c r="ABY119" s="68"/>
      <c r="ABZ119" s="68"/>
      <c r="ACA119" s="68"/>
      <c r="ACB119" s="68"/>
      <c r="ACC119" s="68"/>
      <c r="ACD119" s="68"/>
      <c r="ACE119" s="68"/>
      <c r="ACF119" s="68"/>
      <c r="ACG119" s="68"/>
      <c r="ACH119" s="68"/>
      <c r="ACI119" s="68"/>
      <c r="ACJ119" s="68"/>
      <c r="ACK119" s="68"/>
      <c r="ACL119" s="68"/>
      <c r="ACM119" s="68"/>
      <c r="ACN119" s="68"/>
      <c r="ACO119" s="68"/>
      <c r="ACP119" s="68"/>
      <c r="ACQ119" s="68"/>
      <c r="ACR119" s="68"/>
      <c r="ACS119" s="68"/>
      <c r="ACT119" s="68"/>
      <c r="ACU119" s="68"/>
      <c r="ACV119" s="68"/>
      <c r="ACW119" s="68"/>
      <c r="ACX119" s="68"/>
      <c r="ACY119" s="68"/>
      <c r="ACZ119" s="68"/>
      <c r="ADA119" s="68"/>
      <c r="ADB119" s="68"/>
      <c r="ADC119" s="68"/>
      <c r="ADD119" s="68"/>
      <c r="ADE119" s="68"/>
      <c r="ADF119" s="68"/>
      <c r="ADG119" s="68"/>
      <c r="ADH119" s="68"/>
      <c r="ADI119" s="68"/>
      <c r="ADJ119" s="68"/>
      <c r="ADK119" s="68"/>
      <c r="ADL119" s="68"/>
      <c r="ADM119" s="68"/>
      <c r="ADN119" s="68"/>
      <c r="ADO119" s="68"/>
      <c r="ADP119" s="68"/>
      <c r="ADQ119" s="68"/>
      <c r="ADR119" s="68"/>
      <c r="ADS119" s="68"/>
      <c r="ADT119" s="68"/>
      <c r="ADU119" s="68"/>
      <c r="ADV119" s="68"/>
      <c r="ADW119" s="68"/>
      <c r="ADX119" s="68"/>
      <c r="ADY119" s="68"/>
      <c r="ADZ119" s="68"/>
      <c r="AEA119" s="68"/>
      <c r="AEB119" s="68"/>
      <c r="AEC119" s="68"/>
      <c r="AED119" s="68"/>
      <c r="AEE119" s="68"/>
      <c r="AEF119" s="68"/>
      <c r="AEG119" s="68"/>
      <c r="AEH119" s="68"/>
      <c r="AEI119" s="68"/>
      <c r="AEJ119" s="68"/>
      <c r="AEK119" s="68"/>
      <c r="AEL119" s="68"/>
      <c r="AEM119" s="68"/>
      <c r="AEN119" s="68"/>
      <c r="AEO119" s="68"/>
      <c r="AEP119" s="68"/>
      <c r="AEQ119" s="68"/>
      <c r="AER119" s="68"/>
      <c r="AES119" s="68"/>
      <c r="AET119" s="68"/>
      <c r="AEU119" s="68"/>
      <c r="AEV119" s="68"/>
      <c r="AEW119" s="68"/>
      <c r="AEX119" s="68"/>
      <c r="AEY119" s="68"/>
      <c r="AEZ119" s="68"/>
      <c r="AFA119" s="68"/>
      <c r="AFB119" s="68"/>
      <c r="AFC119" s="68"/>
      <c r="AFD119" s="68"/>
      <c r="AFE119" s="68"/>
      <c r="AFF119" s="68"/>
      <c r="AFG119" s="68"/>
      <c r="AFH119" s="68"/>
      <c r="AFI119" s="68"/>
      <c r="AFJ119" s="68"/>
      <c r="AFK119" s="68"/>
      <c r="AFL119" s="68"/>
      <c r="AFM119" s="68"/>
      <c r="AFN119" s="68"/>
      <c r="AFO119" s="68"/>
      <c r="AFP119" s="68"/>
      <c r="AFQ119" s="68"/>
      <c r="AFR119" s="68"/>
      <c r="AFS119" s="68"/>
      <c r="AFT119" s="68"/>
      <c r="AFU119" s="68"/>
      <c r="AFV119" s="68"/>
      <c r="AFW119" s="68"/>
      <c r="AFX119" s="68"/>
      <c r="AFY119" s="68"/>
      <c r="AFZ119" s="68"/>
      <c r="AGA119" s="68"/>
      <c r="AGB119" s="68"/>
      <c r="AGC119" s="68"/>
      <c r="AGD119" s="68"/>
      <c r="AGE119" s="68"/>
      <c r="AGF119" s="68"/>
      <c r="AGG119" s="68"/>
      <c r="AGH119" s="68"/>
      <c r="AGI119" s="68"/>
      <c r="AGJ119" s="68"/>
      <c r="AGK119" s="68"/>
      <c r="AGL119" s="68"/>
      <c r="AGM119" s="68"/>
      <c r="AGN119" s="68"/>
      <c r="AGO119" s="68"/>
      <c r="AGP119" s="68"/>
      <c r="AGQ119" s="68"/>
      <c r="AGR119" s="68"/>
      <c r="AGS119" s="68"/>
      <c r="AGT119" s="68"/>
      <c r="AGU119" s="68"/>
      <c r="AGV119" s="68"/>
      <c r="AGW119" s="68"/>
      <c r="AGX119" s="68"/>
      <c r="AGY119" s="68"/>
      <c r="AGZ119" s="68"/>
      <c r="AHA119" s="68"/>
      <c r="AHB119" s="68"/>
      <c r="AHC119" s="68"/>
      <c r="AHD119" s="68"/>
      <c r="AHE119" s="68"/>
      <c r="AHF119" s="68"/>
      <c r="AHG119" s="68"/>
      <c r="AHH119" s="68"/>
      <c r="AHI119" s="68"/>
      <c r="AHJ119" s="68"/>
      <c r="AHK119" s="68"/>
      <c r="AHL119" s="68"/>
      <c r="AHM119" s="68"/>
      <c r="AHN119" s="68"/>
      <c r="AHO119" s="68"/>
      <c r="AHP119" s="68"/>
      <c r="AHQ119" s="68"/>
      <c r="AHR119" s="68"/>
      <c r="AHS119" s="68"/>
      <c r="AHT119" s="68"/>
      <c r="AHU119" s="68"/>
      <c r="AHV119" s="68"/>
      <c r="AHW119" s="68"/>
      <c r="AHX119" s="68"/>
      <c r="AHY119" s="68"/>
      <c r="AHZ119" s="68"/>
      <c r="AIA119" s="68"/>
      <c r="AIB119" s="68"/>
      <c r="AIC119" s="68"/>
      <c r="AID119" s="68"/>
      <c r="AIE119" s="68"/>
      <c r="AIF119" s="68"/>
      <c r="AIG119" s="68"/>
      <c r="AIH119" s="68"/>
      <c r="AII119" s="68"/>
      <c r="AIJ119" s="68"/>
      <c r="AIK119" s="68"/>
      <c r="AIL119" s="68"/>
      <c r="AIM119" s="68"/>
      <c r="AIN119" s="68"/>
      <c r="AIO119" s="68"/>
      <c r="AIP119" s="68"/>
      <c r="AIQ119" s="68"/>
      <c r="AIR119" s="68"/>
      <c r="AIS119" s="68"/>
      <c r="AIT119" s="68"/>
      <c r="AIU119" s="68"/>
      <c r="AIV119" s="68"/>
      <c r="AIW119" s="68"/>
      <c r="AIX119" s="68"/>
      <c r="AIY119" s="68"/>
      <c r="AIZ119" s="68"/>
      <c r="AJA119" s="68"/>
      <c r="AJB119" s="68"/>
      <c r="AJC119" s="68"/>
      <c r="AJD119" s="68"/>
      <c r="AJE119" s="68"/>
      <c r="AJF119" s="68"/>
      <c r="AJG119" s="68"/>
      <c r="AJH119" s="68"/>
      <c r="AJI119" s="68"/>
      <c r="AJJ119" s="68"/>
      <c r="AJK119" s="68"/>
      <c r="AJL119" s="68"/>
      <c r="AJM119" s="68"/>
      <c r="AJN119" s="68"/>
      <c r="AJO119" s="68"/>
      <c r="AJP119" s="68"/>
      <c r="AJQ119" s="68"/>
      <c r="AJR119" s="68"/>
      <c r="AJS119" s="68"/>
      <c r="AJT119" s="68"/>
      <c r="AJU119" s="68"/>
      <c r="AJV119" s="68"/>
      <c r="AJW119" s="68"/>
      <c r="AJX119" s="68"/>
      <c r="AJY119" s="68"/>
      <c r="AJZ119" s="68"/>
      <c r="AKA119" s="68"/>
      <c r="AKB119" s="68"/>
      <c r="AKC119" s="68"/>
      <c r="AKD119" s="68"/>
      <c r="AKE119" s="68"/>
      <c r="AKF119" s="68"/>
      <c r="AKG119" s="68"/>
      <c r="AKH119" s="68"/>
      <c r="AKI119" s="68"/>
      <c r="AKJ119" s="68"/>
      <c r="AKK119" s="68"/>
      <c r="AKL119" s="68"/>
      <c r="AKM119" s="68"/>
      <c r="AKN119" s="68"/>
      <c r="AKO119" s="68"/>
      <c r="AKP119" s="68"/>
      <c r="AKQ119" s="68"/>
      <c r="AKR119" s="68"/>
      <c r="AKS119" s="68"/>
      <c r="AKT119" s="68"/>
      <c r="AKU119" s="68"/>
      <c r="AKV119" s="68"/>
      <c r="AKW119" s="68"/>
      <c r="AKX119" s="68"/>
      <c r="AKY119" s="68"/>
      <c r="AKZ119" s="68"/>
      <c r="ALA119" s="68"/>
      <c r="ALB119" s="68"/>
      <c r="ALC119" s="68"/>
      <c r="ALD119" s="68"/>
      <c r="ALE119" s="68"/>
      <c r="ALF119" s="68"/>
      <c r="ALG119" s="68"/>
      <c r="ALH119" s="68"/>
      <c r="ALI119" s="68"/>
      <c r="ALJ119" s="68"/>
      <c r="ALK119" s="68"/>
      <c r="ALL119" s="68"/>
      <c r="ALM119" s="68"/>
      <c r="ALN119" s="68"/>
      <c r="ALO119" s="68"/>
      <c r="ALP119" s="68"/>
      <c r="ALQ119" s="68"/>
      <c r="ALR119" s="68"/>
      <c r="ALS119" s="68"/>
      <c r="ALT119" s="68"/>
      <c r="ALU119" s="68"/>
      <c r="ALV119" s="68"/>
      <c r="ALW119" s="68"/>
      <c r="ALX119" s="68"/>
      <c r="ALY119" s="68"/>
      <c r="ALZ119" s="68"/>
      <c r="AMA119" s="68"/>
      <c r="AMB119" s="68"/>
      <c r="AMC119" s="68"/>
      <c r="AMD119" s="68"/>
      <c r="AME119" s="68"/>
      <c r="AMF119" s="68"/>
      <c r="AMG119" s="68"/>
      <c r="AMH119" s="68"/>
      <c r="AMI119" s="68"/>
      <c r="AMJ119" s="68"/>
      <c r="AMK119" s="68"/>
      <c r="AML119" s="68"/>
      <c r="AMM119" s="68"/>
      <c r="AMN119" s="68"/>
      <c r="AMO119" s="68"/>
      <c r="AMP119" s="68"/>
      <c r="AMQ119" s="68"/>
      <c r="AMR119" s="68"/>
      <c r="AMS119" s="68"/>
      <c r="AMT119" s="68"/>
      <c r="AMU119" s="68"/>
      <c r="AMV119" s="68"/>
      <c r="AMW119" s="68"/>
      <c r="AMX119" s="68"/>
      <c r="AMY119" s="68"/>
      <c r="AMZ119" s="68"/>
      <c r="ANA119" s="68"/>
      <c r="ANB119" s="68"/>
      <c r="ANC119" s="68"/>
      <c r="AND119" s="68"/>
      <c r="ANE119" s="68"/>
      <c r="ANF119" s="68"/>
      <c r="ANG119" s="68"/>
      <c r="ANH119" s="68"/>
      <c r="ANI119" s="68"/>
      <c r="ANJ119" s="68"/>
      <c r="ANK119" s="68"/>
      <c r="ANL119" s="68"/>
      <c r="ANM119" s="68"/>
      <c r="ANN119" s="68"/>
      <c r="ANO119" s="68"/>
      <c r="ANP119" s="68"/>
      <c r="ANQ119" s="68"/>
      <c r="ANR119" s="68"/>
      <c r="ANS119" s="68"/>
      <c r="ANT119" s="68"/>
      <c r="ANU119" s="68"/>
      <c r="ANV119" s="68"/>
      <c r="ANW119" s="68"/>
      <c r="ANX119" s="68"/>
      <c r="ANY119" s="68"/>
      <c r="ANZ119" s="68"/>
      <c r="AOA119" s="68"/>
      <c r="AOB119" s="68"/>
      <c r="AOC119" s="68"/>
      <c r="AOD119" s="68"/>
      <c r="AOE119" s="68"/>
      <c r="AOF119" s="68"/>
      <c r="AOG119" s="68"/>
      <c r="AOH119" s="68"/>
      <c r="AOI119" s="68"/>
      <c r="AOJ119" s="68"/>
      <c r="AOK119" s="68"/>
      <c r="AOL119" s="68"/>
      <c r="AOM119" s="68"/>
      <c r="AON119" s="68"/>
      <c r="AOO119" s="68"/>
      <c r="AOP119" s="68"/>
      <c r="AOQ119" s="68"/>
      <c r="AOR119" s="68"/>
      <c r="AOS119" s="68"/>
      <c r="AOT119" s="68"/>
      <c r="AOU119" s="68"/>
      <c r="AOV119" s="68"/>
      <c r="AOW119" s="68"/>
      <c r="AOX119" s="68"/>
      <c r="AOY119" s="68"/>
      <c r="AOZ119" s="68"/>
      <c r="APA119" s="68"/>
      <c r="APB119" s="68"/>
      <c r="APC119" s="68"/>
      <c r="APD119" s="68"/>
      <c r="APE119" s="68"/>
      <c r="APF119" s="68"/>
      <c r="APG119" s="68"/>
      <c r="APH119" s="68"/>
      <c r="API119" s="68"/>
      <c r="APJ119" s="68"/>
      <c r="APK119" s="68"/>
      <c r="APL119" s="68"/>
      <c r="APM119" s="68"/>
      <c r="APN119" s="68"/>
      <c r="APO119" s="68"/>
      <c r="APP119" s="68"/>
      <c r="APQ119" s="68"/>
      <c r="APR119" s="68"/>
      <c r="APS119" s="68"/>
      <c r="APT119" s="68"/>
      <c r="APU119" s="68"/>
      <c r="APV119" s="68"/>
      <c r="APW119" s="68"/>
      <c r="APX119" s="68"/>
      <c r="APY119" s="68"/>
      <c r="APZ119" s="68"/>
      <c r="AQA119" s="68"/>
      <c r="AQB119" s="68"/>
      <c r="AQC119" s="68"/>
      <c r="AQD119" s="68"/>
      <c r="AQE119" s="68"/>
      <c r="AQF119" s="68"/>
      <c r="AQG119" s="68"/>
      <c r="AQH119" s="68"/>
      <c r="AQI119" s="68"/>
      <c r="AQJ119" s="68"/>
      <c r="AQK119" s="68"/>
      <c r="AQL119" s="68"/>
      <c r="AQM119" s="68"/>
      <c r="AQN119" s="68"/>
      <c r="AQO119" s="68"/>
      <c r="AQP119" s="68"/>
      <c r="AQQ119" s="68"/>
      <c r="AQR119" s="68"/>
      <c r="AQS119" s="68"/>
      <c r="AQT119" s="68"/>
      <c r="AQU119" s="68"/>
      <c r="AQV119" s="68"/>
      <c r="AQW119" s="68"/>
      <c r="AQX119" s="68"/>
      <c r="AQY119" s="68"/>
      <c r="AQZ119" s="68"/>
      <c r="ARA119" s="68"/>
      <c r="ARB119" s="68"/>
      <c r="ARC119" s="68"/>
      <c r="ARD119" s="68"/>
      <c r="ARE119" s="68"/>
      <c r="ARF119" s="68"/>
      <c r="ARG119" s="68"/>
      <c r="ARH119" s="68"/>
      <c r="ARI119" s="68"/>
      <c r="ARJ119" s="68"/>
      <c r="ARK119" s="68"/>
      <c r="ARL119" s="68"/>
      <c r="ARM119" s="68"/>
      <c r="ARN119" s="68"/>
      <c r="ARO119" s="68"/>
      <c r="ARP119" s="68"/>
      <c r="ARQ119" s="68"/>
      <c r="ARR119" s="68"/>
      <c r="ARS119" s="68"/>
      <c r="ART119" s="68"/>
      <c r="ARU119" s="68"/>
      <c r="ARV119" s="68"/>
      <c r="ARW119" s="68"/>
      <c r="ARX119" s="68"/>
      <c r="ARY119" s="68"/>
      <c r="ARZ119" s="68"/>
      <c r="ASA119" s="68"/>
      <c r="ASB119" s="68"/>
      <c r="ASC119" s="68"/>
      <c r="ASD119" s="68"/>
      <c r="ASE119" s="68"/>
      <c r="ASF119" s="68"/>
      <c r="ASG119" s="68"/>
      <c r="ASH119" s="68"/>
      <c r="ASI119" s="68"/>
      <c r="ASJ119" s="68"/>
      <c r="ASK119" s="68"/>
      <c r="ASL119" s="68"/>
      <c r="ASM119" s="68"/>
      <c r="ASN119" s="68"/>
      <c r="ASO119" s="68"/>
      <c r="ASP119" s="68"/>
      <c r="ASQ119" s="68"/>
      <c r="ASR119" s="68"/>
      <c r="ASS119" s="68"/>
      <c r="AST119" s="68"/>
      <c r="ASU119" s="68"/>
      <c r="ASV119" s="68"/>
      <c r="ASW119" s="68"/>
      <c r="ASX119" s="68"/>
      <c r="ASY119" s="68"/>
      <c r="ASZ119" s="68"/>
      <c r="ATA119" s="68"/>
      <c r="ATB119" s="68"/>
      <c r="ATC119" s="68"/>
      <c r="ATD119" s="68"/>
      <c r="ATE119" s="68"/>
      <c r="ATF119" s="68"/>
      <c r="ATG119" s="68"/>
      <c r="ATH119" s="68"/>
      <c r="ATI119" s="68"/>
      <c r="ATJ119" s="68"/>
      <c r="ATK119" s="68"/>
      <c r="ATL119" s="68"/>
      <c r="ATM119" s="68"/>
      <c r="ATN119" s="68"/>
      <c r="ATO119" s="68"/>
      <c r="ATP119" s="68"/>
      <c r="ATQ119" s="68"/>
      <c r="ATR119" s="68"/>
      <c r="ATS119" s="68"/>
      <c r="ATT119" s="68"/>
      <c r="ATU119" s="68"/>
      <c r="ATV119" s="68"/>
      <c r="ATW119" s="68"/>
      <c r="ATX119" s="68"/>
      <c r="ATY119" s="68"/>
      <c r="ATZ119" s="68"/>
      <c r="AUA119" s="68"/>
      <c r="AUB119" s="68"/>
      <c r="AUC119" s="68"/>
      <c r="AUD119" s="68"/>
      <c r="AUE119" s="68"/>
      <c r="AUF119" s="68"/>
      <c r="AUG119" s="68"/>
      <c r="AUH119" s="68"/>
      <c r="AUI119" s="68"/>
      <c r="AUJ119" s="68"/>
      <c r="AUK119" s="68"/>
      <c r="AUL119" s="68"/>
      <c r="AUM119" s="68"/>
      <c r="AUN119" s="68"/>
      <c r="AUO119" s="68"/>
      <c r="AUP119" s="68"/>
      <c r="AUQ119" s="68"/>
      <c r="AUR119" s="68"/>
      <c r="AUS119" s="68"/>
      <c r="AUT119" s="68"/>
      <c r="AUU119" s="68"/>
      <c r="AUV119" s="68"/>
      <c r="AUW119" s="68"/>
      <c r="AUX119" s="68"/>
      <c r="AUY119" s="68"/>
      <c r="AUZ119" s="68"/>
      <c r="AVA119" s="68"/>
      <c r="AVB119" s="68"/>
      <c r="AVC119" s="68"/>
      <c r="AVD119" s="68"/>
      <c r="AVE119" s="68"/>
      <c r="AVF119" s="68"/>
      <c r="AVG119" s="68"/>
      <c r="AVH119" s="68"/>
      <c r="AVI119" s="68"/>
      <c r="AVJ119" s="68"/>
      <c r="AVK119" s="68"/>
      <c r="AVL119" s="68"/>
      <c r="AVM119" s="68"/>
      <c r="AVN119" s="68"/>
      <c r="AVO119" s="68"/>
      <c r="AVP119" s="68"/>
      <c r="AVQ119" s="68"/>
      <c r="AVR119" s="68"/>
      <c r="AVS119" s="68"/>
      <c r="AVT119" s="68"/>
      <c r="AVU119" s="68"/>
      <c r="AVV119" s="68"/>
      <c r="AVW119" s="68"/>
      <c r="AVX119" s="68"/>
      <c r="AVY119" s="68"/>
      <c r="AVZ119" s="68"/>
      <c r="AWA119" s="68"/>
      <c r="AWB119" s="68"/>
      <c r="AWC119" s="68"/>
      <c r="AWD119" s="68"/>
      <c r="AWE119" s="68"/>
      <c r="AWF119" s="68"/>
      <c r="AWG119" s="68"/>
      <c r="AWH119" s="68"/>
      <c r="AWI119" s="68"/>
      <c r="AWJ119" s="68"/>
      <c r="AWK119" s="68"/>
      <c r="AWL119" s="68"/>
      <c r="AWM119" s="68"/>
      <c r="AWN119" s="68"/>
      <c r="AWO119" s="68"/>
      <c r="AWP119" s="68"/>
      <c r="AWQ119" s="68"/>
      <c r="AWR119" s="68"/>
      <c r="AWS119" s="68"/>
      <c r="AWT119" s="68"/>
      <c r="AWU119" s="68"/>
      <c r="AWV119" s="68"/>
      <c r="AWW119" s="68"/>
      <c r="AWX119" s="68"/>
      <c r="AWY119" s="68"/>
      <c r="AWZ119" s="68"/>
      <c r="AXA119" s="68"/>
      <c r="AXB119" s="68"/>
      <c r="AXC119" s="68"/>
      <c r="AXD119" s="68"/>
      <c r="AXE119" s="68"/>
      <c r="AXF119" s="68"/>
      <c r="AXG119" s="68"/>
      <c r="AXH119" s="68"/>
      <c r="AXI119" s="68"/>
      <c r="AXJ119" s="68"/>
      <c r="AXK119" s="68"/>
      <c r="AXL119" s="68"/>
      <c r="AXM119" s="68"/>
      <c r="AXN119" s="68"/>
      <c r="AXO119" s="68"/>
      <c r="AXP119" s="68"/>
      <c r="AXQ119" s="68"/>
      <c r="AXR119" s="68"/>
      <c r="AXS119" s="68"/>
      <c r="AXT119" s="68"/>
      <c r="AXU119" s="68"/>
      <c r="AXV119" s="68"/>
      <c r="AXW119" s="68"/>
      <c r="AXX119" s="68"/>
      <c r="AXY119" s="68"/>
      <c r="AXZ119" s="68"/>
      <c r="AYA119" s="68"/>
      <c r="AYB119" s="68"/>
      <c r="AYC119" s="68"/>
      <c r="AYD119" s="68"/>
      <c r="AYE119" s="68"/>
      <c r="AYF119" s="68"/>
      <c r="AYG119" s="68"/>
      <c r="AYH119" s="68"/>
      <c r="AYI119" s="68"/>
      <c r="AYJ119" s="68"/>
      <c r="AYK119" s="68"/>
      <c r="AYL119" s="68"/>
      <c r="AYM119" s="68"/>
      <c r="AYN119" s="68"/>
      <c r="AYO119" s="68"/>
      <c r="AYP119" s="68"/>
      <c r="AYQ119" s="68"/>
      <c r="AYR119" s="68"/>
      <c r="AYS119" s="68"/>
      <c r="AYT119" s="68"/>
      <c r="AYU119" s="68"/>
      <c r="AYV119" s="68"/>
      <c r="AYW119" s="68"/>
      <c r="AYX119" s="68"/>
      <c r="AYY119" s="68"/>
      <c r="AYZ119" s="68"/>
      <c r="AZA119" s="68"/>
      <c r="AZB119" s="68"/>
      <c r="AZC119" s="68"/>
      <c r="AZD119" s="68"/>
      <c r="AZE119" s="68"/>
      <c r="AZF119" s="68"/>
      <c r="AZG119" s="68"/>
      <c r="AZH119" s="68"/>
      <c r="AZI119" s="68"/>
      <c r="AZJ119" s="68"/>
      <c r="AZK119" s="68"/>
      <c r="AZL119" s="68"/>
      <c r="AZM119" s="68"/>
      <c r="AZN119" s="68"/>
      <c r="AZO119" s="68"/>
      <c r="AZP119" s="68"/>
      <c r="AZQ119" s="68"/>
      <c r="AZR119" s="68"/>
      <c r="AZS119" s="68"/>
      <c r="AZT119" s="68"/>
      <c r="AZU119" s="68"/>
      <c r="AZV119" s="68"/>
      <c r="AZW119" s="68"/>
      <c r="AZX119" s="68"/>
      <c r="AZY119" s="68"/>
      <c r="AZZ119" s="68"/>
      <c r="BAA119" s="68"/>
      <c r="BAB119" s="68"/>
      <c r="BAC119" s="68"/>
      <c r="BAD119" s="68"/>
      <c r="BAE119" s="68"/>
      <c r="BAF119" s="68"/>
      <c r="BAG119" s="68"/>
      <c r="BAH119" s="68"/>
      <c r="BAI119" s="68"/>
      <c r="BAJ119" s="68"/>
      <c r="BAK119" s="68"/>
      <c r="BAL119" s="68"/>
      <c r="BAM119" s="68"/>
      <c r="BAN119" s="68"/>
      <c r="BAO119" s="68"/>
      <c r="BAP119" s="68"/>
      <c r="BAQ119" s="68"/>
      <c r="BAR119" s="68"/>
      <c r="BAS119" s="68"/>
      <c r="BAT119" s="68"/>
      <c r="BAU119" s="68"/>
      <c r="BAV119" s="68"/>
      <c r="BAW119" s="68"/>
      <c r="BAX119" s="68"/>
      <c r="BAY119" s="68"/>
      <c r="BAZ119" s="68"/>
      <c r="BBA119" s="68"/>
      <c r="BBB119" s="68"/>
      <c r="BBC119" s="68"/>
      <c r="BBD119" s="68"/>
      <c r="BBE119" s="68"/>
      <c r="BBF119" s="68"/>
      <c r="BBG119" s="68"/>
      <c r="BBH119" s="68"/>
      <c r="BBI119" s="68"/>
      <c r="BBJ119" s="68"/>
      <c r="BBK119" s="68"/>
      <c r="BBL119" s="68"/>
      <c r="BBM119" s="68"/>
      <c r="BBN119" s="68"/>
      <c r="BBO119" s="68"/>
      <c r="BBP119" s="68"/>
      <c r="BBQ119" s="68"/>
      <c r="BBR119" s="68"/>
      <c r="BBS119" s="68"/>
      <c r="BBT119" s="68"/>
      <c r="BBU119" s="68"/>
      <c r="BBV119" s="68"/>
      <c r="BBW119" s="68"/>
      <c r="BBX119" s="68"/>
      <c r="BBY119" s="68"/>
      <c r="BBZ119" s="68"/>
      <c r="BCA119" s="68"/>
      <c r="BCB119" s="68"/>
      <c r="BCC119" s="68"/>
      <c r="BCD119" s="68"/>
      <c r="BCE119" s="68"/>
      <c r="BCF119" s="68"/>
      <c r="BCG119" s="68"/>
      <c r="BCH119" s="68"/>
      <c r="BCI119" s="68"/>
      <c r="BCJ119" s="68"/>
      <c r="BCK119" s="68"/>
      <c r="BCL119" s="68"/>
      <c r="BCM119" s="68"/>
      <c r="BCN119" s="68"/>
      <c r="BCO119" s="68"/>
      <c r="BCP119" s="68"/>
      <c r="BCQ119" s="68"/>
      <c r="BCR119" s="68"/>
      <c r="BCS119" s="68"/>
      <c r="BCT119" s="68"/>
      <c r="BCU119" s="68"/>
      <c r="BCV119" s="68"/>
      <c r="BCW119" s="68"/>
      <c r="BCX119" s="68"/>
      <c r="BCY119" s="68"/>
      <c r="BCZ119" s="68"/>
      <c r="BDA119" s="68"/>
    </row>
    <row r="120" spans="1:1457" s="67" customFormat="1" ht="39.75" customHeight="1" x14ac:dyDescent="0.25">
      <c r="A120" s="49">
        <v>38</v>
      </c>
      <c r="B120" s="71" t="s">
        <v>407</v>
      </c>
      <c r="C120" s="71" t="s">
        <v>408</v>
      </c>
      <c r="D120" s="69" t="s">
        <v>708</v>
      </c>
      <c r="E120" s="71" t="s">
        <v>709</v>
      </c>
      <c r="F120" s="51">
        <v>143986.23999999999</v>
      </c>
      <c r="G120" s="118" t="s">
        <v>212</v>
      </c>
      <c r="H120" s="118"/>
      <c r="I120" s="71" t="s">
        <v>442</v>
      </c>
      <c r="J120" s="71"/>
      <c r="K120" s="69"/>
      <c r="L120" s="69"/>
      <c r="N120"/>
      <c r="O120"/>
      <c r="P120"/>
      <c r="Q120"/>
      <c r="R120"/>
      <c r="S120"/>
      <c r="T120"/>
      <c r="U120"/>
      <c r="V120"/>
      <c r="W120"/>
      <c r="X120"/>
      <c r="Y120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  <c r="BT120" s="68"/>
      <c r="BU120" s="68"/>
      <c r="BV120" s="68"/>
      <c r="BW120" s="68"/>
      <c r="BX120" s="68"/>
      <c r="BY120" s="68"/>
      <c r="BZ120" s="68"/>
      <c r="CA120" s="68"/>
      <c r="CB120" s="68"/>
      <c r="CC120" s="68"/>
      <c r="CD120" s="68"/>
      <c r="CE120" s="68"/>
      <c r="CF120" s="68"/>
      <c r="CG120" s="68"/>
      <c r="CH120" s="68"/>
      <c r="CI120" s="68"/>
      <c r="CJ120" s="68"/>
      <c r="CK120" s="68"/>
      <c r="CL120" s="68"/>
      <c r="CM120" s="68"/>
      <c r="CN120" s="68"/>
      <c r="CO120" s="68"/>
      <c r="CP120" s="68"/>
      <c r="CQ120" s="68"/>
      <c r="CR120" s="68"/>
      <c r="CS120" s="68"/>
      <c r="CT120" s="68"/>
      <c r="CU120" s="68"/>
      <c r="CV120" s="68"/>
      <c r="CW120" s="68"/>
      <c r="CX120" s="68"/>
      <c r="CY120" s="68"/>
      <c r="CZ120" s="68"/>
      <c r="DA120" s="68"/>
      <c r="DB120" s="68"/>
      <c r="DC120" s="68"/>
      <c r="DD120" s="68"/>
      <c r="DE120" s="68"/>
      <c r="DF120" s="68"/>
      <c r="DG120" s="68"/>
      <c r="DH120" s="68"/>
      <c r="DI120" s="68"/>
      <c r="DJ120" s="68"/>
      <c r="DK120" s="68"/>
      <c r="DL120" s="68"/>
      <c r="DM120" s="68"/>
      <c r="DN120" s="68"/>
      <c r="DO120" s="68"/>
      <c r="DP120" s="68"/>
      <c r="DQ120" s="68"/>
      <c r="DR120" s="68"/>
      <c r="DS120" s="68"/>
      <c r="DT120" s="68"/>
      <c r="DU120" s="68"/>
      <c r="DV120" s="68"/>
      <c r="DW120" s="68"/>
      <c r="DX120" s="68"/>
      <c r="DY120" s="68"/>
      <c r="DZ120" s="68"/>
      <c r="EA120" s="68"/>
      <c r="EB120" s="68"/>
      <c r="EC120" s="68"/>
      <c r="ED120" s="68"/>
      <c r="EE120" s="68"/>
      <c r="EF120" s="68"/>
      <c r="EG120" s="68"/>
      <c r="EH120" s="68"/>
      <c r="EI120" s="68"/>
      <c r="EJ120" s="68"/>
      <c r="EK120" s="68"/>
      <c r="EL120" s="68"/>
      <c r="EM120" s="68"/>
      <c r="EN120" s="68"/>
      <c r="EO120" s="68"/>
      <c r="EP120" s="68"/>
      <c r="EQ120" s="68"/>
      <c r="ER120" s="68"/>
      <c r="ES120" s="68"/>
      <c r="ET120" s="68"/>
      <c r="EU120" s="68"/>
      <c r="EV120" s="68"/>
      <c r="EW120" s="68"/>
      <c r="EX120" s="68"/>
      <c r="EY120" s="68"/>
      <c r="EZ120" s="68"/>
      <c r="FA120" s="68"/>
      <c r="FB120" s="68"/>
      <c r="FC120" s="68"/>
      <c r="FD120" s="68"/>
      <c r="FE120" s="68"/>
      <c r="FF120" s="68"/>
      <c r="FG120" s="68"/>
      <c r="FH120" s="68"/>
      <c r="FI120" s="68"/>
      <c r="FJ120" s="68"/>
      <c r="FK120" s="68"/>
      <c r="FL120" s="68"/>
      <c r="FM120" s="68"/>
      <c r="FN120" s="68"/>
      <c r="FO120" s="68"/>
      <c r="FP120" s="68"/>
      <c r="FQ120" s="68"/>
      <c r="FR120" s="68"/>
      <c r="FS120" s="68"/>
      <c r="FT120" s="68"/>
      <c r="FU120" s="68"/>
      <c r="FV120" s="68"/>
      <c r="FW120" s="68"/>
      <c r="FX120" s="68"/>
      <c r="FY120" s="68"/>
      <c r="FZ120" s="68"/>
      <c r="GA120" s="68"/>
      <c r="GB120" s="68"/>
      <c r="GC120" s="68"/>
      <c r="GD120" s="68"/>
      <c r="GE120" s="68"/>
      <c r="GF120" s="68"/>
      <c r="GG120" s="68"/>
      <c r="GH120" s="68"/>
      <c r="GI120" s="68"/>
      <c r="GJ120" s="68"/>
      <c r="GK120" s="68"/>
      <c r="GL120" s="68"/>
      <c r="GM120" s="68"/>
      <c r="GN120" s="68"/>
      <c r="GO120" s="68"/>
      <c r="GP120" s="68"/>
      <c r="GQ120" s="68"/>
      <c r="GR120" s="68"/>
      <c r="GS120" s="68"/>
      <c r="GT120" s="68"/>
      <c r="GU120" s="68"/>
      <c r="GV120" s="68"/>
      <c r="GW120" s="68"/>
      <c r="GX120" s="68"/>
      <c r="GY120" s="68"/>
      <c r="GZ120" s="68"/>
      <c r="HA120" s="68"/>
      <c r="HB120" s="68"/>
      <c r="HC120" s="68"/>
      <c r="HD120" s="68"/>
      <c r="HE120" s="68"/>
      <c r="HF120" s="68"/>
      <c r="HG120" s="68"/>
      <c r="HH120" s="68"/>
      <c r="HI120" s="68"/>
      <c r="HJ120" s="68"/>
      <c r="HK120" s="68"/>
      <c r="HL120" s="68"/>
      <c r="HM120" s="68"/>
      <c r="HN120" s="68"/>
      <c r="HO120" s="68"/>
      <c r="HP120" s="68"/>
      <c r="HQ120" s="68"/>
      <c r="HR120" s="68"/>
      <c r="HS120" s="68"/>
      <c r="HT120" s="68"/>
      <c r="HU120" s="68"/>
      <c r="HV120" s="68"/>
      <c r="HW120" s="68"/>
      <c r="HX120" s="68"/>
      <c r="HY120" s="68"/>
      <c r="HZ120" s="68"/>
      <c r="IA120" s="68"/>
      <c r="IB120" s="68"/>
      <c r="IC120" s="68"/>
      <c r="ID120" s="68"/>
      <c r="IE120" s="68"/>
      <c r="IF120" s="68"/>
      <c r="IG120" s="68"/>
      <c r="IH120" s="68"/>
      <c r="II120" s="68"/>
      <c r="IJ120" s="68"/>
      <c r="IK120" s="68"/>
      <c r="IL120" s="68"/>
      <c r="IM120" s="68"/>
      <c r="IN120" s="68"/>
      <c r="IO120" s="68"/>
      <c r="IP120" s="68"/>
      <c r="IQ120" s="68"/>
      <c r="IR120" s="68"/>
      <c r="IS120" s="68"/>
      <c r="IT120" s="68"/>
      <c r="IU120" s="68"/>
      <c r="IV120" s="68"/>
      <c r="IW120" s="68"/>
      <c r="IX120" s="68"/>
      <c r="IY120" s="68"/>
      <c r="IZ120" s="68"/>
      <c r="JA120" s="68"/>
      <c r="JB120" s="68"/>
      <c r="JC120" s="68"/>
      <c r="JD120" s="68"/>
      <c r="JE120" s="68"/>
      <c r="JF120" s="68"/>
      <c r="JG120" s="68"/>
      <c r="JH120" s="68"/>
      <c r="JI120" s="68"/>
      <c r="JJ120" s="68"/>
      <c r="JK120" s="68"/>
      <c r="JL120" s="68"/>
      <c r="JM120" s="68"/>
      <c r="JN120" s="68"/>
      <c r="JO120" s="68"/>
      <c r="JP120" s="68"/>
      <c r="JQ120" s="68"/>
      <c r="JR120" s="68"/>
      <c r="JS120" s="68"/>
      <c r="JT120" s="68"/>
      <c r="JU120" s="68"/>
      <c r="JV120" s="68"/>
      <c r="JW120" s="68"/>
      <c r="JX120" s="68"/>
      <c r="JY120" s="68"/>
      <c r="JZ120" s="68"/>
      <c r="KA120" s="68"/>
      <c r="KB120" s="68"/>
      <c r="KC120" s="68"/>
      <c r="KD120" s="68"/>
      <c r="KE120" s="68"/>
      <c r="KF120" s="68"/>
      <c r="KG120" s="68"/>
      <c r="KH120" s="68"/>
      <c r="KI120" s="68"/>
      <c r="KJ120" s="68"/>
      <c r="KK120" s="68"/>
      <c r="KL120" s="68"/>
      <c r="KM120" s="68"/>
      <c r="KN120" s="68"/>
      <c r="KO120" s="68"/>
      <c r="KP120" s="68"/>
      <c r="KQ120" s="68"/>
      <c r="KR120" s="68"/>
      <c r="KS120" s="68"/>
      <c r="KT120" s="68"/>
      <c r="KU120" s="68"/>
      <c r="KV120" s="68"/>
      <c r="KW120" s="68"/>
      <c r="KX120" s="68"/>
      <c r="KY120" s="68"/>
      <c r="KZ120" s="68"/>
      <c r="LA120" s="68"/>
      <c r="LB120" s="68"/>
      <c r="LC120" s="68"/>
      <c r="LD120" s="68"/>
      <c r="LE120" s="68"/>
      <c r="LF120" s="68"/>
      <c r="LG120" s="68"/>
      <c r="LH120" s="68"/>
      <c r="LI120" s="68"/>
      <c r="LJ120" s="68"/>
      <c r="LK120" s="68"/>
      <c r="LL120" s="68"/>
      <c r="LM120" s="68"/>
      <c r="LN120" s="68"/>
      <c r="LO120" s="68"/>
      <c r="LP120" s="68"/>
      <c r="LQ120" s="68"/>
      <c r="LR120" s="68"/>
      <c r="LS120" s="68"/>
      <c r="LT120" s="68"/>
      <c r="LU120" s="68"/>
      <c r="LV120" s="68"/>
      <c r="LW120" s="68"/>
      <c r="LX120" s="68"/>
      <c r="LY120" s="68"/>
      <c r="LZ120" s="68"/>
      <c r="MA120" s="68"/>
      <c r="MB120" s="68"/>
      <c r="MC120" s="68"/>
      <c r="MD120" s="68"/>
      <c r="ME120" s="68"/>
      <c r="MF120" s="68"/>
      <c r="MG120" s="68"/>
      <c r="MH120" s="68"/>
      <c r="MI120" s="68"/>
      <c r="MJ120" s="68"/>
      <c r="MK120" s="68"/>
      <c r="ML120" s="68"/>
      <c r="MM120" s="68"/>
      <c r="MN120" s="68"/>
      <c r="MO120" s="68"/>
      <c r="MP120" s="68"/>
      <c r="MQ120" s="68"/>
      <c r="MR120" s="68"/>
      <c r="MS120" s="68"/>
      <c r="MT120" s="68"/>
      <c r="MU120" s="68"/>
      <c r="MV120" s="68"/>
      <c r="MW120" s="68"/>
      <c r="MX120" s="68"/>
      <c r="MY120" s="68"/>
      <c r="MZ120" s="68"/>
      <c r="NA120" s="68"/>
      <c r="NB120" s="68"/>
      <c r="NC120" s="68"/>
      <c r="ND120" s="68"/>
      <c r="NE120" s="68"/>
      <c r="NF120" s="68"/>
      <c r="NG120" s="68"/>
      <c r="NH120" s="68"/>
      <c r="NI120" s="68"/>
      <c r="NJ120" s="68"/>
      <c r="NK120" s="68"/>
      <c r="NL120" s="68"/>
      <c r="NM120" s="68"/>
      <c r="NN120" s="68"/>
      <c r="NO120" s="68"/>
      <c r="NP120" s="68"/>
      <c r="NQ120" s="68"/>
      <c r="NR120" s="68"/>
      <c r="NS120" s="68"/>
      <c r="NT120" s="68"/>
      <c r="NU120" s="68"/>
      <c r="NV120" s="68"/>
      <c r="NW120" s="68"/>
      <c r="NX120" s="68"/>
      <c r="NY120" s="68"/>
      <c r="NZ120" s="68"/>
      <c r="OA120" s="68"/>
      <c r="OB120" s="68"/>
      <c r="OC120" s="68"/>
      <c r="OD120" s="68"/>
      <c r="OE120" s="68"/>
      <c r="OF120" s="68"/>
      <c r="OG120" s="68"/>
      <c r="OH120" s="68"/>
      <c r="OI120" s="68"/>
      <c r="OJ120" s="68"/>
      <c r="OK120" s="68"/>
      <c r="OL120" s="68"/>
      <c r="OM120" s="68"/>
      <c r="ON120" s="68"/>
      <c r="OO120" s="68"/>
      <c r="OP120" s="68"/>
      <c r="OQ120" s="68"/>
      <c r="OR120" s="68"/>
      <c r="OS120" s="68"/>
      <c r="OT120" s="68"/>
      <c r="OU120" s="68"/>
      <c r="OV120" s="68"/>
      <c r="OW120" s="68"/>
      <c r="OX120" s="68"/>
      <c r="OY120" s="68"/>
      <c r="OZ120" s="68"/>
      <c r="PA120" s="68"/>
      <c r="PB120" s="68"/>
      <c r="PC120" s="68"/>
      <c r="PD120" s="68"/>
      <c r="PE120" s="68"/>
      <c r="PF120" s="68"/>
      <c r="PG120" s="68"/>
      <c r="PH120" s="68"/>
      <c r="PI120" s="68"/>
      <c r="PJ120" s="68"/>
      <c r="PK120" s="68"/>
      <c r="PL120" s="68"/>
      <c r="PM120" s="68"/>
      <c r="PN120" s="68"/>
      <c r="PO120" s="68"/>
      <c r="PP120" s="68"/>
      <c r="PQ120" s="68"/>
      <c r="PR120" s="68"/>
      <c r="PS120" s="68"/>
      <c r="PT120" s="68"/>
      <c r="PU120" s="68"/>
      <c r="PV120" s="68"/>
      <c r="PW120" s="68"/>
      <c r="PX120" s="68"/>
      <c r="PY120" s="68"/>
      <c r="PZ120" s="68"/>
      <c r="QA120" s="68"/>
      <c r="QB120" s="68"/>
      <c r="QC120" s="68"/>
      <c r="QD120" s="68"/>
      <c r="QE120" s="68"/>
      <c r="QF120" s="68"/>
      <c r="QG120" s="68"/>
      <c r="QH120" s="68"/>
      <c r="QI120" s="68"/>
      <c r="QJ120" s="68"/>
      <c r="QK120" s="68"/>
      <c r="QL120" s="68"/>
      <c r="QM120" s="68"/>
      <c r="QN120" s="68"/>
      <c r="QO120" s="68"/>
      <c r="QP120" s="68"/>
      <c r="QQ120" s="68"/>
      <c r="QR120" s="68"/>
      <c r="QS120" s="68"/>
      <c r="QT120" s="68"/>
      <c r="QU120" s="68"/>
      <c r="QV120" s="68"/>
      <c r="QW120" s="68"/>
      <c r="QX120" s="68"/>
      <c r="QY120" s="68"/>
      <c r="QZ120" s="68"/>
      <c r="RA120" s="68"/>
      <c r="RB120" s="68"/>
      <c r="RC120" s="68"/>
      <c r="RD120" s="68"/>
      <c r="RE120" s="68"/>
      <c r="RF120" s="68"/>
      <c r="RG120" s="68"/>
      <c r="RH120" s="68"/>
      <c r="RI120" s="68"/>
      <c r="RJ120" s="68"/>
      <c r="RK120" s="68"/>
      <c r="RL120" s="68"/>
      <c r="RM120" s="68"/>
      <c r="RN120" s="68"/>
      <c r="RO120" s="68"/>
      <c r="RP120" s="68"/>
      <c r="RQ120" s="68"/>
      <c r="RR120" s="68"/>
      <c r="RS120" s="68"/>
      <c r="RT120" s="68"/>
      <c r="RU120" s="68"/>
      <c r="RV120" s="68"/>
      <c r="RW120" s="68"/>
      <c r="RX120" s="68"/>
      <c r="RY120" s="68"/>
      <c r="RZ120" s="68"/>
      <c r="SA120" s="68"/>
      <c r="SB120" s="68"/>
      <c r="SC120" s="68"/>
      <c r="SD120" s="68"/>
      <c r="SE120" s="68"/>
      <c r="SF120" s="68"/>
      <c r="SG120" s="68"/>
      <c r="SH120" s="68"/>
      <c r="SI120" s="68"/>
      <c r="SJ120" s="68"/>
      <c r="SK120" s="68"/>
      <c r="SL120" s="68"/>
      <c r="SM120" s="68"/>
      <c r="SN120" s="68"/>
      <c r="SO120" s="68"/>
      <c r="SP120" s="68"/>
      <c r="SQ120" s="68"/>
      <c r="SR120" s="68"/>
      <c r="SS120" s="68"/>
      <c r="ST120" s="68"/>
      <c r="SU120" s="68"/>
      <c r="SV120" s="68"/>
      <c r="SW120" s="68"/>
      <c r="SX120" s="68"/>
      <c r="SY120" s="68"/>
      <c r="SZ120" s="68"/>
      <c r="TA120" s="68"/>
      <c r="TB120" s="68"/>
      <c r="TC120" s="68"/>
      <c r="TD120" s="68"/>
      <c r="TE120" s="68"/>
      <c r="TF120" s="68"/>
      <c r="TG120" s="68"/>
      <c r="TH120" s="68"/>
      <c r="TI120" s="68"/>
      <c r="TJ120" s="68"/>
      <c r="TK120" s="68"/>
      <c r="TL120" s="68"/>
      <c r="TM120" s="68"/>
      <c r="TN120" s="68"/>
      <c r="TO120" s="68"/>
      <c r="TP120" s="68"/>
      <c r="TQ120" s="68"/>
      <c r="TR120" s="68"/>
      <c r="TS120" s="68"/>
      <c r="TT120" s="68"/>
      <c r="TU120" s="68"/>
      <c r="TV120" s="68"/>
      <c r="TW120" s="68"/>
      <c r="TX120" s="68"/>
      <c r="TY120" s="68"/>
      <c r="TZ120" s="68"/>
      <c r="UA120" s="68"/>
      <c r="UB120" s="68"/>
      <c r="UC120" s="68"/>
      <c r="UD120" s="68"/>
      <c r="UE120" s="68"/>
      <c r="UF120" s="68"/>
      <c r="UG120" s="68"/>
      <c r="UH120" s="68"/>
      <c r="UI120" s="68"/>
      <c r="UJ120" s="68"/>
      <c r="UK120" s="68"/>
      <c r="UL120" s="68"/>
      <c r="UM120" s="68"/>
      <c r="UN120" s="68"/>
      <c r="UO120" s="68"/>
      <c r="UP120" s="68"/>
      <c r="UQ120" s="68"/>
      <c r="UR120" s="68"/>
      <c r="US120" s="68"/>
      <c r="UT120" s="68"/>
      <c r="UU120" s="68"/>
      <c r="UV120" s="68"/>
      <c r="UW120" s="68"/>
      <c r="UX120" s="68"/>
      <c r="UY120" s="68"/>
      <c r="UZ120" s="68"/>
      <c r="VA120" s="68"/>
      <c r="VB120" s="68"/>
      <c r="VC120" s="68"/>
      <c r="VD120" s="68"/>
      <c r="VE120" s="68"/>
      <c r="VF120" s="68"/>
      <c r="VG120" s="68"/>
      <c r="VH120" s="68"/>
      <c r="VI120" s="68"/>
      <c r="VJ120" s="68"/>
      <c r="VK120" s="68"/>
      <c r="VL120" s="68"/>
      <c r="VM120" s="68"/>
      <c r="VN120" s="68"/>
      <c r="VO120" s="68"/>
      <c r="VP120" s="68"/>
      <c r="VQ120" s="68"/>
      <c r="VR120" s="68"/>
      <c r="VS120" s="68"/>
      <c r="VT120" s="68"/>
      <c r="VU120" s="68"/>
      <c r="VV120" s="68"/>
      <c r="VW120" s="68"/>
      <c r="VX120" s="68"/>
      <c r="VY120" s="68"/>
      <c r="VZ120" s="68"/>
      <c r="WA120" s="68"/>
      <c r="WB120" s="68"/>
      <c r="WC120" s="68"/>
      <c r="WD120" s="68"/>
      <c r="WE120" s="68"/>
      <c r="WF120" s="68"/>
      <c r="WG120" s="68"/>
      <c r="WH120" s="68"/>
      <c r="WI120" s="68"/>
      <c r="WJ120" s="68"/>
      <c r="WK120" s="68"/>
      <c r="WL120" s="68"/>
      <c r="WM120" s="68"/>
      <c r="WN120" s="68"/>
      <c r="WO120" s="68"/>
      <c r="WP120" s="68"/>
      <c r="WQ120" s="68"/>
      <c r="WR120" s="68"/>
      <c r="WS120" s="68"/>
      <c r="WT120" s="68"/>
      <c r="WU120" s="68"/>
      <c r="WV120" s="68"/>
      <c r="WW120" s="68"/>
      <c r="WX120" s="68"/>
      <c r="WY120" s="68"/>
      <c r="WZ120" s="68"/>
      <c r="XA120" s="68"/>
      <c r="XB120" s="68"/>
      <c r="XC120" s="68"/>
      <c r="XD120" s="68"/>
      <c r="XE120" s="68"/>
      <c r="XF120" s="68"/>
      <c r="XG120" s="68"/>
      <c r="XH120" s="68"/>
      <c r="XI120" s="68"/>
      <c r="XJ120" s="68"/>
      <c r="XK120" s="68"/>
      <c r="XL120" s="68"/>
      <c r="XM120" s="68"/>
      <c r="XN120" s="68"/>
      <c r="XO120" s="68"/>
      <c r="XP120" s="68"/>
      <c r="XQ120" s="68"/>
      <c r="XR120" s="68"/>
      <c r="XS120" s="68"/>
      <c r="XT120" s="68"/>
      <c r="XU120" s="68"/>
      <c r="XV120" s="68"/>
      <c r="XW120" s="68"/>
      <c r="XX120" s="68"/>
      <c r="XY120" s="68"/>
      <c r="XZ120" s="68"/>
      <c r="YA120" s="68"/>
      <c r="YB120" s="68"/>
      <c r="YC120" s="68"/>
      <c r="YD120" s="68"/>
      <c r="YE120" s="68"/>
      <c r="YF120" s="68"/>
      <c r="YG120" s="68"/>
      <c r="YH120" s="68"/>
      <c r="YI120" s="68"/>
      <c r="YJ120" s="68"/>
      <c r="YK120" s="68"/>
      <c r="YL120" s="68"/>
      <c r="YM120" s="68"/>
      <c r="YN120" s="68"/>
      <c r="YO120" s="68"/>
      <c r="YP120" s="68"/>
      <c r="YQ120" s="68"/>
      <c r="YR120" s="68"/>
      <c r="YS120" s="68"/>
      <c r="YT120" s="68"/>
      <c r="YU120" s="68"/>
      <c r="YV120" s="68"/>
      <c r="YW120" s="68"/>
      <c r="YX120" s="68"/>
      <c r="YY120" s="68"/>
      <c r="YZ120" s="68"/>
      <c r="ZA120" s="68"/>
      <c r="ZB120" s="68"/>
      <c r="ZC120" s="68"/>
      <c r="ZD120" s="68"/>
      <c r="ZE120" s="68"/>
      <c r="ZF120" s="68"/>
      <c r="ZG120" s="68"/>
      <c r="ZH120" s="68"/>
      <c r="ZI120" s="68"/>
      <c r="ZJ120" s="68"/>
      <c r="ZK120" s="68"/>
      <c r="ZL120" s="68"/>
      <c r="ZM120" s="68"/>
      <c r="ZN120" s="68"/>
      <c r="ZO120" s="68"/>
      <c r="ZP120" s="68"/>
      <c r="ZQ120" s="68"/>
      <c r="ZR120" s="68"/>
      <c r="ZS120" s="68"/>
      <c r="ZT120" s="68"/>
      <c r="ZU120" s="68"/>
      <c r="ZV120" s="68"/>
      <c r="ZW120" s="68"/>
      <c r="ZX120" s="68"/>
      <c r="ZY120" s="68"/>
      <c r="ZZ120" s="68"/>
      <c r="AAA120" s="68"/>
      <c r="AAB120" s="68"/>
      <c r="AAC120" s="68"/>
      <c r="AAD120" s="68"/>
      <c r="AAE120" s="68"/>
      <c r="AAF120" s="68"/>
      <c r="AAG120" s="68"/>
      <c r="AAH120" s="68"/>
      <c r="AAI120" s="68"/>
      <c r="AAJ120" s="68"/>
      <c r="AAK120" s="68"/>
      <c r="AAL120" s="68"/>
      <c r="AAM120" s="68"/>
      <c r="AAN120" s="68"/>
      <c r="AAO120" s="68"/>
      <c r="AAP120" s="68"/>
      <c r="AAQ120" s="68"/>
      <c r="AAR120" s="68"/>
      <c r="AAS120" s="68"/>
      <c r="AAT120" s="68"/>
      <c r="AAU120" s="68"/>
      <c r="AAV120" s="68"/>
      <c r="AAW120" s="68"/>
      <c r="AAX120" s="68"/>
      <c r="AAY120" s="68"/>
      <c r="AAZ120" s="68"/>
      <c r="ABA120" s="68"/>
      <c r="ABB120" s="68"/>
      <c r="ABC120" s="68"/>
      <c r="ABD120" s="68"/>
      <c r="ABE120" s="68"/>
      <c r="ABF120" s="68"/>
      <c r="ABG120" s="68"/>
      <c r="ABH120" s="68"/>
      <c r="ABI120" s="68"/>
      <c r="ABJ120" s="68"/>
      <c r="ABK120" s="68"/>
      <c r="ABL120" s="68"/>
      <c r="ABM120" s="68"/>
      <c r="ABN120" s="68"/>
      <c r="ABO120" s="68"/>
      <c r="ABP120" s="68"/>
      <c r="ABQ120" s="68"/>
      <c r="ABR120" s="68"/>
      <c r="ABS120" s="68"/>
      <c r="ABT120" s="68"/>
      <c r="ABU120" s="68"/>
      <c r="ABV120" s="68"/>
      <c r="ABW120" s="68"/>
      <c r="ABX120" s="68"/>
      <c r="ABY120" s="68"/>
      <c r="ABZ120" s="68"/>
      <c r="ACA120" s="68"/>
      <c r="ACB120" s="68"/>
      <c r="ACC120" s="68"/>
      <c r="ACD120" s="68"/>
      <c r="ACE120" s="68"/>
      <c r="ACF120" s="68"/>
      <c r="ACG120" s="68"/>
      <c r="ACH120" s="68"/>
      <c r="ACI120" s="68"/>
      <c r="ACJ120" s="68"/>
      <c r="ACK120" s="68"/>
      <c r="ACL120" s="68"/>
      <c r="ACM120" s="68"/>
      <c r="ACN120" s="68"/>
      <c r="ACO120" s="68"/>
      <c r="ACP120" s="68"/>
      <c r="ACQ120" s="68"/>
      <c r="ACR120" s="68"/>
      <c r="ACS120" s="68"/>
      <c r="ACT120" s="68"/>
      <c r="ACU120" s="68"/>
      <c r="ACV120" s="68"/>
      <c r="ACW120" s="68"/>
      <c r="ACX120" s="68"/>
      <c r="ACY120" s="68"/>
      <c r="ACZ120" s="68"/>
      <c r="ADA120" s="68"/>
      <c r="ADB120" s="68"/>
      <c r="ADC120" s="68"/>
      <c r="ADD120" s="68"/>
      <c r="ADE120" s="68"/>
      <c r="ADF120" s="68"/>
      <c r="ADG120" s="68"/>
      <c r="ADH120" s="68"/>
      <c r="ADI120" s="68"/>
      <c r="ADJ120" s="68"/>
      <c r="ADK120" s="68"/>
      <c r="ADL120" s="68"/>
      <c r="ADM120" s="68"/>
      <c r="ADN120" s="68"/>
      <c r="ADO120" s="68"/>
      <c r="ADP120" s="68"/>
      <c r="ADQ120" s="68"/>
      <c r="ADR120" s="68"/>
      <c r="ADS120" s="68"/>
      <c r="ADT120" s="68"/>
      <c r="ADU120" s="68"/>
      <c r="ADV120" s="68"/>
      <c r="ADW120" s="68"/>
      <c r="ADX120" s="68"/>
      <c r="ADY120" s="68"/>
      <c r="ADZ120" s="68"/>
      <c r="AEA120" s="68"/>
      <c r="AEB120" s="68"/>
      <c r="AEC120" s="68"/>
      <c r="AED120" s="68"/>
      <c r="AEE120" s="68"/>
      <c r="AEF120" s="68"/>
      <c r="AEG120" s="68"/>
      <c r="AEH120" s="68"/>
      <c r="AEI120" s="68"/>
      <c r="AEJ120" s="68"/>
      <c r="AEK120" s="68"/>
      <c r="AEL120" s="68"/>
      <c r="AEM120" s="68"/>
      <c r="AEN120" s="68"/>
      <c r="AEO120" s="68"/>
      <c r="AEP120" s="68"/>
      <c r="AEQ120" s="68"/>
      <c r="AER120" s="68"/>
      <c r="AES120" s="68"/>
      <c r="AET120" s="68"/>
      <c r="AEU120" s="68"/>
      <c r="AEV120" s="68"/>
      <c r="AEW120" s="68"/>
      <c r="AEX120" s="68"/>
      <c r="AEY120" s="68"/>
      <c r="AEZ120" s="68"/>
      <c r="AFA120" s="68"/>
      <c r="AFB120" s="68"/>
      <c r="AFC120" s="68"/>
      <c r="AFD120" s="68"/>
      <c r="AFE120" s="68"/>
      <c r="AFF120" s="68"/>
      <c r="AFG120" s="68"/>
      <c r="AFH120" s="68"/>
      <c r="AFI120" s="68"/>
      <c r="AFJ120" s="68"/>
      <c r="AFK120" s="68"/>
      <c r="AFL120" s="68"/>
      <c r="AFM120" s="68"/>
      <c r="AFN120" s="68"/>
      <c r="AFO120" s="68"/>
      <c r="AFP120" s="68"/>
      <c r="AFQ120" s="68"/>
      <c r="AFR120" s="68"/>
      <c r="AFS120" s="68"/>
      <c r="AFT120" s="68"/>
      <c r="AFU120" s="68"/>
      <c r="AFV120" s="68"/>
      <c r="AFW120" s="68"/>
      <c r="AFX120" s="68"/>
      <c r="AFY120" s="68"/>
      <c r="AFZ120" s="68"/>
      <c r="AGA120" s="68"/>
      <c r="AGB120" s="68"/>
      <c r="AGC120" s="68"/>
      <c r="AGD120" s="68"/>
      <c r="AGE120" s="68"/>
      <c r="AGF120" s="68"/>
      <c r="AGG120" s="68"/>
      <c r="AGH120" s="68"/>
      <c r="AGI120" s="68"/>
      <c r="AGJ120" s="68"/>
      <c r="AGK120" s="68"/>
      <c r="AGL120" s="68"/>
      <c r="AGM120" s="68"/>
      <c r="AGN120" s="68"/>
      <c r="AGO120" s="68"/>
      <c r="AGP120" s="68"/>
      <c r="AGQ120" s="68"/>
      <c r="AGR120" s="68"/>
      <c r="AGS120" s="68"/>
      <c r="AGT120" s="68"/>
      <c r="AGU120" s="68"/>
      <c r="AGV120" s="68"/>
      <c r="AGW120" s="68"/>
      <c r="AGX120" s="68"/>
      <c r="AGY120" s="68"/>
      <c r="AGZ120" s="68"/>
      <c r="AHA120" s="68"/>
      <c r="AHB120" s="68"/>
      <c r="AHC120" s="68"/>
      <c r="AHD120" s="68"/>
      <c r="AHE120" s="68"/>
      <c r="AHF120" s="68"/>
      <c r="AHG120" s="68"/>
      <c r="AHH120" s="68"/>
      <c r="AHI120" s="68"/>
      <c r="AHJ120" s="68"/>
      <c r="AHK120" s="68"/>
      <c r="AHL120" s="68"/>
      <c r="AHM120" s="68"/>
      <c r="AHN120" s="68"/>
      <c r="AHO120" s="68"/>
      <c r="AHP120" s="68"/>
      <c r="AHQ120" s="68"/>
      <c r="AHR120" s="68"/>
      <c r="AHS120" s="68"/>
      <c r="AHT120" s="68"/>
      <c r="AHU120" s="68"/>
      <c r="AHV120" s="68"/>
      <c r="AHW120" s="68"/>
      <c r="AHX120" s="68"/>
      <c r="AHY120" s="68"/>
      <c r="AHZ120" s="68"/>
      <c r="AIA120" s="68"/>
      <c r="AIB120" s="68"/>
      <c r="AIC120" s="68"/>
      <c r="AID120" s="68"/>
      <c r="AIE120" s="68"/>
      <c r="AIF120" s="68"/>
      <c r="AIG120" s="68"/>
      <c r="AIH120" s="68"/>
      <c r="AII120" s="68"/>
      <c r="AIJ120" s="68"/>
      <c r="AIK120" s="68"/>
      <c r="AIL120" s="68"/>
      <c r="AIM120" s="68"/>
      <c r="AIN120" s="68"/>
      <c r="AIO120" s="68"/>
      <c r="AIP120" s="68"/>
      <c r="AIQ120" s="68"/>
      <c r="AIR120" s="68"/>
      <c r="AIS120" s="68"/>
      <c r="AIT120" s="68"/>
      <c r="AIU120" s="68"/>
      <c r="AIV120" s="68"/>
      <c r="AIW120" s="68"/>
      <c r="AIX120" s="68"/>
      <c r="AIY120" s="68"/>
      <c r="AIZ120" s="68"/>
      <c r="AJA120" s="68"/>
      <c r="AJB120" s="68"/>
      <c r="AJC120" s="68"/>
      <c r="AJD120" s="68"/>
      <c r="AJE120" s="68"/>
      <c r="AJF120" s="68"/>
      <c r="AJG120" s="68"/>
      <c r="AJH120" s="68"/>
      <c r="AJI120" s="68"/>
      <c r="AJJ120" s="68"/>
      <c r="AJK120" s="68"/>
      <c r="AJL120" s="68"/>
      <c r="AJM120" s="68"/>
      <c r="AJN120" s="68"/>
      <c r="AJO120" s="68"/>
      <c r="AJP120" s="68"/>
      <c r="AJQ120" s="68"/>
      <c r="AJR120" s="68"/>
      <c r="AJS120" s="68"/>
      <c r="AJT120" s="68"/>
      <c r="AJU120" s="68"/>
      <c r="AJV120" s="68"/>
      <c r="AJW120" s="68"/>
      <c r="AJX120" s="68"/>
      <c r="AJY120" s="68"/>
      <c r="AJZ120" s="68"/>
      <c r="AKA120" s="68"/>
      <c r="AKB120" s="68"/>
      <c r="AKC120" s="68"/>
      <c r="AKD120" s="68"/>
      <c r="AKE120" s="68"/>
      <c r="AKF120" s="68"/>
      <c r="AKG120" s="68"/>
      <c r="AKH120" s="68"/>
      <c r="AKI120" s="68"/>
      <c r="AKJ120" s="68"/>
      <c r="AKK120" s="68"/>
      <c r="AKL120" s="68"/>
      <c r="AKM120" s="68"/>
      <c r="AKN120" s="68"/>
      <c r="AKO120" s="68"/>
      <c r="AKP120" s="68"/>
      <c r="AKQ120" s="68"/>
      <c r="AKR120" s="68"/>
      <c r="AKS120" s="68"/>
      <c r="AKT120" s="68"/>
      <c r="AKU120" s="68"/>
      <c r="AKV120" s="68"/>
      <c r="AKW120" s="68"/>
      <c r="AKX120" s="68"/>
      <c r="AKY120" s="68"/>
      <c r="AKZ120" s="68"/>
      <c r="ALA120" s="68"/>
      <c r="ALB120" s="68"/>
      <c r="ALC120" s="68"/>
      <c r="ALD120" s="68"/>
      <c r="ALE120" s="68"/>
      <c r="ALF120" s="68"/>
      <c r="ALG120" s="68"/>
      <c r="ALH120" s="68"/>
      <c r="ALI120" s="68"/>
      <c r="ALJ120" s="68"/>
      <c r="ALK120" s="68"/>
      <c r="ALL120" s="68"/>
      <c r="ALM120" s="68"/>
      <c r="ALN120" s="68"/>
      <c r="ALO120" s="68"/>
      <c r="ALP120" s="68"/>
      <c r="ALQ120" s="68"/>
      <c r="ALR120" s="68"/>
      <c r="ALS120" s="68"/>
      <c r="ALT120" s="68"/>
      <c r="ALU120" s="68"/>
      <c r="ALV120" s="68"/>
      <c r="ALW120" s="68"/>
      <c r="ALX120" s="68"/>
      <c r="ALY120" s="68"/>
      <c r="ALZ120" s="68"/>
      <c r="AMA120" s="68"/>
      <c r="AMB120" s="68"/>
      <c r="AMC120" s="68"/>
      <c r="AMD120" s="68"/>
      <c r="AME120" s="68"/>
      <c r="AMF120" s="68"/>
      <c r="AMG120" s="68"/>
      <c r="AMH120" s="68"/>
      <c r="AMI120" s="68"/>
      <c r="AMJ120" s="68"/>
      <c r="AMK120" s="68"/>
      <c r="AML120" s="68"/>
      <c r="AMM120" s="68"/>
      <c r="AMN120" s="68"/>
      <c r="AMO120" s="68"/>
      <c r="AMP120" s="68"/>
      <c r="AMQ120" s="68"/>
      <c r="AMR120" s="68"/>
      <c r="AMS120" s="68"/>
      <c r="AMT120" s="68"/>
      <c r="AMU120" s="68"/>
      <c r="AMV120" s="68"/>
      <c r="AMW120" s="68"/>
      <c r="AMX120" s="68"/>
      <c r="AMY120" s="68"/>
      <c r="AMZ120" s="68"/>
      <c r="ANA120" s="68"/>
      <c r="ANB120" s="68"/>
      <c r="ANC120" s="68"/>
      <c r="AND120" s="68"/>
      <c r="ANE120" s="68"/>
      <c r="ANF120" s="68"/>
      <c r="ANG120" s="68"/>
      <c r="ANH120" s="68"/>
      <c r="ANI120" s="68"/>
      <c r="ANJ120" s="68"/>
      <c r="ANK120" s="68"/>
      <c r="ANL120" s="68"/>
      <c r="ANM120" s="68"/>
      <c r="ANN120" s="68"/>
      <c r="ANO120" s="68"/>
      <c r="ANP120" s="68"/>
      <c r="ANQ120" s="68"/>
      <c r="ANR120" s="68"/>
      <c r="ANS120" s="68"/>
      <c r="ANT120" s="68"/>
      <c r="ANU120" s="68"/>
      <c r="ANV120" s="68"/>
      <c r="ANW120" s="68"/>
      <c r="ANX120" s="68"/>
      <c r="ANY120" s="68"/>
      <c r="ANZ120" s="68"/>
      <c r="AOA120" s="68"/>
      <c r="AOB120" s="68"/>
      <c r="AOC120" s="68"/>
      <c r="AOD120" s="68"/>
      <c r="AOE120" s="68"/>
      <c r="AOF120" s="68"/>
      <c r="AOG120" s="68"/>
      <c r="AOH120" s="68"/>
      <c r="AOI120" s="68"/>
      <c r="AOJ120" s="68"/>
      <c r="AOK120" s="68"/>
      <c r="AOL120" s="68"/>
      <c r="AOM120" s="68"/>
      <c r="AON120" s="68"/>
      <c r="AOO120" s="68"/>
      <c r="AOP120" s="68"/>
      <c r="AOQ120" s="68"/>
      <c r="AOR120" s="68"/>
      <c r="AOS120" s="68"/>
      <c r="AOT120" s="68"/>
      <c r="AOU120" s="68"/>
      <c r="AOV120" s="68"/>
      <c r="AOW120" s="68"/>
      <c r="AOX120" s="68"/>
      <c r="AOY120" s="68"/>
      <c r="AOZ120" s="68"/>
      <c r="APA120" s="68"/>
      <c r="APB120" s="68"/>
      <c r="APC120" s="68"/>
      <c r="APD120" s="68"/>
      <c r="APE120" s="68"/>
      <c r="APF120" s="68"/>
      <c r="APG120" s="68"/>
      <c r="APH120" s="68"/>
      <c r="API120" s="68"/>
      <c r="APJ120" s="68"/>
      <c r="APK120" s="68"/>
      <c r="APL120" s="68"/>
      <c r="APM120" s="68"/>
      <c r="APN120" s="68"/>
      <c r="APO120" s="68"/>
      <c r="APP120" s="68"/>
      <c r="APQ120" s="68"/>
      <c r="APR120" s="68"/>
      <c r="APS120" s="68"/>
      <c r="APT120" s="68"/>
      <c r="APU120" s="68"/>
      <c r="APV120" s="68"/>
      <c r="APW120" s="68"/>
      <c r="APX120" s="68"/>
      <c r="APY120" s="68"/>
      <c r="APZ120" s="68"/>
      <c r="AQA120" s="68"/>
      <c r="AQB120" s="68"/>
      <c r="AQC120" s="68"/>
      <c r="AQD120" s="68"/>
      <c r="AQE120" s="68"/>
      <c r="AQF120" s="68"/>
      <c r="AQG120" s="68"/>
      <c r="AQH120" s="68"/>
      <c r="AQI120" s="68"/>
      <c r="AQJ120" s="68"/>
      <c r="AQK120" s="68"/>
      <c r="AQL120" s="68"/>
      <c r="AQM120" s="68"/>
      <c r="AQN120" s="68"/>
      <c r="AQO120" s="68"/>
      <c r="AQP120" s="68"/>
      <c r="AQQ120" s="68"/>
      <c r="AQR120" s="68"/>
      <c r="AQS120" s="68"/>
      <c r="AQT120" s="68"/>
      <c r="AQU120" s="68"/>
      <c r="AQV120" s="68"/>
      <c r="AQW120" s="68"/>
      <c r="AQX120" s="68"/>
      <c r="AQY120" s="68"/>
      <c r="AQZ120" s="68"/>
      <c r="ARA120" s="68"/>
      <c r="ARB120" s="68"/>
      <c r="ARC120" s="68"/>
      <c r="ARD120" s="68"/>
      <c r="ARE120" s="68"/>
      <c r="ARF120" s="68"/>
      <c r="ARG120" s="68"/>
      <c r="ARH120" s="68"/>
      <c r="ARI120" s="68"/>
      <c r="ARJ120" s="68"/>
      <c r="ARK120" s="68"/>
      <c r="ARL120" s="68"/>
      <c r="ARM120" s="68"/>
      <c r="ARN120" s="68"/>
      <c r="ARO120" s="68"/>
      <c r="ARP120" s="68"/>
      <c r="ARQ120" s="68"/>
      <c r="ARR120" s="68"/>
      <c r="ARS120" s="68"/>
      <c r="ART120" s="68"/>
      <c r="ARU120" s="68"/>
      <c r="ARV120" s="68"/>
      <c r="ARW120" s="68"/>
      <c r="ARX120" s="68"/>
      <c r="ARY120" s="68"/>
      <c r="ARZ120" s="68"/>
      <c r="ASA120" s="68"/>
      <c r="ASB120" s="68"/>
      <c r="ASC120" s="68"/>
      <c r="ASD120" s="68"/>
      <c r="ASE120" s="68"/>
      <c r="ASF120" s="68"/>
      <c r="ASG120" s="68"/>
      <c r="ASH120" s="68"/>
      <c r="ASI120" s="68"/>
      <c r="ASJ120" s="68"/>
      <c r="ASK120" s="68"/>
      <c r="ASL120" s="68"/>
      <c r="ASM120" s="68"/>
      <c r="ASN120" s="68"/>
      <c r="ASO120" s="68"/>
      <c r="ASP120" s="68"/>
      <c r="ASQ120" s="68"/>
      <c r="ASR120" s="68"/>
      <c r="ASS120" s="68"/>
      <c r="AST120" s="68"/>
      <c r="ASU120" s="68"/>
      <c r="ASV120" s="68"/>
      <c r="ASW120" s="68"/>
      <c r="ASX120" s="68"/>
      <c r="ASY120" s="68"/>
      <c r="ASZ120" s="68"/>
      <c r="ATA120" s="68"/>
      <c r="ATB120" s="68"/>
      <c r="ATC120" s="68"/>
      <c r="ATD120" s="68"/>
      <c r="ATE120" s="68"/>
      <c r="ATF120" s="68"/>
      <c r="ATG120" s="68"/>
      <c r="ATH120" s="68"/>
      <c r="ATI120" s="68"/>
      <c r="ATJ120" s="68"/>
      <c r="ATK120" s="68"/>
      <c r="ATL120" s="68"/>
      <c r="ATM120" s="68"/>
      <c r="ATN120" s="68"/>
      <c r="ATO120" s="68"/>
      <c r="ATP120" s="68"/>
      <c r="ATQ120" s="68"/>
      <c r="ATR120" s="68"/>
      <c r="ATS120" s="68"/>
      <c r="ATT120" s="68"/>
      <c r="ATU120" s="68"/>
      <c r="ATV120" s="68"/>
      <c r="ATW120" s="68"/>
      <c r="ATX120" s="68"/>
      <c r="ATY120" s="68"/>
      <c r="ATZ120" s="68"/>
      <c r="AUA120" s="68"/>
      <c r="AUB120" s="68"/>
      <c r="AUC120" s="68"/>
      <c r="AUD120" s="68"/>
      <c r="AUE120" s="68"/>
      <c r="AUF120" s="68"/>
      <c r="AUG120" s="68"/>
      <c r="AUH120" s="68"/>
      <c r="AUI120" s="68"/>
      <c r="AUJ120" s="68"/>
      <c r="AUK120" s="68"/>
      <c r="AUL120" s="68"/>
      <c r="AUM120" s="68"/>
      <c r="AUN120" s="68"/>
      <c r="AUO120" s="68"/>
      <c r="AUP120" s="68"/>
      <c r="AUQ120" s="68"/>
      <c r="AUR120" s="68"/>
      <c r="AUS120" s="68"/>
      <c r="AUT120" s="68"/>
      <c r="AUU120" s="68"/>
      <c r="AUV120" s="68"/>
      <c r="AUW120" s="68"/>
      <c r="AUX120" s="68"/>
      <c r="AUY120" s="68"/>
      <c r="AUZ120" s="68"/>
      <c r="AVA120" s="68"/>
      <c r="AVB120" s="68"/>
      <c r="AVC120" s="68"/>
      <c r="AVD120" s="68"/>
      <c r="AVE120" s="68"/>
      <c r="AVF120" s="68"/>
      <c r="AVG120" s="68"/>
      <c r="AVH120" s="68"/>
      <c r="AVI120" s="68"/>
      <c r="AVJ120" s="68"/>
      <c r="AVK120" s="68"/>
      <c r="AVL120" s="68"/>
      <c r="AVM120" s="68"/>
      <c r="AVN120" s="68"/>
      <c r="AVO120" s="68"/>
      <c r="AVP120" s="68"/>
      <c r="AVQ120" s="68"/>
      <c r="AVR120" s="68"/>
      <c r="AVS120" s="68"/>
      <c r="AVT120" s="68"/>
      <c r="AVU120" s="68"/>
      <c r="AVV120" s="68"/>
      <c r="AVW120" s="68"/>
      <c r="AVX120" s="68"/>
      <c r="AVY120" s="68"/>
      <c r="AVZ120" s="68"/>
      <c r="AWA120" s="68"/>
      <c r="AWB120" s="68"/>
      <c r="AWC120" s="68"/>
      <c r="AWD120" s="68"/>
      <c r="AWE120" s="68"/>
      <c r="AWF120" s="68"/>
      <c r="AWG120" s="68"/>
      <c r="AWH120" s="68"/>
      <c r="AWI120" s="68"/>
      <c r="AWJ120" s="68"/>
      <c r="AWK120" s="68"/>
      <c r="AWL120" s="68"/>
      <c r="AWM120" s="68"/>
      <c r="AWN120" s="68"/>
      <c r="AWO120" s="68"/>
      <c r="AWP120" s="68"/>
      <c r="AWQ120" s="68"/>
      <c r="AWR120" s="68"/>
      <c r="AWS120" s="68"/>
      <c r="AWT120" s="68"/>
      <c r="AWU120" s="68"/>
      <c r="AWV120" s="68"/>
      <c r="AWW120" s="68"/>
      <c r="AWX120" s="68"/>
      <c r="AWY120" s="68"/>
      <c r="AWZ120" s="68"/>
      <c r="AXA120" s="68"/>
      <c r="AXB120" s="68"/>
      <c r="AXC120" s="68"/>
      <c r="AXD120" s="68"/>
      <c r="AXE120" s="68"/>
      <c r="AXF120" s="68"/>
      <c r="AXG120" s="68"/>
      <c r="AXH120" s="68"/>
      <c r="AXI120" s="68"/>
      <c r="AXJ120" s="68"/>
      <c r="AXK120" s="68"/>
      <c r="AXL120" s="68"/>
      <c r="AXM120" s="68"/>
      <c r="AXN120" s="68"/>
      <c r="AXO120" s="68"/>
      <c r="AXP120" s="68"/>
      <c r="AXQ120" s="68"/>
      <c r="AXR120" s="68"/>
      <c r="AXS120" s="68"/>
      <c r="AXT120" s="68"/>
      <c r="AXU120" s="68"/>
      <c r="AXV120" s="68"/>
      <c r="AXW120" s="68"/>
      <c r="AXX120" s="68"/>
      <c r="AXY120" s="68"/>
      <c r="AXZ120" s="68"/>
      <c r="AYA120" s="68"/>
      <c r="AYB120" s="68"/>
      <c r="AYC120" s="68"/>
      <c r="AYD120" s="68"/>
      <c r="AYE120" s="68"/>
      <c r="AYF120" s="68"/>
      <c r="AYG120" s="68"/>
      <c r="AYH120" s="68"/>
      <c r="AYI120" s="68"/>
      <c r="AYJ120" s="68"/>
      <c r="AYK120" s="68"/>
      <c r="AYL120" s="68"/>
      <c r="AYM120" s="68"/>
      <c r="AYN120" s="68"/>
      <c r="AYO120" s="68"/>
      <c r="AYP120" s="68"/>
      <c r="AYQ120" s="68"/>
      <c r="AYR120" s="68"/>
      <c r="AYS120" s="68"/>
      <c r="AYT120" s="68"/>
      <c r="AYU120" s="68"/>
      <c r="AYV120" s="68"/>
      <c r="AYW120" s="68"/>
      <c r="AYX120" s="68"/>
      <c r="AYY120" s="68"/>
      <c r="AYZ120" s="68"/>
      <c r="AZA120" s="68"/>
      <c r="AZB120" s="68"/>
      <c r="AZC120" s="68"/>
      <c r="AZD120" s="68"/>
      <c r="AZE120" s="68"/>
      <c r="AZF120" s="68"/>
      <c r="AZG120" s="68"/>
      <c r="AZH120" s="68"/>
      <c r="AZI120" s="68"/>
      <c r="AZJ120" s="68"/>
      <c r="AZK120" s="68"/>
      <c r="AZL120" s="68"/>
      <c r="AZM120" s="68"/>
      <c r="AZN120" s="68"/>
      <c r="AZO120" s="68"/>
      <c r="AZP120" s="68"/>
      <c r="AZQ120" s="68"/>
      <c r="AZR120" s="68"/>
      <c r="AZS120" s="68"/>
      <c r="AZT120" s="68"/>
      <c r="AZU120" s="68"/>
      <c r="AZV120" s="68"/>
      <c r="AZW120" s="68"/>
      <c r="AZX120" s="68"/>
      <c r="AZY120" s="68"/>
      <c r="AZZ120" s="68"/>
      <c r="BAA120" s="68"/>
      <c r="BAB120" s="68"/>
      <c r="BAC120" s="68"/>
      <c r="BAD120" s="68"/>
      <c r="BAE120" s="68"/>
      <c r="BAF120" s="68"/>
      <c r="BAG120" s="68"/>
      <c r="BAH120" s="68"/>
      <c r="BAI120" s="68"/>
      <c r="BAJ120" s="68"/>
      <c r="BAK120" s="68"/>
      <c r="BAL120" s="68"/>
      <c r="BAM120" s="68"/>
      <c r="BAN120" s="68"/>
      <c r="BAO120" s="68"/>
      <c r="BAP120" s="68"/>
      <c r="BAQ120" s="68"/>
      <c r="BAR120" s="68"/>
      <c r="BAS120" s="68"/>
      <c r="BAT120" s="68"/>
      <c r="BAU120" s="68"/>
      <c r="BAV120" s="68"/>
      <c r="BAW120" s="68"/>
      <c r="BAX120" s="68"/>
      <c r="BAY120" s="68"/>
      <c r="BAZ120" s="68"/>
      <c r="BBA120" s="68"/>
      <c r="BBB120" s="68"/>
      <c r="BBC120" s="68"/>
      <c r="BBD120" s="68"/>
      <c r="BBE120" s="68"/>
      <c r="BBF120" s="68"/>
      <c r="BBG120" s="68"/>
      <c r="BBH120" s="68"/>
      <c r="BBI120" s="68"/>
      <c r="BBJ120" s="68"/>
      <c r="BBK120" s="68"/>
      <c r="BBL120" s="68"/>
      <c r="BBM120" s="68"/>
      <c r="BBN120" s="68"/>
      <c r="BBO120" s="68"/>
      <c r="BBP120" s="68"/>
      <c r="BBQ120" s="68"/>
      <c r="BBR120" s="68"/>
      <c r="BBS120" s="68"/>
      <c r="BBT120" s="68"/>
      <c r="BBU120" s="68"/>
      <c r="BBV120" s="68"/>
      <c r="BBW120" s="68"/>
      <c r="BBX120" s="68"/>
      <c r="BBY120" s="68"/>
      <c r="BBZ120" s="68"/>
      <c r="BCA120" s="68"/>
      <c r="BCB120" s="68"/>
      <c r="BCC120" s="68"/>
      <c r="BCD120" s="68"/>
      <c r="BCE120" s="68"/>
      <c r="BCF120" s="68"/>
      <c r="BCG120" s="68"/>
      <c r="BCH120" s="68"/>
      <c r="BCI120" s="68"/>
      <c r="BCJ120" s="68"/>
      <c r="BCK120" s="68"/>
      <c r="BCL120" s="68"/>
      <c r="BCM120" s="68"/>
      <c r="BCN120" s="68"/>
      <c r="BCO120" s="68"/>
      <c r="BCP120" s="68"/>
      <c r="BCQ120" s="68"/>
      <c r="BCR120" s="68"/>
      <c r="BCS120" s="68"/>
      <c r="BCT120" s="68"/>
      <c r="BCU120" s="68"/>
      <c r="BCV120" s="68"/>
      <c r="BCW120" s="68"/>
      <c r="BCX120" s="68"/>
      <c r="BCY120" s="68"/>
      <c r="BCZ120" s="68"/>
      <c r="BDA120" s="68"/>
    </row>
    <row r="121" spans="1:1457" s="67" customFormat="1" ht="24.75" customHeight="1" x14ac:dyDescent="0.25">
      <c r="A121" s="49">
        <v>39</v>
      </c>
      <c r="B121" s="71" t="s">
        <v>439</v>
      </c>
      <c r="C121" s="71" t="s">
        <v>440</v>
      </c>
      <c r="D121" s="69" t="s">
        <v>708</v>
      </c>
      <c r="E121" s="71" t="s">
        <v>709</v>
      </c>
      <c r="F121" s="51">
        <v>2575706.1</v>
      </c>
      <c r="G121" s="70" t="s">
        <v>679</v>
      </c>
      <c r="H121" s="42" t="s">
        <v>670</v>
      </c>
      <c r="I121" s="71" t="s">
        <v>17</v>
      </c>
      <c r="J121" s="71"/>
      <c r="K121" s="69"/>
      <c r="L121" s="69"/>
      <c r="N121"/>
      <c r="O121"/>
      <c r="P121"/>
      <c r="Q121"/>
      <c r="R121"/>
      <c r="S121"/>
      <c r="T121"/>
      <c r="U121"/>
      <c r="V121"/>
      <c r="W121"/>
      <c r="X121"/>
      <c r="Y121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8"/>
      <c r="BU121" s="68"/>
      <c r="BV121" s="68"/>
      <c r="BW121" s="68"/>
      <c r="BX121" s="68"/>
      <c r="BY121" s="68"/>
      <c r="BZ121" s="68"/>
      <c r="CA121" s="68"/>
      <c r="CB121" s="68"/>
      <c r="CC121" s="68"/>
      <c r="CD121" s="68"/>
      <c r="CE121" s="68"/>
      <c r="CF121" s="68"/>
      <c r="CG121" s="68"/>
      <c r="CH121" s="68"/>
      <c r="CI121" s="68"/>
      <c r="CJ121" s="68"/>
      <c r="CK121" s="68"/>
      <c r="CL121" s="68"/>
      <c r="CM121" s="68"/>
      <c r="CN121" s="68"/>
      <c r="CO121" s="68"/>
      <c r="CP121" s="68"/>
      <c r="CQ121" s="68"/>
      <c r="CR121" s="68"/>
      <c r="CS121" s="68"/>
      <c r="CT121" s="68"/>
      <c r="CU121" s="68"/>
      <c r="CV121" s="68"/>
      <c r="CW121" s="68"/>
      <c r="CX121" s="68"/>
      <c r="CY121" s="68"/>
      <c r="CZ121" s="68"/>
      <c r="DA121" s="68"/>
      <c r="DB121" s="68"/>
      <c r="DC121" s="68"/>
      <c r="DD121" s="68"/>
      <c r="DE121" s="68"/>
      <c r="DF121" s="68"/>
      <c r="DG121" s="68"/>
      <c r="DH121" s="68"/>
      <c r="DI121" s="68"/>
      <c r="DJ121" s="68"/>
      <c r="DK121" s="68"/>
      <c r="DL121" s="68"/>
      <c r="DM121" s="68"/>
      <c r="DN121" s="68"/>
      <c r="DO121" s="68"/>
      <c r="DP121" s="68"/>
      <c r="DQ121" s="68"/>
      <c r="DR121" s="68"/>
      <c r="DS121" s="68"/>
      <c r="DT121" s="68"/>
      <c r="DU121" s="68"/>
      <c r="DV121" s="68"/>
      <c r="DW121" s="68"/>
      <c r="DX121" s="68"/>
      <c r="DY121" s="68"/>
      <c r="DZ121" s="68"/>
      <c r="EA121" s="68"/>
      <c r="EB121" s="68"/>
      <c r="EC121" s="68"/>
      <c r="ED121" s="68"/>
      <c r="EE121" s="68"/>
      <c r="EF121" s="68"/>
      <c r="EG121" s="68"/>
      <c r="EH121" s="68"/>
      <c r="EI121" s="68"/>
      <c r="EJ121" s="68"/>
      <c r="EK121" s="68"/>
      <c r="EL121" s="68"/>
      <c r="EM121" s="68"/>
      <c r="EN121" s="68"/>
      <c r="EO121" s="68"/>
      <c r="EP121" s="68"/>
      <c r="EQ121" s="68"/>
      <c r="ER121" s="68"/>
      <c r="ES121" s="68"/>
      <c r="ET121" s="68"/>
      <c r="EU121" s="68"/>
      <c r="EV121" s="68"/>
      <c r="EW121" s="68"/>
      <c r="EX121" s="68"/>
      <c r="EY121" s="68"/>
      <c r="EZ121" s="68"/>
      <c r="FA121" s="68"/>
      <c r="FB121" s="68"/>
      <c r="FC121" s="68"/>
      <c r="FD121" s="68"/>
      <c r="FE121" s="68"/>
      <c r="FF121" s="68"/>
      <c r="FG121" s="68"/>
      <c r="FH121" s="68"/>
      <c r="FI121" s="68"/>
      <c r="FJ121" s="68"/>
      <c r="FK121" s="68"/>
      <c r="FL121" s="68"/>
      <c r="FM121" s="68"/>
      <c r="FN121" s="68"/>
      <c r="FO121" s="68"/>
      <c r="FP121" s="68"/>
      <c r="FQ121" s="68"/>
      <c r="FR121" s="68"/>
      <c r="FS121" s="68"/>
      <c r="FT121" s="68"/>
      <c r="FU121" s="68"/>
      <c r="FV121" s="68"/>
      <c r="FW121" s="68"/>
      <c r="FX121" s="68"/>
      <c r="FY121" s="68"/>
      <c r="FZ121" s="68"/>
      <c r="GA121" s="68"/>
      <c r="GB121" s="68"/>
      <c r="GC121" s="68"/>
      <c r="GD121" s="68"/>
      <c r="GE121" s="68"/>
      <c r="GF121" s="68"/>
      <c r="GG121" s="68"/>
      <c r="GH121" s="68"/>
      <c r="GI121" s="68"/>
      <c r="GJ121" s="68"/>
      <c r="GK121" s="68"/>
      <c r="GL121" s="68"/>
      <c r="GM121" s="68"/>
      <c r="GN121" s="68"/>
      <c r="GO121" s="68"/>
      <c r="GP121" s="68"/>
      <c r="GQ121" s="68"/>
      <c r="GR121" s="68"/>
      <c r="GS121" s="68"/>
      <c r="GT121" s="68"/>
      <c r="GU121" s="68"/>
      <c r="GV121" s="68"/>
      <c r="GW121" s="68"/>
      <c r="GX121" s="68"/>
      <c r="GY121" s="68"/>
      <c r="GZ121" s="68"/>
      <c r="HA121" s="68"/>
      <c r="HB121" s="68"/>
      <c r="HC121" s="68"/>
      <c r="HD121" s="68"/>
      <c r="HE121" s="68"/>
      <c r="HF121" s="68"/>
      <c r="HG121" s="68"/>
      <c r="HH121" s="68"/>
      <c r="HI121" s="68"/>
      <c r="HJ121" s="68"/>
      <c r="HK121" s="68"/>
      <c r="HL121" s="68"/>
      <c r="HM121" s="68"/>
      <c r="HN121" s="68"/>
      <c r="HO121" s="68"/>
      <c r="HP121" s="68"/>
      <c r="HQ121" s="68"/>
      <c r="HR121" s="68"/>
      <c r="HS121" s="68"/>
      <c r="HT121" s="68"/>
      <c r="HU121" s="68"/>
      <c r="HV121" s="68"/>
      <c r="HW121" s="68"/>
      <c r="HX121" s="68"/>
      <c r="HY121" s="68"/>
      <c r="HZ121" s="68"/>
      <c r="IA121" s="68"/>
      <c r="IB121" s="68"/>
      <c r="IC121" s="68"/>
      <c r="ID121" s="68"/>
      <c r="IE121" s="68"/>
      <c r="IF121" s="68"/>
      <c r="IG121" s="68"/>
      <c r="IH121" s="68"/>
      <c r="II121" s="68"/>
      <c r="IJ121" s="68"/>
      <c r="IK121" s="68"/>
      <c r="IL121" s="68"/>
      <c r="IM121" s="68"/>
      <c r="IN121" s="68"/>
      <c r="IO121" s="68"/>
      <c r="IP121" s="68"/>
      <c r="IQ121" s="68"/>
      <c r="IR121" s="68"/>
      <c r="IS121" s="68"/>
      <c r="IT121" s="68"/>
      <c r="IU121" s="68"/>
      <c r="IV121" s="68"/>
      <c r="IW121" s="68"/>
      <c r="IX121" s="68"/>
      <c r="IY121" s="68"/>
      <c r="IZ121" s="68"/>
      <c r="JA121" s="68"/>
      <c r="JB121" s="68"/>
      <c r="JC121" s="68"/>
      <c r="JD121" s="68"/>
      <c r="JE121" s="68"/>
      <c r="JF121" s="68"/>
      <c r="JG121" s="68"/>
      <c r="JH121" s="68"/>
      <c r="JI121" s="68"/>
      <c r="JJ121" s="68"/>
      <c r="JK121" s="68"/>
      <c r="JL121" s="68"/>
      <c r="JM121" s="68"/>
      <c r="JN121" s="68"/>
      <c r="JO121" s="68"/>
      <c r="JP121" s="68"/>
      <c r="JQ121" s="68"/>
      <c r="JR121" s="68"/>
      <c r="JS121" s="68"/>
      <c r="JT121" s="68"/>
      <c r="JU121" s="68"/>
      <c r="JV121" s="68"/>
      <c r="JW121" s="68"/>
      <c r="JX121" s="68"/>
      <c r="JY121" s="68"/>
      <c r="JZ121" s="68"/>
      <c r="KA121" s="68"/>
      <c r="KB121" s="68"/>
      <c r="KC121" s="68"/>
      <c r="KD121" s="68"/>
      <c r="KE121" s="68"/>
      <c r="KF121" s="68"/>
      <c r="KG121" s="68"/>
      <c r="KH121" s="68"/>
      <c r="KI121" s="68"/>
      <c r="KJ121" s="68"/>
      <c r="KK121" s="68"/>
      <c r="KL121" s="68"/>
      <c r="KM121" s="68"/>
      <c r="KN121" s="68"/>
      <c r="KO121" s="68"/>
      <c r="KP121" s="68"/>
      <c r="KQ121" s="68"/>
      <c r="KR121" s="68"/>
      <c r="KS121" s="68"/>
      <c r="KT121" s="68"/>
      <c r="KU121" s="68"/>
      <c r="KV121" s="68"/>
      <c r="KW121" s="68"/>
      <c r="KX121" s="68"/>
      <c r="KY121" s="68"/>
      <c r="KZ121" s="68"/>
      <c r="LA121" s="68"/>
      <c r="LB121" s="68"/>
      <c r="LC121" s="68"/>
      <c r="LD121" s="68"/>
      <c r="LE121" s="68"/>
      <c r="LF121" s="68"/>
      <c r="LG121" s="68"/>
      <c r="LH121" s="68"/>
      <c r="LI121" s="68"/>
      <c r="LJ121" s="68"/>
      <c r="LK121" s="68"/>
      <c r="LL121" s="68"/>
      <c r="LM121" s="68"/>
      <c r="LN121" s="68"/>
      <c r="LO121" s="68"/>
      <c r="LP121" s="68"/>
      <c r="LQ121" s="68"/>
      <c r="LR121" s="68"/>
      <c r="LS121" s="68"/>
      <c r="LT121" s="68"/>
      <c r="LU121" s="68"/>
      <c r="LV121" s="68"/>
      <c r="LW121" s="68"/>
      <c r="LX121" s="68"/>
      <c r="LY121" s="68"/>
      <c r="LZ121" s="68"/>
      <c r="MA121" s="68"/>
      <c r="MB121" s="68"/>
      <c r="MC121" s="68"/>
      <c r="MD121" s="68"/>
      <c r="ME121" s="68"/>
      <c r="MF121" s="68"/>
      <c r="MG121" s="68"/>
      <c r="MH121" s="68"/>
      <c r="MI121" s="68"/>
      <c r="MJ121" s="68"/>
      <c r="MK121" s="68"/>
      <c r="ML121" s="68"/>
      <c r="MM121" s="68"/>
      <c r="MN121" s="68"/>
      <c r="MO121" s="68"/>
      <c r="MP121" s="68"/>
      <c r="MQ121" s="68"/>
      <c r="MR121" s="68"/>
      <c r="MS121" s="68"/>
      <c r="MT121" s="68"/>
      <c r="MU121" s="68"/>
      <c r="MV121" s="68"/>
      <c r="MW121" s="68"/>
      <c r="MX121" s="68"/>
      <c r="MY121" s="68"/>
      <c r="MZ121" s="68"/>
      <c r="NA121" s="68"/>
      <c r="NB121" s="68"/>
      <c r="NC121" s="68"/>
      <c r="ND121" s="68"/>
      <c r="NE121" s="68"/>
      <c r="NF121" s="68"/>
      <c r="NG121" s="68"/>
      <c r="NH121" s="68"/>
      <c r="NI121" s="68"/>
      <c r="NJ121" s="68"/>
      <c r="NK121" s="68"/>
      <c r="NL121" s="68"/>
      <c r="NM121" s="68"/>
      <c r="NN121" s="68"/>
      <c r="NO121" s="68"/>
      <c r="NP121" s="68"/>
      <c r="NQ121" s="68"/>
      <c r="NR121" s="68"/>
      <c r="NS121" s="68"/>
      <c r="NT121" s="68"/>
      <c r="NU121" s="68"/>
      <c r="NV121" s="68"/>
      <c r="NW121" s="68"/>
      <c r="NX121" s="68"/>
      <c r="NY121" s="68"/>
      <c r="NZ121" s="68"/>
      <c r="OA121" s="68"/>
      <c r="OB121" s="68"/>
      <c r="OC121" s="68"/>
      <c r="OD121" s="68"/>
      <c r="OE121" s="68"/>
      <c r="OF121" s="68"/>
      <c r="OG121" s="68"/>
      <c r="OH121" s="68"/>
      <c r="OI121" s="68"/>
      <c r="OJ121" s="68"/>
      <c r="OK121" s="68"/>
      <c r="OL121" s="68"/>
      <c r="OM121" s="68"/>
      <c r="ON121" s="68"/>
      <c r="OO121" s="68"/>
      <c r="OP121" s="68"/>
      <c r="OQ121" s="68"/>
      <c r="OR121" s="68"/>
      <c r="OS121" s="68"/>
      <c r="OT121" s="68"/>
      <c r="OU121" s="68"/>
      <c r="OV121" s="68"/>
      <c r="OW121" s="68"/>
      <c r="OX121" s="68"/>
      <c r="OY121" s="68"/>
      <c r="OZ121" s="68"/>
      <c r="PA121" s="68"/>
      <c r="PB121" s="68"/>
      <c r="PC121" s="68"/>
      <c r="PD121" s="68"/>
      <c r="PE121" s="68"/>
      <c r="PF121" s="68"/>
      <c r="PG121" s="68"/>
      <c r="PH121" s="68"/>
      <c r="PI121" s="68"/>
      <c r="PJ121" s="68"/>
      <c r="PK121" s="68"/>
      <c r="PL121" s="68"/>
      <c r="PM121" s="68"/>
      <c r="PN121" s="68"/>
      <c r="PO121" s="68"/>
      <c r="PP121" s="68"/>
      <c r="PQ121" s="68"/>
      <c r="PR121" s="68"/>
      <c r="PS121" s="68"/>
      <c r="PT121" s="68"/>
      <c r="PU121" s="68"/>
      <c r="PV121" s="68"/>
      <c r="PW121" s="68"/>
      <c r="PX121" s="68"/>
      <c r="PY121" s="68"/>
      <c r="PZ121" s="68"/>
      <c r="QA121" s="68"/>
      <c r="QB121" s="68"/>
      <c r="QC121" s="68"/>
      <c r="QD121" s="68"/>
      <c r="QE121" s="68"/>
      <c r="QF121" s="68"/>
      <c r="QG121" s="68"/>
      <c r="QH121" s="68"/>
      <c r="QI121" s="68"/>
      <c r="QJ121" s="68"/>
      <c r="QK121" s="68"/>
      <c r="QL121" s="68"/>
      <c r="QM121" s="68"/>
      <c r="QN121" s="68"/>
      <c r="QO121" s="68"/>
      <c r="QP121" s="68"/>
      <c r="QQ121" s="68"/>
      <c r="QR121" s="68"/>
      <c r="QS121" s="68"/>
      <c r="QT121" s="68"/>
      <c r="QU121" s="68"/>
      <c r="QV121" s="68"/>
      <c r="QW121" s="68"/>
      <c r="QX121" s="68"/>
      <c r="QY121" s="68"/>
      <c r="QZ121" s="68"/>
      <c r="RA121" s="68"/>
      <c r="RB121" s="68"/>
      <c r="RC121" s="68"/>
      <c r="RD121" s="68"/>
      <c r="RE121" s="68"/>
      <c r="RF121" s="68"/>
      <c r="RG121" s="68"/>
      <c r="RH121" s="68"/>
      <c r="RI121" s="68"/>
      <c r="RJ121" s="68"/>
      <c r="RK121" s="68"/>
      <c r="RL121" s="68"/>
      <c r="RM121" s="68"/>
      <c r="RN121" s="68"/>
      <c r="RO121" s="68"/>
      <c r="RP121" s="68"/>
      <c r="RQ121" s="68"/>
      <c r="RR121" s="68"/>
      <c r="RS121" s="68"/>
      <c r="RT121" s="68"/>
      <c r="RU121" s="68"/>
      <c r="RV121" s="68"/>
      <c r="RW121" s="68"/>
      <c r="RX121" s="68"/>
      <c r="RY121" s="68"/>
      <c r="RZ121" s="68"/>
      <c r="SA121" s="68"/>
      <c r="SB121" s="68"/>
      <c r="SC121" s="68"/>
      <c r="SD121" s="68"/>
      <c r="SE121" s="68"/>
      <c r="SF121" s="68"/>
      <c r="SG121" s="68"/>
      <c r="SH121" s="68"/>
      <c r="SI121" s="68"/>
      <c r="SJ121" s="68"/>
      <c r="SK121" s="68"/>
      <c r="SL121" s="68"/>
      <c r="SM121" s="68"/>
      <c r="SN121" s="68"/>
      <c r="SO121" s="68"/>
      <c r="SP121" s="68"/>
      <c r="SQ121" s="68"/>
      <c r="SR121" s="68"/>
      <c r="SS121" s="68"/>
      <c r="ST121" s="68"/>
      <c r="SU121" s="68"/>
      <c r="SV121" s="68"/>
      <c r="SW121" s="68"/>
      <c r="SX121" s="68"/>
      <c r="SY121" s="68"/>
      <c r="SZ121" s="68"/>
      <c r="TA121" s="68"/>
      <c r="TB121" s="68"/>
      <c r="TC121" s="68"/>
      <c r="TD121" s="68"/>
      <c r="TE121" s="68"/>
      <c r="TF121" s="68"/>
      <c r="TG121" s="68"/>
      <c r="TH121" s="68"/>
      <c r="TI121" s="68"/>
      <c r="TJ121" s="68"/>
      <c r="TK121" s="68"/>
      <c r="TL121" s="68"/>
      <c r="TM121" s="68"/>
      <c r="TN121" s="68"/>
      <c r="TO121" s="68"/>
      <c r="TP121" s="68"/>
      <c r="TQ121" s="68"/>
      <c r="TR121" s="68"/>
      <c r="TS121" s="68"/>
      <c r="TT121" s="68"/>
      <c r="TU121" s="68"/>
      <c r="TV121" s="68"/>
      <c r="TW121" s="68"/>
      <c r="TX121" s="68"/>
      <c r="TY121" s="68"/>
      <c r="TZ121" s="68"/>
      <c r="UA121" s="68"/>
      <c r="UB121" s="68"/>
      <c r="UC121" s="68"/>
      <c r="UD121" s="68"/>
      <c r="UE121" s="68"/>
      <c r="UF121" s="68"/>
      <c r="UG121" s="68"/>
      <c r="UH121" s="68"/>
      <c r="UI121" s="68"/>
      <c r="UJ121" s="68"/>
      <c r="UK121" s="68"/>
      <c r="UL121" s="68"/>
      <c r="UM121" s="68"/>
      <c r="UN121" s="68"/>
      <c r="UO121" s="68"/>
      <c r="UP121" s="68"/>
      <c r="UQ121" s="68"/>
      <c r="UR121" s="68"/>
      <c r="US121" s="68"/>
      <c r="UT121" s="68"/>
      <c r="UU121" s="68"/>
      <c r="UV121" s="68"/>
      <c r="UW121" s="68"/>
      <c r="UX121" s="68"/>
      <c r="UY121" s="68"/>
      <c r="UZ121" s="68"/>
      <c r="VA121" s="68"/>
      <c r="VB121" s="68"/>
      <c r="VC121" s="68"/>
      <c r="VD121" s="68"/>
      <c r="VE121" s="68"/>
      <c r="VF121" s="68"/>
      <c r="VG121" s="68"/>
      <c r="VH121" s="68"/>
      <c r="VI121" s="68"/>
      <c r="VJ121" s="68"/>
      <c r="VK121" s="68"/>
      <c r="VL121" s="68"/>
      <c r="VM121" s="68"/>
      <c r="VN121" s="68"/>
      <c r="VO121" s="68"/>
      <c r="VP121" s="68"/>
      <c r="VQ121" s="68"/>
      <c r="VR121" s="68"/>
      <c r="VS121" s="68"/>
      <c r="VT121" s="68"/>
      <c r="VU121" s="68"/>
      <c r="VV121" s="68"/>
      <c r="VW121" s="68"/>
      <c r="VX121" s="68"/>
      <c r="VY121" s="68"/>
      <c r="VZ121" s="68"/>
      <c r="WA121" s="68"/>
      <c r="WB121" s="68"/>
      <c r="WC121" s="68"/>
      <c r="WD121" s="68"/>
      <c r="WE121" s="68"/>
      <c r="WF121" s="68"/>
      <c r="WG121" s="68"/>
      <c r="WH121" s="68"/>
      <c r="WI121" s="68"/>
      <c r="WJ121" s="68"/>
      <c r="WK121" s="68"/>
      <c r="WL121" s="68"/>
      <c r="WM121" s="68"/>
      <c r="WN121" s="68"/>
      <c r="WO121" s="68"/>
      <c r="WP121" s="68"/>
      <c r="WQ121" s="68"/>
      <c r="WR121" s="68"/>
      <c r="WS121" s="68"/>
      <c r="WT121" s="68"/>
      <c r="WU121" s="68"/>
      <c r="WV121" s="68"/>
      <c r="WW121" s="68"/>
      <c r="WX121" s="68"/>
      <c r="WY121" s="68"/>
      <c r="WZ121" s="68"/>
      <c r="XA121" s="68"/>
      <c r="XB121" s="68"/>
      <c r="XC121" s="68"/>
      <c r="XD121" s="68"/>
      <c r="XE121" s="68"/>
      <c r="XF121" s="68"/>
      <c r="XG121" s="68"/>
      <c r="XH121" s="68"/>
      <c r="XI121" s="68"/>
      <c r="XJ121" s="68"/>
      <c r="XK121" s="68"/>
      <c r="XL121" s="68"/>
      <c r="XM121" s="68"/>
      <c r="XN121" s="68"/>
      <c r="XO121" s="68"/>
      <c r="XP121" s="68"/>
      <c r="XQ121" s="68"/>
      <c r="XR121" s="68"/>
      <c r="XS121" s="68"/>
      <c r="XT121" s="68"/>
      <c r="XU121" s="68"/>
      <c r="XV121" s="68"/>
      <c r="XW121" s="68"/>
      <c r="XX121" s="68"/>
      <c r="XY121" s="68"/>
      <c r="XZ121" s="68"/>
      <c r="YA121" s="68"/>
      <c r="YB121" s="68"/>
      <c r="YC121" s="68"/>
      <c r="YD121" s="68"/>
      <c r="YE121" s="68"/>
      <c r="YF121" s="68"/>
      <c r="YG121" s="68"/>
      <c r="YH121" s="68"/>
      <c r="YI121" s="68"/>
      <c r="YJ121" s="68"/>
      <c r="YK121" s="68"/>
      <c r="YL121" s="68"/>
      <c r="YM121" s="68"/>
      <c r="YN121" s="68"/>
      <c r="YO121" s="68"/>
      <c r="YP121" s="68"/>
      <c r="YQ121" s="68"/>
      <c r="YR121" s="68"/>
      <c r="YS121" s="68"/>
      <c r="YT121" s="68"/>
      <c r="YU121" s="68"/>
      <c r="YV121" s="68"/>
      <c r="YW121" s="68"/>
      <c r="YX121" s="68"/>
      <c r="YY121" s="68"/>
      <c r="YZ121" s="68"/>
      <c r="ZA121" s="68"/>
      <c r="ZB121" s="68"/>
      <c r="ZC121" s="68"/>
      <c r="ZD121" s="68"/>
      <c r="ZE121" s="68"/>
      <c r="ZF121" s="68"/>
      <c r="ZG121" s="68"/>
      <c r="ZH121" s="68"/>
      <c r="ZI121" s="68"/>
      <c r="ZJ121" s="68"/>
      <c r="ZK121" s="68"/>
      <c r="ZL121" s="68"/>
      <c r="ZM121" s="68"/>
      <c r="ZN121" s="68"/>
      <c r="ZO121" s="68"/>
      <c r="ZP121" s="68"/>
      <c r="ZQ121" s="68"/>
      <c r="ZR121" s="68"/>
      <c r="ZS121" s="68"/>
      <c r="ZT121" s="68"/>
      <c r="ZU121" s="68"/>
      <c r="ZV121" s="68"/>
      <c r="ZW121" s="68"/>
      <c r="ZX121" s="68"/>
      <c r="ZY121" s="68"/>
      <c r="ZZ121" s="68"/>
      <c r="AAA121" s="68"/>
      <c r="AAB121" s="68"/>
      <c r="AAC121" s="68"/>
      <c r="AAD121" s="68"/>
      <c r="AAE121" s="68"/>
      <c r="AAF121" s="68"/>
      <c r="AAG121" s="68"/>
      <c r="AAH121" s="68"/>
      <c r="AAI121" s="68"/>
      <c r="AAJ121" s="68"/>
      <c r="AAK121" s="68"/>
      <c r="AAL121" s="68"/>
      <c r="AAM121" s="68"/>
      <c r="AAN121" s="68"/>
      <c r="AAO121" s="68"/>
      <c r="AAP121" s="68"/>
      <c r="AAQ121" s="68"/>
      <c r="AAR121" s="68"/>
      <c r="AAS121" s="68"/>
      <c r="AAT121" s="68"/>
      <c r="AAU121" s="68"/>
      <c r="AAV121" s="68"/>
      <c r="AAW121" s="68"/>
      <c r="AAX121" s="68"/>
      <c r="AAY121" s="68"/>
      <c r="AAZ121" s="68"/>
      <c r="ABA121" s="68"/>
      <c r="ABB121" s="68"/>
      <c r="ABC121" s="68"/>
      <c r="ABD121" s="68"/>
      <c r="ABE121" s="68"/>
      <c r="ABF121" s="68"/>
      <c r="ABG121" s="68"/>
      <c r="ABH121" s="68"/>
      <c r="ABI121" s="68"/>
      <c r="ABJ121" s="68"/>
      <c r="ABK121" s="68"/>
      <c r="ABL121" s="68"/>
      <c r="ABM121" s="68"/>
      <c r="ABN121" s="68"/>
      <c r="ABO121" s="68"/>
      <c r="ABP121" s="68"/>
      <c r="ABQ121" s="68"/>
      <c r="ABR121" s="68"/>
      <c r="ABS121" s="68"/>
      <c r="ABT121" s="68"/>
      <c r="ABU121" s="68"/>
      <c r="ABV121" s="68"/>
      <c r="ABW121" s="68"/>
      <c r="ABX121" s="68"/>
      <c r="ABY121" s="68"/>
      <c r="ABZ121" s="68"/>
      <c r="ACA121" s="68"/>
      <c r="ACB121" s="68"/>
      <c r="ACC121" s="68"/>
      <c r="ACD121" s="68"/>
      <c r="ACE121" s="68"/>
      <c r="ACF121" s="68"/>
      <c r="ACG121" s="68"/>
      <c r="ACH121" s="68"/>
      <c r="ACI121" s="68"/>
      <c r="ACJ121" s="68"/>
      <c r="ACK121" s="68"/>
      <c r="ACL121" s="68"/>
      <c r="ACM121" s="68"/>
      <c r="ACN121" s="68"/>
      <c r="ACO121" s="68"/>
      <c r="ACP121" s="68"/>
      <c r="ACQ121" s="68"/>
      <c r="ACR121" s="68"/>
      <c r="ACS121" s="68"/>
      <c r="ACT121" s="68"/>
      <c r="ACU121" s="68"/>
      <c r="ACV121" s="68"/>
      <c r="ACW121" s="68"/>
      <c r="ACX121" s="68"/>
      <c r="ACY121" s="68"/>
      <c r="ACZ121" s="68"/>
      <c r="ADA121" s="68"/>
      <c r="ADB121" s="68"/>
      <c r="ADC121" s="68"/>
      <c r="ADD121" s="68"/>
      <c r="ADE121" s="68"/>
      <c r="ADF121" s="68"/>
      <c r="ADG121" s="68"/>
      <c r="ADH121" s="68"/>
      <c r="ADI121" s="68"/>
      <c r="ADJ121" s="68"/>
      <c r="ADK121" s="68"/>
      <c r="ADL121" s="68"/>
      <c r="ADM121" s="68"/>
      <c r="ADN121" s="68"/>
      <c r="ADO121" s="68"/>
      <c r="ADP121" s="68"/>
      <c r="ADQ121" s="68"/>
      <c r="ADR121" s="68"/>
      <c r="ADS121" s="68"/>
      <c r="ADT121" s="68"/>
      <c r="ADU121" s="68"/>
      <c r="ADV121" s="68"/>
      <c r="ADW121" s="68"/>
      <c r="ADX121" s="68"/>
      <c r="ADY121" s="68"/>
      <c r="ADZ121" s="68"/>
      <c r="AEA121" s="68"/>
      <c r="AEB121" s="68"/>
      <c r="AEC121" s="68"/>
      <c r="AED121" s="68"/>
      <c r="AEE121" s="68"/>
      <c r="AEF121" s="68"/>
      <c r="AEG121" s="68"/>
      <c r="AEH121" s="68"/>
      <c r="AEI121" s="68"/>
      <c r="AEJ121" s="68"/>
      <c r="AEK121" s="68"/>
      <c r="AEL121" s="68"/>
      <c r="AEM121" s="68"/>
      <c r="AEN121" s="68"/>
      <c r="AEO121" s="68"/>
      <c r="AEP121" s="68"/>
      <c r="AEQ121" s="68"/>
      <c r="AER121" s="68"/>
      <c r="AES121" s="68"/>
      <c r="AET121" s="68"/>
      <c r="AEU121" s="68"/>
      <c r="AEV121" s="68"/>
      <c r="AEW121" s="68"/>
      <c r="AEX121" s="68"/>
      <c r="AEY121" s="68"/>
      <c r="AEZ121" s="68"/>
      <c r="AFA121" s="68"/>
      <c r="AFB121" s="68"/>
      <c r="AFC121" s="68"/>
      <c r="AFD121" s="68"/>
      <c r="AFE121" s="68"/>
      <c r="AFF121" s="68"/>
      <c r="AFG121" s="68"/>
      <c r="AFH121" s="68"/>
      <c r="AFI121" s="68"/>
      <c r="AFJ121" s="68"/>
      <c r="AFK121" s="68"/>
      <c r="AFL121" s="68"/>
      <c r="AFM121" s="68"/>
      <c r="AFN121" s="68"/>
      <c r="AFO121" s="68"/>
      <c r="AFP121" s="68"/>
      <c r="AFQ121" s="68"/>
      <c r="AFR121" s="68"/>
      <c r="AFS121" s="68"/>
      <c r="AFT121" s="68"/>
      <c r="AFU121" s="68"/>
      <c r="AFV121" s="68"/>
      <c r="AFW121" s="68"/>
      <c r="AFX121" s="68"/>
      <c r="AFY121" s="68"/>
      <c r="AFZ121" s="68"/>
      <c r="AGA121" s="68"/>
      <c r="AGB121" s="68"/>
      <c r="AGC121" s="68"/>
      <c r="AGD121" s="68"/>
      <c r="AGE121" s="68"/>
      <c r="AGF121" s="68"/>
      <c r="AGG121" s="68"/>
      <c r="AGH121" s="68"/>
      <c r="AGI121" s="68"/>
      <c r="AGJ121" s="68"/>
      <c r="AGK121" s="68"/>
      <c r="AGL121" s="68"/>
      <c r="AGM121" s="68"/>
      <c r="AGN121" s="68"/>
      <c r="AGO121" s="68"/>
      <c r="AGP121" s="68"/>
      <c r="AGQ121" s="68"/>
      <c r="AGR121" s="68"/>
      <c r="AGS121" s="68"/>
      <c r="AGT121" s="68"/>
      <c r="AGU121" s="68"/>
      <c r="AGV121" s="68"/>
      <c r="AGW121" s="68"/>
      <c r="AGX121" s="68"/>
      <c r="AGY121" s="68"/>
      <c r="AGZ121" s="68"/>
      <c r="AHA121" s="68"/>
      <c r="AHB121" s="68"/>
      <c r="AHC121" s="68"/>
      <c r="AHD121" s="68"/>
      <c r="AHE121" s="68"/>
      <c r="AHF121" s="68"/>
      <c r="AHG121" s="68"/>
      <c r="AHH121" s="68"/>
      <c r="AHI121" s="68"/>
      <c r="AHJ121" s="68"/>
      <c r="AHK121" s="68"/>
      <c r="AHL121" s="68"/>
      <c r="AHM121" s="68"/>
      <c r="AHN121" s="68"/>
      <c r="AHO121" s="68"/>
      <c r="AHP121" s="68"/>
      <c r="AHQ121" s="68"/>
      <c r="AHR121" s="68"/>
      <c r="AHS121" s="68"/>
      <c r="AHT121" s="68"/>
      <c r="AHU121" s="68"/>
      <c r="AHV121" s="68"/>
      <c r="AHW121" s="68"/>
      <c r="AHX121" s="68"/>
      <c r="AHY121" s="68"/>
      <c r="AHZ121" s="68"/>
      <c r="AIA121" s="68"/>
      <c r="AIB121" s="68"/>
      <c r="AIC121" s="68"/>
      <c r="AID121" s="68"/>
      <c r="AIE121" s="68"/>
      <c r="AIF121" s="68"/>
      <c r="AIG121" s="68"/>
      <c r="AIH121" s="68"/>
      <c r="AII121" s="68"/>
      <c r="AIJ121" s="68"/>
      <c r="AIK121" s="68"/>
      <c r="AIL121" s="68"/>
      <c r="AIM121" s="68"/>
      <c r="AIN121" s="68"/>
      <c r="AIO121" s="68"/>
      <c r="AIP121" s="68"/>
      <c r="AIQ121" s="68"/>
      <c r="AIR121" s="68"/>
      <c r="AIS121" s="68"/>
      <c r="AIT121" s="68"/>
      <c r="AIU121" s="68"/>
      <c r="AIV121" s="68"/>
      <c r="AIW121" s="68"/>
      <c r="AIX121" s="68"/>
      <c r="AIY121" s="68"/>
      <c r="AIZ121" s="68"/>
      <c r="AJA121" s="68"/>
      <c r="AJB121" s="68"/>
      <c r="AJC121" s="68"/>
      <c r="AJD121" s="68"/>
      <c r="AJE121" s="68"/>
      <c r="AJF121" s="68"/>
      <c r="AJG121" s="68"/>
      <c r="AJH121" s="68"/>
      <c r="AJI121" s="68"/>
      <c r="AJJ121" s="68"/>
      <c r="AJK121" s="68"/>
      <c r="AJL121" s="68"/>
      <c r="AJM121" s="68"/>
      <c r="AJN121" s="68"/>
      <c r="AJO121" s="68"/>
      <c r="AJP121" s="68"/>
      <c r="AJQ121" s="68"/>
      <c r="AJR121" s="68"/>
      <c r="AJS121" s="68"/>
      <c r="AJT121" s="68"/>
      <c r="AJU121" s="68"/>
      <c r="AJV121" s="68"/>
      <c r="AJW121" s="68"/>
      <c r="AJX121" s="68"/>
      <c r="AJY121" s="68"/>
      <c r="AJZ121" s="68"/>
      <c r="AKA121" s="68"/>
      <c r="AKB121" s="68"/>
      <c r="AKC121" s="68"/>
      <c r="AKD121" s="68"/>
      <c r="AKE121" s="68"/>
      <c r="AKF121" s="68"/>
      <c r="AKG121" s="68"/>
      <c r="AKH121" s="68"/>
      <c r="AKI121" s="68"/>
      <c r="AKJ121" s="68"/>
      <c r="AKK121" s="68"/>
      <c r="AKL121" s="68"/>
      <c r="AKM121" s="68"/>
      <c r="AKN121" s="68"/>
      <c r="AKO121" s="68"/>
      <c r="AKP121" s="68"/>
      <c r="AKQ121" s="68"/>
      <c r="AKR121" s="68"/>
      <c r="AKS121" s="68"/>
      <c r="AKT121" s="68"/>
      <c r="AKU121" s="68"/>
      <c r="AKV121" s="68"/>
      <c r="AKW121" s="68"/>
      <c r="AKX121" s="68"/>
      <c r="AKY121" s="68"/>
      <c r="AKZ121" s="68"/>
      <c r="ALA121" s="68"/>
      <c r="ALB121" s="68"/>
      <c r="ALC121" s="68"/>
      <c r="ALD121" s="68"/>
      <c r="ALE121" s="68"/>
      <c r="ALF121" s="68"/>
      <c r="ALG121" s="68"/>
      <c r="ALH121" s="68"/>
      <c r="ALI121" s="68"/>
      <c r="ALJ121" s="68"/>
      <c r="ALK121" s="68"/>
      <c r="ALL121" s="68"/>
      <c r="ALM121" s="68"/>
      <c r="ALN121" s="68"/>
      <c r="ALO121" s="68"/>
      <c r="ALP121" s="68"/>
      <c r="ALQ121" s="68"/>
      <c r="ALR121" s="68"/>
      <c r="ALS121" s="68"/>
      <c r="ALT121" s="68"/>
      <c r="ALU121" s="68"/>
      <c r="ALV121" s="68"/>
      <c r="ALW121" s="68"/>
      <c r="ALX121" s="68"/>
      <c r="ALY121" s="68"/>
      <c r="ALZ121" s="68"/>
      <c r="AMA121" s="68"/>
      <c r="AMB121" s="68"/>
      <c r="AMC121" s="68"/>
      <c r="AMD121" s="68"/>
      <c r="AME121" s="68"/>
      <c r="AMF121" s="68"/>
      <c r="AMG121" s="68"/>
      <c r="AMH121" s="68"/>
      <c r="AMI121" s="68"/>
      <c r="AMJ121" s="68"/>
      <c r="AMK121" s="68"/>
      <c r="AML121" s="68"/>
      <c r="AMM121" s="68"/>
      <c r="AMN121" s="68"/>
      <c r="AMO121" s="68"/>
      <c r="AMP121" s="68"/>
      <c r="AMQ121" s="68"/>
      <c r="AMR121" s="68"/>
      <c r="AMS121" s="68"/>
      <c r="AMT121" s="68"/>
      <c r="AMU121" s="68"/>
      <c r="AMV121" s="68"/>
      <c r="AMW121" s="68"/>
      <c r="AMX121" s="68"/>
      <c r="AMY121" s="68"/>
      <c r="AMZ121" s="68"/>
      <c r="ANA121" s="68"/>
      <c r="ANB121" s="68"/>
      <c r="ANC121" s="68"/>
      <c r="AND121" s="68"/>
      <c r="ANE121" s="68"/>
      <c r="ANF121" s="68"/>
      <c r="ANG121" s="68"/>
      <c r="ANH121" s="68"/>
      <c r="ANI121" s="68"/>
      <c r="ANJ121" s="68"/>
      <c r="ANK121" s="68"/>
      <c r="ANL121" s="68"/>
      <c r="ANM121" s="68"/>
      <c r="ANN121" s="68"/>
      <c r="ANO121" s="68"/>
      <c r="ANP121" s="68"/>
      <c r="ANQ121" s="68"/>
      <c r="ANR121" s="68"/>
      <c r="ANS121" s="68"/>
      <c r="ANT121" s="68"/>
      <c r="ANU121" s="68"/>
      <c r="ANV121" s="68"/>
      <c r="ANW121" s="68"/>
      <c r="ANX121" s="68"/>
      <c r="ANY121" s="68"/>
      <c r="ANZ121" s="68"/>
      <c r="AOA121" s="68"/>
      <c r="AOB121" s="68"/>
      <c r="AOC121" s="68"/>
      <c r="AOD121" s="68"/>
      <c r="AOE121" s="68"/>
      <c r="AOF121" s="68"/>
      <c r="AOG121" s="68"/>
      <c r="AOH121" s="68"/>
      <c r="AOI121" s="68"/>
      <c r="AOJ121" s="68"/>
      <c r="AOK121" s="68"/>
      <c r="AOL121" s="68"/>
      <c r="AOM121" s="68"/>
      <c r="AON121" s="68"/>
      <c r="AOO121" s="68"/>
      <c r="AOP121" s="68"/>
      <c r="AOQ121" s="68"/>
      <c r="AOR121" s="68"/>
      <c r="AOS121" s="68"/>
      <c r="AOT121" s="68"/>
      <c r="AOU121" s="68"/>
      <c r="AOV121" s="68"/>
      <c r="AOW121" s="68"/>
      <c r="AOX121" s="68"/>
      <c r="AOY121" s="68"/>
      <c r="AOZ121" s="68"/>
      <c r="APA121" s="68"/>
      <c r="APB121" s="68"/>
      <c r="APC121" s="68"/>
      <c r="APD121" s="68"/>
      <c r="APE121" s="68"/>
      <c r="APF121" s="68"/>
      <c r="APG121" s="68"/>
      <c r="APH121" s="68"/>
      <c r="API121" s="68"/>
      <c r="APJ121" s="68"/>
      <c r="APK121" s="68"/>
      <c r="APL121" s="68"/>
      <c r="APM121" s="68"/>
      <c r="APN121" s="68"/>
      <c r="APO121" s="68"/>
      <c r="APP121" s="68"/>
      <c r="APQ121" s="68"/>
      <c r="APR121" s="68"/>
      <c r="APS121" s="68"/>
      <c r="APT121" s="68"/>
      <c r="APU121" s="68"/>
      <c r="APV121" s="68"/>
      <c r="APW121" s="68"/>
      <c r="APX121" s="68"/>
      <c r="APY121" s="68"/>
      <c r="APZ121" s="68"/>
      <c r="AQA121" s="68"/>
      <c r="AQB121" s="68"/>
      <c r="AQC121" s="68"/>
      <c r="AQD121" s="68"/>
      <c r="AQE121" s="68"/>
      <c r="AQF121" s="68"/>
      <c r="AQG121" s="68"/>
      <c r="AQH121" s="68"/>
      <c r="AQI121" s="68"/>
      <c r="AQJ121" s="68"/>
      <c r="AQK121" s="68"/>
      <c r="AQL121" s="68"/>
      <c r="AQM121" s="68"/>
      <c r="AQN121" s="68"/>
      <c r="AQO121" s="68"/>
      <c r="AQP121" s="68"/>
      <c r="AQQ121" s="68"/>
      <c r="AQR121" s="68"/>
      <c r="AQS121" s="68"/>
      <c r="AQT121" s="68"/>
      <c r="AQU121" s="68"/>
      <c r="AQV121" s="68"/>
      <c r="AQW121" s="68"/>
      <c r="AQX121" s="68"/>
      <c r="AQY121" s="68"/>
      <c r="AQZ121" s="68"/>
      <c r="ARA121" s="68"/>
      <c r="ARB121" s="68"/>
      <c r="ARC121" s="68"/>
      <c r="ARD121" s="68"/>
      <c r="ARE121" s="68"/>
      <c r="ARF121" s="68"/>
      <c r="ARG121" s="68"/>
      <c r="ARH121" s="68"/>
      <c r="ARI121" s="68"/>
      <c r="ARJ121" s="68"/>
      <c r="ARK121" s="68"/>
      <c r="ARL121" s="68"/>
      <c r="ARM121" s="68"/>
      <c r="ARN121" s="68"/>
      <c r="ARO121" s="68"/>
      <c r="ARP121" s="68"/>
      <c r="ARQ121" s="68"/>
      <c r="ARR121" s="68"/>
      <c r="ARS121" s="68"/>
      <c r="ART121" s="68"/>
      <c r="ARU121" s="68"/>
      <c r="ARV121" s="68"/>
      <c r="ARW121" s="68"/>
      <c r="ARX121" s="68"/>
      <c r="ARY121" s="68"/>
      <c r="ARZ121" s="68"/>
      <c r="ASA121" s="68"/>
      <c r="ASB121" s="68"/>
      <c r="ASC121" s="68"/>
      <c r="ASD121" s="68"/>
      <c r="ASE121" s="68"/>
      <c r="ASF121" s="68"/>
      <c r="ASG121" s="68"/>
      <c r="ASH121" s="68"/>
      <c r="ASI121" s="68"/>
      <c r="ASJ121" s="68"/>
      <c r="ASK121" s="68"/>
      <c r="ASL121" s="68"/>
      <c r="ASM121" s="68"/>
      <c r="ASN121" s="68"/>
      <c r="ASO121" s="68"/>
      <c r="ASP121" s="68"/>
      <c r="ASQ121" s="68"/>
      <c r="ASR121" s="68"/>
      <c r="ASS121" s="68"/>
      <c r="AST121" s="68"/>
      <c r="ASU121" s="68"/>
      <c r="ASV121" s="68"/>
      <c r="ASW121" s="68"/>
      <c r="ASX121" s="68"/>
      <c r="ASY121" s="68"/>
      <c r="ASZ121" s="68"/>
      <c r="ATA121" s="68"/>
      <c r="ATB121" s="68"/>
      <c r="ATC121" s="68"/>
      <c r="ATD121" s="68"/>
      <c r="ATE121" s="68"/>
      <c r="ATF121" s="68"/>
      <c r="ATG121" s="68"/>
      <c r="ATH121" s="68"/>
      <c r="ATI121" s="68"/>
      <c r="ATJ121" s="68"/>
      <c r="ATK121" s="68"/>
      <c r="ATL121" s="68"/>
      <c r="ATM121" s="68"/>
      <c r="ATN121" s="68"/>
      <c r="ATO121" s="68"/>
      <c r="ATP121" s="68"/>
      <c r="ATQ121" s="68"/>
      <c r="ATR121" s="68"/>
      <c r="ATS121" s="68"/>
      <c r="ATT121" s="68"/>
      <c r="ATU121" s="68"/>
      <c r="ATV121" s="68"/>
      <c r="ATW121" s="68"/>
      <c r="ATX121" s="68"/>
      <c r="ATY121" s="68"/>
      <c r="ATZ121" s="68"/>
      <c r="AUA121" s="68"/>
      <c r="AUB121" s="68"/>
      <c r="AUC121" s="68"/>
      <c r="AUD121" s="68"/>
      <c r="AUE121" s="68"/>
      <c r="AUF121" s="68"/>
      <c r="AUG121" s="68"/>
      <c r="AUH121" s="68"/>
      <c r="AUI121" s="68"/>
      <c r="AUJ121" s="68"/>
      <c r="AUK121" s="68"/>
      <c r="AUL121" s="68"/>
      <c r="AUM121" s="68"/>
      <c r="AUN121" s="68"/>
      <c r="AUO121" s="68"/>
      <c r="AUP121" s="68"/>
      <c r="AUQ121" s="68"/>
      <c r="AUR121" s="68"/>
      <c r="AUS121" s="68"/>
      <c r="AUT121" s="68"/>
      <c r="AUU121" s="68"/>
      <c r="AUV121" s="68"/>
      <c r="AUW121" s="68"/>
      <c r="AUX121" s="68"/>
      <c r="AUY121" s="68"/>
      <c r="AUZ121" s="68"/>
      <c r="AVA121" s="68"/>
      <c r="AVB121" s="68"/>
      <c r="AVC121" s="68"/>
      <c r="AVD121" s="68"/>
      <c r="AVE121" s="68"/>
      <c r="AVF121" s="68"/>
      <c r="AVG121" s="68"/>
      <c r="AVH121" s="68"/>
      <c r="AVI121" s="68"/>
      <c r="AVJ121" s="68"/>
      <c r="AVK121" s="68"/>
      <c r="AVL121" s="68"/>
      <c r="AVM121" s="68"/>
      <c r="AVN121" s="68"/>
      <c r="AVO121" s="68"/>
      <c r="AVP121" s="68"/>
      <c r="AVQ121" s="68"/>
      <c r="AVR121" s="68"/>
      <c r="AVS121" s="68"/>
      <c r="AVT121" s="68"/>
      <c r="AVU121" s="68"/>
      <c r="AVV121" s="68"/>
      <c r="AVW121" s="68"/>
      <c r="AVX121" s="68"/>
      <c r="AVY121" s="68"/>
      <c r="AVZ121" s="68"/>
      <c r="AWA121" s="68"/>
      <c r="AWB121" s="68"/>
      <c r="AWC121" s="68"/>
      <c r="AWD121" s="68"/>
      <c r="AWE121" s="68"/>
      <c r="AWF121" s="68"/>
      <c r="AWG121" s="68"/>
      <c r="AWH121" s="68"/>
      <c r="AWI121" s="68"/>
      <c r="AWJ121" s="68"/>
      <c r="AWK121" s="68"/>
      <c r="AWL121" s="68"/>
      <c r="AWM121" s="68"/>
      <c r="AWN121" s="68"/>
      <c r="AWO121" s="68"/>
      <c r="AWP121" s="68"/>
      <c r="AWQ121" s="68"/>
      <c r="AWR121" s="68"/>
      <c r="AWS121" s="68"/>
      <c r="AWT121" s="68"/>
      <c r="AWU121" s="68"/>
      <c r="AWV121" s="68"/>
      <c r="AWW121" s="68"/>
      <c r="AWX121" s="68"/>
      <c r="AWY121" s="68"/>
      <c r="AWZ121" s="68"/>
      <c r="AXA121" s="68"/>
      <c r="AXB121" s="68"/>
      <c r="AXC121" s="68"/>
      <c r="AXD121" s="68"/>
      <c r="AXE121" s="68"/>
      <c r="AXF121" s="68"/>
      <c r="AXG121" s="68"/>
      <c r="AXH121" s="68"/>
      <c r="AXI121" s="68"/>
      <c r="AXJ121" s="68"/>
      <c r="AXK121" s="68"/>
      <c r="AXL121" s="68"/>
      <c r="AXM121" s="68"/>
      <c r="AXN121" s="68"/>
      <c r="AXO121" s="68"/>
      <c r="AXP121" s="68"/>
      <c r="AXQ121" s="68"/>
      <c r="AXR121" s="68"/>
      <c r="AXS121" s="68"/>
      <c r="AXT121" s="68"/>
      <c r="AXU121" s="68"/>
      <c r="AXV121" s="68"/>
      <c r="AXW121" s="68"/>
      <c r="AXX121" s="68"/>
      <c r="AXY121" s="68"/>
      <c r="AXZ121" s="68"/>
      <c r="AYA121" s="68"/>
      <c r="AYB121" s="68"/>
      <c r="AYC121" s="68"/>
      <c r="AYD121" s="68"/>
      <c r="AYE121" s="68"/>
      <c r="AYF121" s="68"/>
      <c r="AYG121" s="68"/>
      <c r="AYH121" s="68"/>
      <c r="AYI121" s="68"/>
      <c r="AYJ121" s="68"/>
      <c r="AYK121" s="68"/>
      <c r="AYL121" s="68"/>
      <c r="AYM121" s="68"/>
      <c r="AYN121" s="68"/>
      <c r="AYO121" s="68"/>
      <c r="AYP121" s="68"/>
      <c r="AYQ121" s="68"/>
      <c r="AYR121" s="68"/>
      <c r="AYS121" s="68"/>
      <c r="AYT121" s="68"/>
      <c r="AYU121" s="68"/>
      <c r="AYV121" s="68"/>
      <c r="AYW121" s="68"/>
      <c r="AYX121" s="68"/>
      <c r="AYY121" s="68"/>
      <c r="AYZ121" s="68"/>
      <c r="AZA121" s="68"/>
      <c r="AZB121" s="68"/>
      <c r="AZC121" s="68"/>
      <c r="AZD121" s="68"/>
      <c r="AZE121" s="68"/>
      <c r="AZF121" s="68"/>
      <c r="AZG121" s="68"/>
      <c r="AZH121" s="68"/>
      <c r="AZI121" s="68"/>
      <c r="AZJ121" s="68"/>
      <c r="AZK121" s="68"/>
      <c r="AZL121" s="68"/>
      <c r="AZM121" s="68"/>
      <c r="AZN121" s="68"/>
      <c r="AZO121" s="68"/>
      <c r="AZP121" s="68"/>
      <c r="AZQ121" s="68"/>
      <c r="AZR121" s="68"/>
      <c r="AZS121" s="68"/>
      <c r="AZT121" s="68"/>
      <c r="AZU121" s="68"/>
      <c r="AZV121" s="68"/>
      <c r="AZW121" s="68"/>
      <c r="AZX121" s="68"/>
      <c r="AZY121" s="68"/>
      <c r="AZZ121" s="68"/>
      <c r="BAA121" s="68"/>
      <c r="BAB121" s="68"/>
      <c r="BAC121" s="68"/>
      <c r="BAD121" s="68"/>
      <c r="BAE121" s="68"/>
      <c r="BAF121" s="68"/>
      <c r="BAG121" s="68"/>
      <c r="BAH121" s="68"/>
      <c r="BAI121" s="68"/>
      <c r="BAJ121" s="68"/>
      <c r="BAK121" s="68"/>
      <c r="BAL121" s="68"/>
      <c r="BAM121" s="68"/>
      <c r="BAN121" s="68"/>
      <c r="BAO121" s="68"/>
      <c r="BAP121" s="68"/>
      <c r="BAQ121" s="68"/>
      <c r="BAR121" s="68"/>
      <c r="BAS121" s="68"/>
      <c r="BAT121" s="68"/>
      <c r="BAU121" s="68"/>
      <c r="BAV121" s="68"/>
      <c r="BAW121" s="68"/>
      <c r="BAX121" s="68"/>
      <c r="BAY121" s="68"/>
      <c r="BAZ121" s="68"/>
      <c r="BBA121" s="68"/>
      <c r="BBB121" s="68"/>
      <c r="BBC121" s="68"/>
      <c r="BBD121" s="68"/>
      <c r="BBE121" s="68"/>
      <c r="BBF121" s="68"/>
      <c r="BBG121" s="68"/>
      <c r="BBH121" s="68"/>
      <c r="BBI121" s="68"/>
      <c r="BBJ121" s="68"/>
      <c r="BBK121" s="68"/>
      <c r="BBL121" s="68"/>
      <c r="BBM121" s="68"/>
      <c r="BBN121" s="68"/>
      <c r="BBO121" s="68"/>
      <c r="BBP121" s="68"/>
      <c r="BBQ121" s="68"/>
      <c r="BBR121" s="68"/>
      <c r="BBS121" s="68"/>
      <c r="BBT121" s="68"/>
      <c r="BBU121" s="68"/>
      <c r="BBV121" s="68"/>
      <c r="BBW121" s="68"/>
      <c r="BBX121" s="68"/>
      <c r="BBY121" s="68"/>
      <c r="BBZ121" s="68"/>
      <c r="BCA121" s="68"/>
      <c r="BCB121" s="68"/>
      <c r="BCC121" s="68"/>
      <c r="BCD121" s="68"/>
      <c r="BCE121" s="68"/>
      <c r="BCF121" s="68"/>
      <c r="BCG121" s="68"/>
      <c r="BCH121" s="68"/>
      <c r="BCI121" s="68"/>
      <c r="BCJ121" s="68"/>
      <c r="BCK121" s="68"/>
      <c r="BCL121" s="68"/>
      <c r="BCM121" s="68"/>
      <c r="BCN121" s="68"/>
      <c r="BCO121" s="68"/>
      <c r="BCP121" s="68"/>
      <c r="BCQ121" s="68"/>
      <c r="BCR121" s="68"/>
      <c r="BCS121" s="68"/>
      <c r="BCT121" s="68"/>
      <c r="BCU121" s="68"/>
      <c r="BCV121" s="68"/>
      <c r="BCW121" s="68"/>
      <c r="BCX121" s="68"/>
      <c r="BCY121" s="68"/>
      <c r="BCZ121" s="68"/>
      <c r="BDA121" s="68"/>
    </row>
    <row r="122" spans="1:1457" s="67" customFormat="1" ht="38.25" customHeight="1" x14ac:dyDescent="0.25">
      <c r="A122" s="98">
        <v>40</v>
      </c>
      <c r="B122" s="69" t="s">
        <v>494</v>
      </c>
      <c r="C122" s="69" t="s">
        <v>511</v>
      </c>
      <c r="D122" s="69" t="s">
        <v>708</v>
      </c>
      <c r="E122" s="71" t="s">
        <v>709</v>
      </c>
      <c r="F122" s="99">
        <v>305753.90000000002</v>
      </c>
      <c r="G122" s="133" t="s">
        <v>492</v>
      </c>
      <c r="H122" s="133"/>
      <c r="I122" s="69" t="s">
        <v>495</v>
      </c>
      <c r="J122" s="69"/>
      <c r="K122" s="69"/>
      <c r="L122" s="69"/>
      <c r="N122"/>
      <c r="O122"/>
      <c r="P122"/>
      <c r="Q122"/>
      <c r="R122"/>
      <c r="S122"/>
      <c r="T122"/>
      <c r="U122"/>
      <c r="V122"/>
      <c r="W122"/>
      <c r="X122"/>
      <c r="Y122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  <c r="BW122" s="68"/>
      <c r="BX122" s="68"/>
      <c r="BY122" s="68"/>
      <c r="BZ122" s="68"/>
      <c r="CA122" s="68"/>
      <c r="CB122" s="68"/>
      <c r="CC122" s="68"/>
      <c r="CD122" s="68"/>
      <c r="CE122" s="68"/>
      <c r="CF122" s="68"/>
      <c r="CG122" s="68"/>
      <c r="CH122" s="68"/>
      <c r="CI122" s="68"/>
      <c r="CJ122" s="68"/>
      <c r="CK122" s="68"/>
      <c r="CL122" s="68"/>
      <c r="CM122" s="68"/>
      <c r="CN122" s="68"/>
      <c r="CO122" s="68"/>
      <c r="CP122" s="68"/>
      <c r="CQ122" s="68"/>
      <c r="CR122" s="68"/>
      <c r="CS122" s="68"/>
      <c r="CT122" s="68"/>
      <c r="CU122" s="68"/>
      <c r="CV122" s="68"/>
      <c r="CW122" s="68"/>
      <c r="CX122" s="68"/>
      <c r="CY122" s="68"/>
      <c r="CZ122" s="68"/>
      <c r="DA122" s="68"/>
      <c r="DB122" s="68"/>
      <c r="DC122" s="68"/>
      <c r="DD122" s="68"/>
      <c r="DE122" s="68"/>
      <c r="DF122" s="68"/>
      <c r="DG122" s="68"/>
      <c r="DH122" s="68"/>
      <c r="DI122" s="68"/>
      <c r="DJ122" s="68"/>
      <c r="DK122" s="68"/>
      <c r="DL122" s="68"/>
      <c r="DM122" s="68"/>
      <c r="DN122" s="68"/>
      <c r="DO122" s="68"/>
      <c r="DP122" s="68"/>
      <c r="DQ122" s="68"/>
      <c r="DR122" s="68"/>
      <c r="DS122" s="68"/>
      <c r="DT122" s="68"/>
      <c r="DU122" s="68"/>
      <c r="DV122" s="68"/>
      <c r="DW122" s="68"/>
      <c r="DX122" s="68"/>
      <c r="DY122" s="68"/>
      <c r="DZ122" s="68"/>
      <c r="EA122" s="68"/>
      <c r="EB122" s="68"/>
      <c r="EC122" s="68"/>
      <c r="ED122" s="68"/>
      <c r="EE122" s="68"/>
      <c r="EF122" s="68"/>
      <c r="EG122" s="68"/>
      <c r="EH122" s="68"/>
      <c r="EI122" s="68"/>
      <c r="EJ122" s="68"/>
      <c r="EK122" s="68"/>
      <c r="EL122" s="68"/>
      <c r="EM122" s="68"/>
      <c r="EN122" s="68"/>
      <c r="EO122" s="68"/>
      <c r="EP122" s="68"/>
      <c r="EQ122" s="68"/>
      <c r="ER122" s="68"/>
      <c r="ES122" s="68"/>
      <c r="ET122" s="68"/>
      <c r="EU122" s="68"/>
      <c r="EV122" s="68"/>
      <c r="EW122" s="68"/>
      <c r="EX122" s="68"/>
      <c r="EY122" s="68"/>
      <c r="EZ122" s="68"/>
      <c r="FA122" s="68"/>
      <c r="FB122" s="68"/>
      <c r="FC122" s="68"/>
      <c r="FD122" s="68"/>
      <c r="FE122" s="68"/>
      <c r="FF122" s="68"/>
      <c r="FG122" s="68"/>
      <c r="FH122" s="68"/>
      <c r="FI122" s="68"/>
      <c r="FJ122" s="68"/>
      <c r="FK122" s="68"/>
      <c r="FL122" s="68"/>
      <c r="FM122" s="68"/>
      <c r="FN122" s="68"/>
      <c r="FO122" s="68"/>
      <c r="FP122" s="68"/>
      <c r="FQ122" s="68"/>
      <c r="FR122" s="68"/>
      <c r="FS122" s="68"/>
      <c r="FT122" s="68"/>
      <c r="FU122" s="68"/>
      <c r="FV122" s="68"/>
      <c r="FW122" s="68"/>
      <c r="FX122" s="68"/>
      <c r="FY122" s="68"/>
      <c r="FZ122" s="68"/>
      <c r="GA122" s="68"/>
      <c r="GB122" s="68"/>
      <c r="GC122" s="68"/>
      <c r="GD122" s="68"/>
      <c r="GE122" s="68"/>
      <c r="GF122" s="68"/>
      <c r="GG122" s="68"/>
      <c r="GH122" s="68"/>
      <c r="GI122" s="68"/>
      <c r="GJ122" s="68"/>
      <c r="GK122" s="68"/>
      <c r="GL122" s="68"/>
      <c r="GM122" s="68"/>
      <c r="GN122" s="68"/>
      <c r="GO122" s="68"/>
      <c r="GP122" s="68"/>
      <c r="GQ122" s="68"/>
      <c r="GR122" s="68"/>
      <c r="GS122" s="68"/>
      <c r="GT122" s="68"/>
      <c r="GU122" s="68"/>
      <c r="GV122" s="68"/>
      <c r="GW122" s="68"/>
      <c r="GX122" s="68"/>
      <c r="GY122" s="68"/>
      <c r="GZ122" s="68"/>
      <c r="HA122" s="68"/>
      <c r="HB122" s="68"/>
      <c r="HC122" s="68"/>
      <c r="HD122" s="68"/>
      <c r="HE122" s="68"/>
      <c r="HF122" s="68"/>
      <c r="HG122" s="68"/>
      <c r="HH122" s="68"/>
      <c r="HI122" s="68"/>
      <c r="HJ122" s="68"/>
      <c r="HK122" s="68"/>
      <c r="HL122" s="68"/>
      <c r="HM122" s="68"/>
      <c r="HN122" s="68"/>
      <c r="HO122" s="68"/>
      <c r="HP122" s="68"/>
      <c r="HQ122" s="68"/>
      <c r="HR122" s="68"/>
      <c r="HS122" s="68"/>
      <c r="HT122" s="68"/>
      <c r="HU122" s="68"/>
      <c r="HV122" s="68"/>
      <c r="HW122" s="68"/>
      <c r="HX122" s="68"/>
      <c r="HY122" s="68"/>
      <c r="HZ122" s="68"/>
      <c r="IA122" s="68"/>
      <c r="IB122" s="68"/>
      <c r="IC122" s="68"/>
      <c r="ID122" s="68"/>
      <c r="IE122" s="68"/>
      <c r="IF122" s="68"/>
      <c r="IG122" s="68"/>
      <c r="IH122" s="68"/>
      <c r="II122" s="68"/>
      <c r="IJ122" s="68"/>
      <c r="IK122" s="68"/>
      <c r="IL122" s="68"/>
      <c r="IM122" s="68"/>
      <c r="IN122" s="68"/>
      <c r="IO122" s="68"/>
      <c r="IP122" s="68"/>
      <c r="IQ122" s="68"/>
      <c r="IR122" s="68"/>
      <c r="IS122" s="68"/>
      <c r="IT122" s="68"/>
      <c r="IU122" s="68"/>
      <c r="IV122" s="68"/>
      <c r="IW122" s="68"/>
      <c r="IX122" s="68"/>
      <c r="IY122" s="68"/>
      <c r="IZ122" s="68"/>
      <c r="JA122" s="68"/>
      <c r="JB122" s="68"/>
      <c r="JC122" s="68"/>
      <c r="JD122" s="68"/>
      <c r="JE122" s="68"/>
      <c r="JF122" s="68"/>
      <c r="JG122" s="68"/>
      <c r="JH122" s="68"/>
      <c r="JI122" s="68"/>
      <c r="JJ122" s="68"/>
      <c r="JK122" s="68"/>
      <c r="JL122" s="68"/>
      <c r="JM122" s="68"/>
      <c r="JN122" s="68"/>
      <c r="JO122" s="68"/>
      <c r="JP122" s="68"/>
      <c r="JQ122" s="68"/>
      <c r="JR122" s="68"/>
      <c r="JS122" s="68"/>
      <c r="JT122" s="68"/>
      <c r="JU122" s="68"/>
      <c r="JV122" s="68"/>
      <c r="JW122" s="68"/>
      <c r="JX122" s="68"/>
      <c r="JY122" s="68"/>
      <c r="JZ122" s="68"/>
      <c r="KA122" s="68"/>
      <c r="KB122" s="68"/>
      <c r="KC122" s="68"/>
      <c r="KD122" s="68"/>
      <c r="KE122" s="68"/>
      <c r="KF122" s="68"/>
      <c r="KG122" s="68"/>
      <c r="KH122" s="68"/>
      <c r="KI122" s="68"/>
      <c r="KJ122" s="68"/>
      <c r="KK122" s="68"/>
      <c r="KL122" s="68"/>
      <c r="KM122" s="68"/>
      <c r="KN122" s="68"/>
      <c r="KO122" s="68"/>
      <c r="KP122" s="68"/>
      <c r="KQ122" s="68"/>
      <c r="KR122" s="68"/>
      <c r="KS122" s="68"/>
      <c r="KT122" s="68"/>
      <c r="KU122" s="68"/>
      <c r="KV122" s="68"/>
      <c r="KW122" s="68"/>
      <c r="KX122" s="68"/>
      <c r="KY122" s="68"/>
      <c r="KZ122" s="68"/>
      <c r="LA122" s="68"/>
      <c r="LB122" s="68"/>
      <c r="LC122" s="68"/>
      <c r="LD122" s="68"/>
      <c r="LE122" s="68"/>
      <c r="LF122" s="68"/>
      <c r="LG122" s="68"/>
      <c r="LH122" s="68"/>
      <c r="LI122" s="68"/>
      <c r="LJ122" s="68"/>
      <c r="LK122" s="68"/>
      <c r="LL122" s="68"/>
      <c r="LM122" s="68"/>
      <c r="LN122" s="68"/>
      <c r="LO122" s="68"/>
      <c r="LP122" s="68"/>
      <c r="LQ122" s="68"/>
      <c r="LR122" s="68"/>
      <c r="LS122" s="68"/>
      <c r="LT122" s="68"/>
      <c r="LU122" s="68"/>
      <c r="LV122" s="68"/>
      <c r="LW122" s="68"/>
      <c r="LX122" s="68"/>
      <c r="LY122" s="68"/>
      <c r="LZ122" s="68"/>
      <c r="MA122" s="68"/>
      <c r="MB122" s="68"/>
      <c r="MC122" s="68"/>
      <c r="MD122" s="68"/>
      <c r="ME122" s="68"/>
      <c r="MF122" s="68"/>
      <c r="MG122" s="68"/>
      <c r="MH122" s="68"/>
      <c r="MI122" s="68"/>
      <c r="MJ122" s="68"/>
      <c r="MK122" s="68"/>
      <c r="ML122" s="68"/>
      <c r="MM122" s="68"/>
      <c r="MN122" s="68"/>
      <c r="MO122" s="68"/>
      <c r="MP122" s="68"/>
      <c r="MQ122" s="68"/>
      <c r="MR122" s="68"/>
      <c r="MS122" s="68"/>
      <c r="MT122" s="68"/>
      <c r="MU122" s="68"/>
      <c r="MV122" s="68"/>
      <c r="MW122" s="68"/>
      <c r="MX122" s="68"/>
      <c r="MY122" s="68"/>
      <c r="MZ122" s="68"/>
      <c r="NA122" s="68"/>
      <c r="NB122" s="68"/>
      <c r="NC122" s="68"/>
      <c r="ND122" s="68"/>
      <c r="NE122" s="68"/>
      <c r="NF122" s="68"/>
      <c r="NG122" s="68"/>
      <c r="NH122" s="68"/>
      <c r="NI122" s="68"/>
      <c r="NJ122" s="68"/>
      <c r="NK122" s="68"/>
      <c r="NL122" s="68"/>
      <c r="NM122" s="68"/>
      <c r="NN122" s="68"/>
      <c r="NO122" s="68"/>
      <c r="NP122" s="68"/>
      <c r="NQ122" s="68"/>
      <c r="NR122" s="68"/>
      <c r="NS122" s="68"/>
      <c r="NT122" s="68"/>
      <c r="NU122" s="68"/>
      <c r="NV122" s="68"/>
      <c r="NW122" s="68"/>
      <c r="NX122" s="68"/>
      <c r="NY122" s="68"/>
      <c r="NZ122" s="68"/>
      <c r="OA122" s="68"/>
      <c r="OB122" s="68"/>
      <c r="OC122" s="68"/>
      <c r="OD122" s="68"/>
      <c r="OE122" s="68"/>
      <c r="OF122" s="68"/>
      <c r="OG122" s="68"/>
      <c r="OH122" s="68"/>
      <c r="OI122" s="68"/>
      <c r="OJ122" s="68"/>
      <c r="OK122" s="68"/>
      <c r="OL122" s="68"/>
      <c r="OM122" s="68"/>
      <c r="ON122" s="68"/>
      <c r="OO122" s="68"/>
      <c r="OP122" s="68"/>
      <c r="OQ122" s="68"/>
      <c r="OR122" s="68"/>
      <c r="OS122" s="68"/>
      <c r="OT122" s="68"/>
      <c r="OU122" s="68"/>
      <c r="OV122" s="68"/>
      <c r="OW122" s="68"/>
      <c r="OX122" s="68"/>
      <c r="OY122" s="68"/>
      <c r="OZ122" s="68"/>
      <c r="PA122" s="68"/>
      <c r="PB122" s="68"/>
      <c r="PC122" s="68"/>
      <c r="PD122" s="68"/>
      <c r="PE122" s="68"/>
      <c r="PF122" s="68"/>
      <c r="PG122" s="68"/>
      <c r="PH122" s="68"/>
      <c r="PI122" s="68"/>
      <c r="PJ122" s="68"/>
      <c r="PK122" s="68"/>
      <c r="PL122" s="68"/>
      <c r="PM122" s="68"/>
      <c r="PN122" s="68"/>
      <c r="PO122" s="68"/>
      <c r="PP122" s="68"/>
      <c r="PQ122" s="68"/>
      <c r="PR122" s="68"/>
      <c r="PS122" s="68"/>
      <c r="PT122" s="68"/>
      <c r="PU122" s="68"/>
      <c r="PV122" s="68"/>
      <c r="PW122" s="68"/>
      <c r="PX122" s="68"/>
      <c r="PY122" s="68"/>
      <c r="PZ122" s="68"/>
      <c r="QA122" s="68"/>
      <c r="QB122" s="68"/>
      <c r="QC122" s="68"/>
      <c r="QD122" s="68"/>
      <c r="QE122" s="68"/>
      <c r="QF122" s="68"/>
      <c r="QG122" s="68"/>
      <c r="QH122" s="68"/>
      <c r="QI122" s="68"/>
      <c r="QJ122" s="68"/>
      <c r="QK122" s="68"/>
      <c r="QL122" s="68"/>
      <c r="QM122" s="68"/>
      <c r="QN122" s="68"/>
      <c r="QO122" s="68"/>
      <c r="QP122" s="68"/>
      <c r="QQ122" s="68"/>
      <c r="QR122" s="68"/>
      <c r="QS122" s="68"/>
      <c r="QT122" s="68"/>
      <c r="QU122" s="68"/>
      <c r="QV122" s="68"/>
      <c r="QW122" s="68"/>
      <c r="QX122" s="68"/>
      <c r="QY122" s="68"/>
      <c r="QZ122" s="68"/>
      <c r="RA122" s="68"/>
      <c r="RB122" s="68"/>
      <c r="RC122" s="68"/>
      <c r="RD122" s="68"/>
      <c r="RE122" s="68"/>
      <c r="RF122" s="68"/>
      <c r="RG122" s="68"/>
      <c r="RH122" s="68"/>
      <c r="RI122" s="68"/>
      <c r="RJ122" s="68"/>
      <c r="RK122" s="68"/>
      <c r="RL122" s="68"/>
      <c r="RM122" s="68"/>
      <c r="RN122" s="68"/>
      <c r="RO122" s="68"/>
      <c r="RP122" s="68"/>
      <c r="RQ122" s="68"/>
      <c r="RR122" s="68"/>
      <c r="RS122" s="68"/>
      <c r="RT122" s="68"/>
      <c r="RU122" s="68"/>
      <c r="RV122" s="68"/>
      <c r="RW122" s="68"/>
      <c r="RX122" s="68"/>
      <c r="RY122" s="68"/>
      <c r="RZ122" s="68"/>
      <c r="SA122" s="68"/>
      <c r="SB122" s="68"/>
      <c r="SC122" s="68"/>
      <c r="SD122" s="68"/>
      <c r="SE122" s="68"/>
      <c r="SF122" s="68"/>
      <c r="SG122" s="68"/>
      <c r="SH122" s="68"/>
      <c r="SI122" s="68"/>
      <c r="SJ122" s="68"/>
      <c r="SK122" s="68"/>
      <c r="SL122" s="68"/>
      <c r="SM122" s="68"/>
      <c r="SN122" s="68"/>
      <c r="SO122" s="68"/>
      <c r="SP122" s="68"/>
      <c r="SQ122" s="68"/>
      <c r="SR122" s="68"/>
      <c r="SS122" s="68"/>
      <c r="ST122" s="68"/>
      <c r="SU122" s="68"/>
      <c r="SV122" s="68"/>
      <c r="SW122" s="68"/>
      <c r="SX122" s="68"/>
      <c r="SY122" s="68"/>
      <c r="SZ122" s="68"/>
      <c r="TA122" s="68"/>
      <c r="TB122" s="68"/>
      <c r="TC122" s="68"/>
      <c r="TD122" s="68"/>
      <c r="TE122" s="68"/>
      <c r="TF122" s="68"/>
      <c r="TG122" s="68"/>
      <c r="TH122" s="68"/>
      <c r="TI122" s="68"/>
      <c r="TJ122" s="68"/>
      <c r="TK122" s="68"/>
      <c r="TL122" s="68"/>
      <c r="TM122" s="68"/>
      <c r="TN122" s="68"/>
      <c r="TO122" s="68"/>
      <c r="TP122" s="68"/>
      <c r="TQ122" s="68"/>
      <c r="TR122" s="68"/>
      <c r="TS122" s="68"/>
      <c r="TT122" s="68"/>
      <c r="TU122" s="68"/>
      <c r="TV122" s="68"/>
      <c r="TW122" s="68"/>
      <c r="TX122" s="68"/>
      <c r="TY122" s="68"/>
      <c r="TZ122" s="68"/>
      <c r="UA122" s="68"/>
      <c r="UB122" s="68"/>
      <c r="UC122" s="68"/>
      <c r="UD122" s="68"/>
      <c r="UE122" s="68"/>
      <c r="UF122" s="68"/>
      <c r="UG122" s="68"/>
      <c r="UH122" s="68"/>
      <c r="UI122" s="68"/>
      <c r="UJ122" s="68"/>
      <c r="UK122" s="68"/>
      <c r="UL122" s="68"/>
      <c r="UM122" s="68"/>
      <c r="UN122" s="68"/>
      <c r="UO122" s="68"/>
      <c r="UP122" s="68"/>
      <c r="UQ122" s="68"/>
      <c r="UR122" s="68"/>
      <c r="US122" s="68"/>
      <c r="UT122" s="68"/>
      <c r="UU122" s="68"/>
      <c r="UV122" s="68"/>
      <c r="UW122" s="68"/>
      <c r="UX122" s="68"/>
      <c r="UY122" s="68"/>
      <c r="UZ122" s="68"/>
      <c r="VA122" s="68"/>
      <c r="VB122" s="68"/>
      <c r="VC122" s="68"/>
      <c r="VD122" s="68"/>
      <c r="VE122" s="68"/>
      <c r="VF122" s="68"/>
      <c r="VG122" s="68"/>
      <c r="VH122" s="68"/>
      <c r="VI122" s="68"/>
      <c r="VJ122" s="68"/>
      <c r="VK122" s="68"/>
      <c r="VL122" s="68"/>
      <c r="VM122" s="68"/>
      <c r="VN122" s="68"/>
      <c r="VO122" s="68"/>
      <c r="VP122" s="68"/>
      <c r="VQ122" s="68"/>
      <c r="VR122" s="68"/>
      <c r="VS122" s="68"/>
      <c r="VT122" s="68"/>
      <c r="VU122" s="68"/>
      <c r="VV122" s="68"/>
      <c r="VW122" s="68"/>
      <c r="VX122" s="68"/>
      <c r="VY122" s="68"/>
      <c r="VZ122" s="68"/>
      <c r="WA122" s="68"/>
      <c r="WB122" s="68"/>
      <c r="WC122" s="68"/>
      <c r="WD122" s="68"/>
      <c r="WE122" s="68"/>
      <c r="WF122" s="68"/>
      <c r="WG122" s="68"/>
      <c r="WH122" s="68"/>
      <c r="WI122" s="68"/>
      <c r="WJ122" s="68"/>
      <c r="WK122" s="68"/>
      <c r="WL122" s="68"/>
      <c r="WM122" s="68"/>
      <c r="WN122" s="68"/>
      <c r="WO122" s="68"/>
      <c r="WP122" s="68"/>
      <c r="WQ122" s="68"/>
      <c r="WR122" s="68"/>
      <c r="WS122" s="68"/>
      <c r="WT122" s="68"/>
      <c r="WU122" s="68"/>
      <c r="WV122" s="68"/>
      <c r="WW122" s="68"/>
      <c r="WX122" s="68"/>
      <c r="WY122" s="68"/>
      <c r="WZ122" s="68"/>
      <c r="XA122" s="68"/>
      <c r="XB122" s="68"/>
      <c r="XC122" s="68"/>
      <c r="XD122" s="68"/>
      <c r="XE122" s="68"/>
      <c r="XF122" s="68"/>
      <c r="XG122" s="68"/>
      <c r="XH122" s="68"/>
      <c r="XI122" s="68"/>
      <c r="XJ122" s="68"/>
      <c r="XK122" s="68"/>
      <c r="XL122" s="68"/>
      <c r="XM122" s="68"/>
      <c r="XN122" s="68"/>
      <c r="XO122" s="68"/>
      <c r="XP122" s="68"/>
      <c r="XQ122" s="68"/>
      <c r="XR122" s="68"/>
      <c r="XS122" s="68"/>
      <c r="XT122" s="68"/>
      <c r="XU122" s="68"/>
      <c r="XV122" s="68"/>
      <c r="XW122" s="68"/>
      <c r="XX122" s="68"/>
      <c r="XY122" s="68"/>
      <c r="XZ122" s="68"/>
      <c r="YA122" s="68"/>
      <c r="YB122" s="68"/>
      <c r="YC122" s="68"/>
      <c r="YD122" s="68"/>
      <c r="YE122" s="68"/>
      <c r="YF122" s="68"/>
      <c r="YG122" s="68"/>
      <c r="YH122" s="68"/>
      <c r="YI122" s="68"/>
      <c r="YJ122" s="68"/>
      <c r="YK122" s="68"/>
      <c r="YL122" s="68"/>
      <c r="YM122" s="68"/>
      <c r="YN122" s="68"/>
      <c r="YO122" s="68"/>
      <c r="YP122" s="68"/>
      <c r="YQ122" s="68"/>
      <c r="YR122" s="68"/>
      <c r="YS122" s="68"/>
      <c r="YT122" s="68"/>
      <c r="YU122" s="68"/>
      <c r="YV122" s="68"/>
      <c r="YW122" s="68"/>
      <c r="YX122" s="68"/>
      <c r="YY122" s="68"/>
      <c r="YZ122" s="68"/>
      <c r="ZA122" s="68"/>
      <c r="ZB122" s="68"/>
      <c r="ZC122" s="68"/>
      <c r="ZD122" s="68"/>
      <c r="ZE122" s="68"/>
      <c r="ZF122" s="68"/>
      <c r="ZG122" s="68"/>
      <c r="ZH122" s="68"/>
      <c r="ZI122" s="68"/>
      <c r="ZJ122" s="68"/>
      <c r="ZK122" s="68"/>
      <c r="ZL122" s="68"/>
      <c r="ZM122" s="68"/>
      <c r="ZN122" s="68"/>
      <c r="ZO122" s="68"/>
      <c r="ZP122" s="68"/>
      <c r="ZQ122" s="68"/>
      <c r="ZR122" s="68"/>
      <c r="ZS122" s="68"/>
      <c r="ZT122" s="68"/>
      <c r="ZU122" s="68"/>
      <c r="ZV122" s="68"/>
      <c r="ZW122" s="68"/>
      <c r="ZX122" s="68"/>
      <c r="ZY122" s="68"/>
      <c r="ZZ122" s="68"/>
      <c r="AAA122" s="68"/>
      <c r="AAB122" s="68"/>
      <c r="AAC122" s="68"/>
      <c r="AAD122" s="68"/>
      <c r="AAE122" s="68"/>
      <c r="AAF122" s="68"/>
      <c r="AAG122" s="68"/>
      <c r="AAH122" s="68"/>
      <c r="AAI122" s="68"/>
      <c r="AAJ122" s="68"/>
      <c r="AAK122" s="68"/>
      <c r="AAL122" s="68"/>
      <c r="AAM122" s="68"/>
      <c r="AAN122" s="68"/>
      <c r="AAO122" s="68"/>
      <c r="AAP122" s="68"/>
      <c r="AAQ122" s="68"/>
      <c r="AAR122" s="68"/>
      <c r="AAS122" s="68"/>
      <c r="AAT122" s="68"/>
      <c r="AAU122" s="68"/>
      <c r="AAV122" s="68"/>
      <c r="AAW122" s="68"/>
      <c r="AAX122" s="68"/>
      <c r="AAY122" s="68"/>
      <c r="AAZ122" s="68"/>
      <c r="ABA122" s="68"/>
      <c r="ABB122" s="68"/>
      <c r="ABC122" s="68"/>
      <c r="ABD122" s="68"/>
      <c r="ABE122" s="68"/>
      <c r="ABF122" s="68"/>
      <c r="ABG122" s="68"/>
      <c r="ABH122" s="68"/>
      <c r="ABI122" s="68"/>
      <c r="ABJ122" s="68"/>
      <c r="ABK122" s="68"/>
      <c r="ABL122" s="68"/>
      <c r="ABM122" s="68"/>
      <c r="ABN122" s="68"/>
      <c r="ABO122" s="68"/>
      <c r="ABP122" s="68"/>
      <c r="ABQ122" s="68"/>
      <c r="ABR122" s="68"/>
      <c r="ABS122" s="68"/>
      <c r="ABT122" s="68"/>
      <c r="ABU122" s="68"/>
      <c r="ABV122" s="68"/>
      <c r="ABW122" s="68"/>
      <c r="ABX122" s="68"/>
      <c r="ABY122" s="68"/>
      <c r="ABZ122" s="68"/>
      <c r="ACA122" s="68"/>
      <c r="ACB122" s="68"/>
      <c r="ACC122" s="68"/>
      <c r="ACD122" s="68"/>
      <c r="ACE122" s="68"/>
      <c r="ACF122" s="68"/>
      <c r="ACG122" s="68"/>
      <c r="ACH122" s="68"/>
      <c r="ACI122" s="68"/>
      <c r="ACJ122" s="68"/>
      <c r="ACK122" s="68"/>
      <c r="ACL122" s="68"/>
      <c r="ACM122" s="68"/>
      <c r="ACN122" s="68"/>
      <c r="ACO122" s="68"/>
      <c r="ACP122" s="68"/>
      <c r="ACQ122" s="68"/>
      <c r="ACR122" s="68"/>
      <c r="ACS122" s="68"/>
      <c r="ACT122" s="68"/>
      <c r="ACU122" s="68"/>
      <c r="ACV122" s="68"/>
      <c r="ACW122" s="68"/>
      <c r="ACX122" s="68"/>
      <c r="ACY122" s="68"/>
      <c r="ACZ122" s="68"/>
      <c r="ADA122" s="68"/>
      <c r="ADB122" s="68"/>
      <c r="ADC122" s="68"/>
      <c r="ADD122" s="68"/>
      <c r="ADE122" s="68"/>
      <c r="ADF122" s="68"/>
      <c r="ADG122" s="68"/>
      <c r="ADH122" s="68"/>
      <c r="ADI122" s="68"/>
      <c r="ADJ122" s="68"/>
      <c r="ADK122" s="68"/>
      <c r="ADL122" s="68"/>
      <c r="ADM122" s="68"/>
      <c r="ADN122" s="68"/>
      <c r="ADO122" s="68"/>
      <c r="ADP122" s="68"/>
      <c r="ADQ122" s="68"/>
      <c r="ADR122" s="68"/>
      <c r="ADS122" s="68"/>
      <c r="ADT122" s="68"/>
      <c r="ADU122" s="68"/>
      <c r="ADV122" s="68"/>
      <c r="ADW122" s="68"/>
      <c r="ADX122" s="68"/>
      <c r="ADY122" s="68"/>
      <c r="ADZ122" s="68"/>
      <c r="AEA122" s="68"/>
      <c r="AEB122" s="68"/>
      <c r="AEC122" s="68"/>
      <c r="AED122" s="68"/>
      <c r="AEE122" s="68"/>
      <c r="AEF122" s="68"/>
      <c r="AEG122" s="68"/>
      <c r="AEH122" s="68"/>
      <c r="AEI122" s="68"/>
      <c r="AEJ122" s="68"/>
      <c r="AEK122" s="68"/>
      <c r="AEL122" s="68"/>
      <c r="AEM122" s="68"/>
      <c r="AEN122" s="68"/>
      <c r="AEO122" s="68"/>
      <c r="AEP122" s="68"/>
      <c r="AEQ122" s="68"/>
      <c r="AER122" s="68"/>
      <c r="AES122" s="68"/>
      <c r="AET122" s="68"/>
      <c r="AEU122" s="68"/>
      <c r="AEV122" s="68"/>
      <c r="AEW122" s="68"/>
      <c r="AEX122" s="68"/>
      <c r="AEY122" s="68"/>
      <c r="AEZ122" s="68"/>
      <c r="AFA122" s="68"/>
      <c r="AFB122" s="68"/>
      <c r="AFC122" s="68"/>
      <c r="AFD122" s="68"/>
      <c r="AFE122" s="68"/>
      <c r="AFF122" s="68"/>
      <c r="AFG122" s="68"/>
      <c r="AFH122" s="68"/>
      <c r="AFI122" s="68"/>
      <c r="AFJ122" s="68"/>
      <c r="AFK122" s="68"/>
      <c r="AFL122" s="68"/>
      <c r="AFM122" s="68"/>
      <c r="AFN122" s="68"/>
      <c r="AFO122" s="68"/>
      <c r="AFP122" s="68"/>
      <c r="AFQ122" s="68"/>
      <c r="AFR122" s="68"/>
      <c r="AFS122" s="68"/>
      <c r="AFT122" s="68"/>
      <c r="AFU122" s="68"/>
      <c r="AFV122" s="68"/>
      <c r="AFW122" s="68"/>
      <c r="AFX122" s="68"/>
      <c r="AFY122" s="68"/>
      <c r="AFZ122" s="68"/>
      <c r="AGA122" s="68"/>
      <c r="AGB122" s="68"/>
      <c r="AGC122" s="68"/>
      <c r="AGD122" s="68"/>
      <c r="AGE122" s="68"/>
      <c r="AGF122" s="68"/>
      <c r="AGG122" s="68"/>
      <c r="AGH122" s="68"/>
      <c r="AGI122" s="68"/>
      <c r="AGJ122" s="68"/>
      <c r="AGK122" s="68"/>
      <c r="AGL122" s="68"/>
      <c r="AGM122" s="68"/>
      <c r="AGN122" s="68"/>
      <c r="AGO122" s="68"/>
      <c r="AGP122" s="68"/>
      <c r="AGQ122" s="68"/>
      <c r="AGR122" s="68"/>
      <c r="AGS122" s="68"/>
      <c r="AGT122" s="68"/>
      <c r="AGU122" s="68"/>
      <c r="AGV122" s="68"/>
      <c r="AGW122" s="68"/>
      <c r="AGX122" s="68"/>
      <c r="AGY122" s="68"/>
      <c r="AGZ122" s="68"/>
      <c r="AHA122" s="68"/>
      <c r="AHB122" s="68"/>
      <c r="AHC122" s="68"/>
      <c r="AHD122" s="68"/>
      <c r="AHE122" s="68"/>
      <c r="AHF122" s="68"/>
      <c r="AHG122" s="68"/>
      <c r="AHH122" s="68"/>
      <c r="AHI122" s="68"/>
      <c r="AHJ122" s="68"/>
      <c r="AHK122" s="68"/>
      <c r="AHL122" s="68"/>
      <c r="AHM122" s="68"/>
      <c r="AHN122" s="68"/>
      <c r="AHO122" s="68"/>
      <c r="AHP122" s="68"/>
      <c r="AHQ122" s="68"/>
      <c r="AHR122" s="68"/>
      <c r="AHS122" s="68"/>
      <c r="AHT122" s="68"/>
      <c r="AHU122" s="68"/>
      <c r="AHV122" s="68"/>
      <c r="AHW122" s="68"/>
      <c r="AHX122" s="68"/>
      <c r="AHY122" s="68"/>
      <c r="AHZ122" s="68"/>
      <c r="AIA122" s="68"/>
      <c r="AIB122" s="68"/>
      <c r="AIC122" s="68"/>
      <c r="AID122" s="68"/>
      <c r="AIE122" s="68"/>
      <c r="AIF122" s="68"/>
      <c r="AIG122" s="68"/>
      <c r="AIH122" s="68"/>
      <c r="AII122" s="68"/>
      <c r="AIJ122" s="68"/>
      <c r="AIK122" s="68"/>
      <c r="AIL122" s="68"/>
      <c r="AIM122" s="68"/>
      <c r="AIN122" s="68"/>
      <c r="AIO122" s="68"/>
      <c r="AIP122" s="68"/>
      <c r="AIQ122" s="68"/>
      <c r="AIR122" s="68"/>
      <c r="AIS122" s="68"/>
      <c r="AIT122" s="68"/>
      <c r="AIU122" s="68"/>
      <c r="AIV122" s="68"/>
      <c r="AIW122" s="68"/>
      <c r="AIX122" s="68"/>
      <c r="AIY122" s="68"/>
      <c r="AIZ122" s="68"/>
      <c r="AJA122" s="68"/>
      <c r="AJB122" s="68"/>
      <c r="AJC122" s="68"/>
      <c r="AJD122" s="68"/>
      <c r="AJE122" s="68"/>
      <c r="AJF122" s="68"/>
      <c r="AJG122" s="68"/>
      <c r="AJH122" s="68"/>
      <c r="AJI122" s="68"/>
      <c r="AJJ122" s="68"/>
      <c r="AJK122" s="68"/>
      <c r="AJL122" s="68"/>
      <c r="AJM122" s="68"/>
      <c r="AJN122" s="68"/>
      <c r="AJO122" s="68"/>
      <c r="AJP122" s="68"/>
      <c r="AJQ122" s="68"/>
      <c r="AJR122" s="68"/>
      <c r="AJS122" s="68"/>
      <c r="AJT122" s="68"/>
      <c r="AJU122" s="68"/>
      <c r="AJV122" s="68"/>
      <c r="AJW122" s="68"/>
      <c r="AJX122" s="68"/>
      <c r="AJY122" s="68"/>
      <c r="AJZ122" s="68"/>
      <c r="AKA122" s="68"/>
      <c r="AKB122" s="68"/>
      <c r="AKC122" s="68"/>
      <c r="AKD122" s="68"/>
      <c r="AKE122" s="68"/>
      <c r="AKF122" s="68"/>
      <c r="AKG122" s="68"/>
      <c r="AKH122" s="68"/>
      <c r="AKI122" s="68"/>
      <c r="AKJ122" s="68"/>
      <c r="AKK122" s="68"/>
      <c r="AKL122" s="68"/>
      <c r="AKM122" s="68"/>
      <c r="AKN122" s="68"/>
      <c r="AKO122" s="68"/>
      <c r="AKP122" s="68"/>
      <c r="AKQ122" s="68"/>
      <c r="AKR122" s="68"/>
      <c r="AKS122" s="68"/>
      <c r="AKT122" s="68"/>
      <c r="AKU122" s="68"/>
      <c r="AKV122" s="68"/>
      <c r="AKW122" s="68"/>
      <c r="AKX122" s="68"/>
      <c r="AKY122" s="68"/>
      <c r="AKZ122" s="68"/>
      <c r="ALA122" s="68"/>
      <c r="ALB122" s="68"/>
      <c r="ALC122" s="68"/>
      <c r="ALD122" s="68"/>
      <c r="ALE122" s="68"/>
      <c r="ALF122" s="68"/>
      <c r="ALG122" s="68"/>
      <c r="ALH122" s="68"/>
      <c r="ALI122" s="68"/>
      <c r="ALJ122" s="68"/>
      <c r="ALK122" s="68"/>
      <c r="ALL122" s="68"/>
      <c r="ALM122" s="68"/>
      <c r="ALN122" s="68"/>
      <c r="ALO122" s="68"/>
      <c r="ALP122" s="68"/>
      <c r="ALQ122" s="68"/>
      <c r="ALR122" s="68"/>
      <c r="ALS122" s="68"/>
      <c r="ALT122" s="68"/>
      <c r="ALU122" s="68"/>
      <c r="ALV122" s="68"/>
      <c r="ALW122" s="68"/>
      <c r="ALX122" s="68"/>
      <c r="ALY122" s="68"/>
      <c r="ALZ122" s="68"/>
      <c r="AMA122" s="68"/>
      <c r="AMB122" s="68"/>
      <c r="AMC122" s="68"/>
      <c r="AMD122" s="68"/>
      <c r="AME122" s="68"/>
      <c r="AMF122" s="68"/>
      <c r="AMG122" s="68"/>
      <c r="AMH122" s="68"/>
      <c r="AMI122" s="68"/>
      <c r="AMJ122" s="68"/>
      <c r="AMK122" s="68"/>
      <c r="AML122" s="68"/>
      <c r="AMM122" s="68"/>
      <c r="AMN122" s="68"/>
      <c r="AMO122" s="68"/>
      <c r="AMP122" s="68"/>
      <c r="AMQ122" s="68"/>
      <c r="AMR122" s="68"/>
      <c r="AMS122" s="68"/>
      <c r="AMT122" s="68"/>
      <c r="AMU122" s="68"/>
      <c r="AMV122" s="68"/>
      <c r="AMW122" s="68"/>
      <c r="AMX122" s="68"/>
      <c r="AMY122" s="68"/>
      <c r="AMZ122" s="68"/>
      <c r="ANA122" s="68"/>
      <c r="ANB122" s="68"/>
      <c r="ANC122" s="68"/>
      <c r="AND122" s="68"/>
      <c r="ANE122" s="68"/>
      <c r="ANF122" s="68"/>
      <c r="ANG122" s="68"/>
      <c r="ANH122" s="68"/>
      <c r="ANI122" s="68"/>
      <c r="ANJ122" s="68"/>
      <c r="ANK122" s="68"/>
      <c r="ANL122" s="68"/>
      <c r="ANM122" s="68"/>
      <c r="ANN122" s="68"/>
      <c r="ANO122" s="68"/>
      <c r="ANP122" s="68"/>
      <c r="ANQ122" s="68"/>
      <c r="ANR122" s="68"/>
      <c r="ANS122" s="68"/>
      <c r="ANT122" s="68"/>
      <c r="ANU122" s="68"/>
      <c r="ANV122" s="68"/>
      <c r="ANW122" s="68"/>
      <c r="ANX122" s="68"/>
      <c r="ANY122" s="68"/>
      <c r="ANZ122" s="68"/>
      <c r="AOA122" s="68"/>
      <c r="AOB122" s="68"/>
      <c r="AOC122" s="68"/>
      <c r="AOD122" s="68"/>
      <c r="AOE122" s="68"/>
      <c r="AOF122" s="68"/>
      <c r="AOG122" s="68"/>
      <c r="AOH122" s="68"/>
      <c r="AOI122" s="68"/>
      <c r="AOJ122" s="68"/>
      <c r="AOK122" s="68"/>
      <c r="AOL122" s="68"/>
      <c r="AOM122" s="68"/>
      <c r="AON122" s="68"/>
      <c r="AOO122" s="68"/>
      <c r="AOP122" s="68"/>
      <c r="AOQ122" s="68"/>
      <c r="AOR122" s="68"/>
      <c r="AOS122" s="68"/>
      <c r="AOT122" s="68"/>
      <c r="AOU122" s="68"/>
      <c r="AOV122" s="68"/>
      <c r="AOW122" s="68"/>
      <c r="AOX122" s="68"/>
      <c r="AOY122" s="68"/>
      <c r="AOZ122" s="68"/>
      <c r="APA122" s="68"/>
      <c r="APB122" s="68"/>
      <c r="APC122" s="68"/>
      <c r="APD122" s="68"/>
      <c r="APE122" s="68"/>
      <c r="APF122" s="68"/>
      <c r="APG122" s="68"/>
      <c r="APH122" s="68"/>
      <c r="API122" s="68"/>
      <c r="APJ122" s="68"/>
      <c r="APK122" s="68"/>
      <c r="APL122" s="68"/>
      <c r="APM122" s="68"/>
      <c r="APN122" s="68"/>
      <c r="APO122" s="68"/>
      <c r="APP122" s="68"/>
      <c r="APQ122" s="68"/>
      <c r="APR122" s="68"/>
      <c r="APS122" s="68"/>
      <c r="APT122" s="68"/>
      <c r="APU122" s="68"/>
      <c r="APV122" s="68"/>
      <c r="APW122" s="68"/>
      <c r="APX122" s="68"/>
      <c r="APY122" s="68"/>
      <c r="APZ122" s="68"/>
      <c r="AQA122" s="68"/>
      <c r="AQB122" s="68"/>
      <c r="AQC122" s="68"/>
      <c r="AQD122" s="68"/>
      <c r="AQE122" s="68"/>
      <c r="AQF122" s="68"/>
      <c r="AQG122" s="68"/>
      <c r="AQH122" s="68"/>
      <c r="AQI122" s="68"/>
      <c r="AQJ122" s="68"/>
      <c r="AQK122" s="68"/>
      <c r="AQL122" s="68"/>
      <c r="AQM122" s="68"/>
      <c r="AQN122" s="68"/>
      <c r="AQO122" s="68"/>
      <c r="AQP122" s="68"/>
      <c r="AQQ122" s="68"/>
      <c r="AQR122" s="68"/>
      <c r="AQS122" s="68"/>
      <c r="AQT122" s="68"/>
      <c r="AQU122" s="68"/>
      <c r="AQV122" s="68"/>
      <c r="AQW122" s="68"/>
      <c r="AQX122" s="68"/>
      <c r="AQY122" s="68"/>
      <c r="AQZ122" s="68"/>
      <c r="ARA122" s="68"/>
      <c r="ARB122" s="68"/>
      <c r="ARC122" s="68"/>
      <c r="ARD122" s="68"/>
      <c r="ARE122" s="68"/>
      <c r="ARF122" s="68"/>
      <c r="ARG122" s="68"/>
      <c r="ARH122" s="68"/>
      <c r="ARI122" s="68"/>
      <c r="ARJ122" s="68"/>
      <c r="ARK122" s="68"/>
      <c r="ARL122" s="68"/>
      <c r="ARM122" s="68"/>
      <c r="ARN122" s="68"/>
      <c r="ARO122" s="68"/>
      <c r="ARP122" s="68"/>
      <c r="ARQ122" s="68"/>
      <c r="ARR122" s="68"/>
      <c r="ARS122" s="68"/>
      <c r="ART122" s="68"/>
      <c r="ARU122" s="68"/>
      <c r="ARV122" s="68"/>
      <c r="ARW122" s="68"/>
      <c r="ARX122" s="68"/>
      <c r="ARY122" s="68"/>
      <c r="ARZ122" s="68"/>
      <c r="ASA122" s="68"/>
      <c r="ASB122" s="68"/>
      <c r="ASC122" s="68"/>
      <c r="ASD122" s="68"/>
      <c r="ASE122" s="68"/>
      <c r="ASF122" s="68"/>
      <c r="ASG122" s="68"/>
      <c r="ASH122" s="68"/>
      <c r="ASI122" s="68"/>
      <c r="ASJ122" s="68"/>
      <c r="ASK122" s="68"/>
      <c r="ASL122" s="68"/>
      <c r="ASM122" s="68"/>
      <c r="ASN122" s="68"/>
      <c r="ASO122" s="68"/>
      <c r="ASP122" s="68"/>
      <c r="ASQ122" s="68"/>
      <c r="ASR122" s="68"/>
      <c r="ASS122" s="68"/>
      <c r="AST122" s="68"/>
      <c r="ASU122" s="68"/>
      <c r="ASV122" s="68"/>
      <c r="ASW122" s="68"/>
      <c r="ASX122" s="68"/>
      <c r="ASY122" s="68"/>
      <c r="ASZ122" s="68"/>
      <c r="ATA122" s="68"/>
      <c r="ATB122" s="68"/>
      <c r="ATC122" s="68"/>
      <c r="ATD122" s="68"/>
      <c r="ATE122" s="68"/>
      <c r="ATF122" s="68"/>
      <c r="ATG122" s="68"/>
      <c r="ATH122" s="68"/>
      <c r="ATI122" s="68"/>
      <c r="ATJ122" s="68"/>
      <c r="ATK122" s="68"/>
      <c r="ATL122" s="68"/>
      <c r="ATM122" s="68"/>
      <c r="ATN122" s="68"/>
      <c r="ATO122" s="68"/>
      <c r="ATP122" s="68"/>
      <c r="ATQ122" s="68"/>
      <c r="ATR122" s="68"/>
      <c r="ATS122" s="68"/>
      <c r="ATT122" s="68"/>
      <c r="ATU122" s="68"/>
      <c r="ATV122" s="68"/>
      <c r="ATW122" s="68"/>
      <c r="ATX122" s="68"/>
      <c r="ATY122" s="68"/>
      <c r="ATZ122" s="68"/>
      <c r="AUA122" s="68"/>
      <c r="AUB122" s="68"/>
      <c r="AUC122" s="68"/>
      <c r="AUD122" s="68"/>
      <c r="AUE122" s="68"/>
      <c r="AUF122" s="68"/>
      <c r="AUG122" s="68"/>
      <c r="AUH122" s="68"/>
      <c r="AUI122" s="68"/>
      <c r="AUJ122" s="68"/>
      <c r="AUK122" s="68"/>
      <c r="AUL122" s="68"/>
      <c r="AUM122" s="68"/>
      <c r="AUN122" s="68"/>
      <c r="AUO122" s="68"/>
      <c r="AUP122" s="68"/>
      <c r="AUQ122" s="68"/>
      <c r="AUR122" s="68"/>
      <c r="AUS122" s="68"/>
      <c r="AUT122" s="68"/>
      <c r="AUU122" s="68"/>
      <c r="AUV122" s="68"/>
      <c r="AUW122" s="68"/>
      <c r="AUX122" s="68"/>
      <c r="AUY122" s="68"/>
      <c r="AUZ122" s="68"/>
      <c r="AVA122" s="68"/>
      <c r="AVB122" s="68"/>
      <c r="AVC122" s="68"/>
      <c r="AVD122" s="68"/>
      <c r="AVE122" s="68"/>
      <c r="AVF122" s="68"/>
      <c r="AVG122" s="68"/>
      <c r="AVH122" s="68"/>
      <c r="AVI122" s="68"/>
      <c r="AVJ122" s="68"/>
      <c r="AVK122" s="68"/>
      <c r="AVL122" s="68"/>
      <c r="AVM122" s="68"/>
      <c r="AVN122" s="68"/>
      <c r="AVO122" s="68"/>
      <c r="AVP122" s="68"/>
      <c r="AVQ122" s="68"/>
      <c r="AVR122" s="68"/>
      <c r="AVS122" s="68"/>
      <c r="AVT122" s="68"/>
      <c r="AVU122" s="68"/>
      <c r="AVV122" s="68"/>
      <c r="AVW122" s="68"/>
      <c r="AVX122" s="68"/>
      <c r="AVY122" s="68"/>
      <c r="AVZ122" s="68"/>
      <c r="AWA122" s="68"/>
      <c r="AWB122" s="68"/>
      <c r="AWC122" s="68"/>
      <c r="AWD122" s="68"/>
      <c r="AWE122" s="68"/>
      <c r="AWF122" s="68"/>
      <c r="AWG122" s="68"/>
      <c r="AWH122" s="68"/>
      <c r="AWI122" s="68"/>
      <c r="AWJ122" s="68"/>
      <c r="AWK122" s="68"/>
      <c r="AWL122" s="68"/>
      <c r="AWM122" s="68"/>
      <c r="AWN122" s="68"/>
      <c r="AWO122" s="68"/>
      <c r="AWP122" s="68"/>
      <c r="AWQ122" s="68"/>
      <c r="AWR122" s="68"/>
      <c r="AWS122" s="68"/>
      <c r="AWT122" s="68"/>
      <c r="AWU122" s="68"/>
      <c r="AWV122" s="68"/>
      <c r="AWW122" s="68"/>
      <c r="AWX122" s="68"/>
      <c r="AWY122" s="68"/>
      <c r="AWZ122" s="68"/>
      <c r="AXA122" s="68"/>
      <c r="AXB122" s="68"/>
      <c r="AXC122" s="68"/>
      <c r="AXD122" s="68"/>
      <c r="AXE122" s="68"/>
      <c r="AXF122" s="68"/>
      <c r="AXG122" s="68"/>
      <c r="AXH122" s="68"/>
      <c r="AXI122" s="68"/>
      <c r="AXJ122" s="68"/>
      <c r="AXK122" s="68"/>
      <c r="AXL122" s="68"/>
      <c r="AXM122" s="68"/>
      <c r="AXN122" s="68"/>
      <c r="AXO122" s="68"/>
      <c r="AXP122" s="68"/>
      <c r="AXQ122" s="68"/>
      <c r="AXR122" s="68"/>
      <c r="AXS122" s="68"/>
      <c r="AXT122" s="68"/>
      <c r="AXU122" s="68"/>
      <c r="AXV122" s="68"/>
      <c r="AXW122" s="68"/>
      <c r="AXX122" s="68"/>
      <c r="AXY122" s="68"/>
      <c r="AXZ122" s="68"/>
      <c r="AYA122" s="68"/>
      <c r="AYB122" s="68"/>
      <c r="AYC122" s="68"/>
      <c r="AYD122" s="68"/>
      <c r="AYE122" s="68"/>
      <c r="AYF122" s="68"/>
      <c r="AYG122" s="68"/>
      <c r="AYH122" s="68"/>
      <c r="AYI122" s="68"/>
      <c r="AYJ122" s="68"/>
      <c r="AYK122" s="68"/>
      <c r="AYL122" s="68"/>
      <c r="AYM122" s="68"/>
      <c r="AYN122" s="68"/>
      <c r="AYO122" s="68"/>
      <c r="AYP122" s="68"/>
      <c r="AYQ122" s="68"/>
      <c r="AYR122" s="68"/>
      <c r="AYS122" s="68"/>
      <c r="AYT122" s="68"/>
      <c r="AYU122" s="68"/>
      <c r="AYV122" s="68"/>
      <c r="AYW122" s="68"/>
      <c r="AYX122" s="68"/>
      <c r="AYY122" s="68"/>
      <c r="AYZ122" s="68"/>
      <c r="AZA122" s="68"/>
      <c r="AZB122" s="68"/>
      <c r="AZC122" s="68"/>
      <c r="AZD122" s="68"/>
      <c r="AZE122" s="68"/>
      <c r="AZF122" s="68"/>
      <c r="AZG122" s="68"/>
      <c r="AZH122" s="68"/>
      <c r="AZI122" s="68"/>
      <c r="AZJ122" s="68"/>
      <c r="AZK122" s="68"/>
      <c r="AZL122" s="68"/>
      <c r="AZM122" s="68"/>
      <c r="AZN122" s="68"/>
      <c r="AZO122" s="68"/>
      <c r="AZP122" s="68"/>
      <c r="AZQ122" s="68"/>
      <c r="AZR122" s="68"/>
      <c r="AZS122" s="68"/>
      <c r="AZT122" s="68"/>
      <c r="AZU122" s="68"/>
      <c r="AZV122" s="68"/>
      <c r="AZW122" s="68"/>
      <c r="AZX122" s="68"/>
      <c r="AZY122" s="68"/>
      <c r="AZZ122" s="68"/>
      <c r="BAA122" s="68"/>
      <c r="BAB122" s="68"/>
      <c r="BAC122" s="68"/>
      <c r="BAD122" s="68"/>
      <c r="BAE122" s="68"/>
      <c r="BAF122" s="68"/>
      <c r="BAG122" s="68"/>
      <c r="BAH122" s="68"/>
      <c r="BAI122" s="68"/>
      <c r="BAJ122" s="68"/>
      <c r="BAK122" s="68"/>
      <c r="BAL122" s="68"/>
      <c r="BAM122" s="68"/>
      <c r="BAN122" s="68"/>
      <c r="BAO122" s="68"/>
      <c r="BAP122" s="68"/>
      <c r="BAQ122" s="68"/>
      <c r="BAR122" s="68"/>
      <c r="BAS122" s="68"/>
      <c r="BAT122" s="68"/>
      <c r="BAU122" s="68"/>
      <c r="BAV122" s="68"/>
      <c r="BAW122" s="68"/>
      <c r="BAX122" s="68"/>
      <c r="BAY122" s="68"/>
      <c r="BAZ122" s="68"/>
      <c r="BBA122" s="68"/>
      <c r="BBB122" s="68"/>
      <c r="BBC122" s="68"/>
      <c r="BBD122" s="68"/>
      <c r="BBE122" s="68"/>
      <c r="BBF122" s="68"/>
      <c r="BBG122" s="68"/>
      <c r="BBH122" s="68"/>
      <c r="BBI122" s="68"/>
      <c r="BBJ122" s="68"/>
      <c r="BBK122" s="68"/>
      <c r="BBL122" s="68"/>
      <c r="BBM122" s="68"/>
      <c r="BBN122" s="68"/>
      <c r="BBO122" s="68"/>
      <c r="BBP122" s="68"/>
      <c r="BBQ122" s="68"/>
      <c r="BBR122" s="68"/>
      <c r="BBS122" s="68"/>
      <c r="BBT122" s="68"/>
      <c r="BBU122" s="68"/>
      <c r="BBV122" s="68"/>
      <c r="BBW122" s="68"/>
      <c r="BBX122" s="68"/>
      <c r="BBY122" s="68"/>
      <c r="BBZ122" s="68"/>
      <c r="BCA122" s="68"/>
      <c r="BCB122" s="68"/>
      <c r="BCC122" s="68"/>
      <c r="BCD122" s="68"/>
      <c r="BCE122" s="68"/>
      <c r="BCF122" s="68"/>
      <c r="BCG122" s="68"/>
      <c r="BCH122" s="68"/>
      <c r="BCI122" s="68"/>
      <c r="BCJ122" s="68"/>
      <c r="BCK122" s="68"/>
      <c r="BCL122" s="68"/>
      <c r="BCM122" s="68"/>
      <c r="BCN122" s="68"/>
      <c r="BCO122" s="68"/>
      <c r="BCP122" s="68"/>
      <c r="BCQ122" s="68"/>
      <c r="BCR122" s="68"/>
      <c r="BCS122" s="68"/>
      <c r="BCT122" s="68"/>
      <c r="BCU122" s="68"/>
      <c r="BCV122" s="68"/>
      <c r="BCW122" s="68"/>
      <c r="BCX122" s="68"/>
      <c r="BCY122" s="68"/>
      <c r="BCZ122" s="68"/>
      <c r="BDA122" s="68"/>
    </row>
    <row r="123" spans="1:1457" ht="21.75" hidden="1" customHeight="1" x14ac:dyDescent="0.25">
      <c r="A123" s="119" t="s">
        <v>32</v>
      </c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67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 spans="1:1457" ht="26.25" hidden="1" customHeight="1" x14ac:dyDescent="0.25">
      <c r="A124" s="24">
        <v>1</v>
      </c>
      <c r="B124" s="10" t="s">
        <v>22</v>
      </c>
      <c r="C124" s="10" t="s">
        <v>23</v>
      </c>
      <c r="D124" s="10"/>
      <c r="E124" s="10"/>
      <c r="F124" s="8">
        <v>12000</v>
      </c>
      <c r="G124" s="42" t="s">
        <v>9</v>
      </c>
      <c r="H124" s="42"/>
      <c r="I124" s="24" t="s">
        <v>14</v>
      </c>
      <c r="J124" s="24"/>
      <c r="K124" s="12" t="s">
        <v>48</v>
      </c>
      <c r="L124" s="8" t="s">
        <v>51</v>
      </c>
      <c r="M124" s="67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 spans="1:1457" ht="26.25" hidden="1" customHeight="1" x14ac:dyDescent="0.25">
      <c r="A125" s="24">
        <v>2</v>
      </c>
      <c r="B125" s="10" t="s">
        <v>24</v>
      </c>
      <c r="C125" s="10" t="s">
        <v>25</v>
      </c>
      <c r="D125" s="10"/>
      <c r="E125" s="10"/>
      <c r="F125" s="8">
        <v>190000</v>
      </c>
      <c r="G125" s="42" t="s">
        <v>26</v>
      </c>
      <c r="H125" s="42"/>
      <c r="I125" s="24" t="s">
        <v>17</v>
      </c>
      <c r="J125" s="24"/>
      <c r="K125" s="12" t="s">
        <v>56</v>
      </c>
      <c r="L125" s="8">
        <v>190000</v>
      </c>
      <c r="M125" s="67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 spans="1:1457" ht="26.25" hidden="1" customHeight="1" x14ac:dyDescent="0.25">
      <c r="A126" s="59">
        <v>3</v>
      </c>
      <c r="B126" s="29" t="s">
        <v>68</v>
      </c>
      <c r="C126" s="29" t="s">
        <v>69</v>
      </c>
      <c r="D126" s="29"/>
      <c r="E126" s="29"/>
      <c r="F126" s="8">
        <v>6000</v>
      </c>
      <c r="G126" s="42" t="s">
        <v>70</v>
      </c>
      <c r="H126" s="42"/>
      <c r="I126" s="59" t="s">
        <v>17</v>
      </c>
      <c r="J126" s="59"/>
      <c r="K126" s="59" t="s">
        <v>348</v>
      </c>
      <c r="L126" s="61">
        <v>6000</v>
      </c>
      <c r="M126" s="67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 spans="1:1457" hidden="1" x14ac:dyDescent="0.25">
      <c r="A127" s="60"/>
      <c r="B127" s="60"/>
      <c r="C127" s="60"/>
      <c r="D127" s="60"/>
      <c r="E127" s="60"/>
      <c r="F127" s="44">
        <f>SUM(F124:F126)</f>
        <v>208000</v>
      </c>
      <c r="G127" s="24"/>
      <c r="H127" s="24"/>
      <c r="I127" s="24"/>
      <c r="J127" s="24"/>
      <c r="K127" s="40"/>
      <c r="L127" s="28"/>
      <c r="M127" s="6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 spans="1:1457" ht="20.25" hidden="1" customHeight="1" x14ac:dyDescent="0.25">
      <c r="A128" s="119" t="s">
        <v>33</v>
      </c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67"/>
      <c r="N128"/>
      <c r="O128"/>
      <c r="P128"/>
      <c r="Q128"/>
      <c r="R128"/>
      <c r="S128"/>
      <c r="T128"/>
      <c r="U128"/>
      <c r="V128"/>
      <c r="W128"/>
      <c r="X128"/>
      <c r="Y128"/>
    </row>
    <row r="129" spans="1:25" ht="36" hidden="1" customHeight="1" x14ac:dyDescent="0.25">
      <c r="A129" s="24">
        <v>1</v>
      </c>
      <c r="B129" s="10" t="s">
        <v>37</v>
      </c>
      <c r="C129" s="10" t="s">
        <v>34</v>
      </c>
      <c r="D129" s="10"/>
      <c r="E129" s="10"/>
      <c r="F129" s="8">
        <v>67200</v>
      </c>
      <c r="G129" s="10" t="s">
        <v>35</v>
      </c>
      <c r="H129" s="10"/>
      <c r="I129" s="10" t="s">
        <v>36</v>
      </c>
      <c r="J129" s="10"/>
      <c r="K129" s="24" t="s">
        <v>54</v>
      </c>
      <c r="L129" s="23">
        <v>67200</v>
      </c>
      <c r="M129" s="67"/>
      <c r="N129"/>
      <c r="O129"/>
      <c r="P129"/>
      <c r="Q129"/>
      <c r="R129"/>
      <c r="S129"/>
      <c r="T129"/>
      <c r="U129"/>
      <c r="V129"/>
      <c r="W129"/>
      <c r="X129"/>
      <c r="Y129"/>
    </row>
    <row r="130" spans="1:25" ht="36" hidden="1" customHeight="1" x14ac:dyDescent="0.25">
      <c r="A130" s="59">
        <v>2</v>
      </c>
      <c r="B130" s="29" t="s">
        <v>128</v>
      </c>
      <c r="C130" s="29" t="s">
        <v>129</v>
      </c>
      <c r="D130" s="29"/>
      <c r="E130" s="29"/>
      <c r="F130" s="8">
        <v>8400</v>
      </c>
      <c r="G130" s="59"/>
      <c r="H130" s="59"/>
      <c r="I130" s="59"/>
      <c r="J130" s="59"/>
      <c r="K130" s="59" t="s">
        <v>349</v>
      </c>
      <c r="L130" s="62"/>
      <c r="M130" s="67"/>
      <c r="N130"/>
      <c r="O130"/>
      <c r="P130"/>
      <c r="Q130"/>
      <c r="R130"/>
      <c r="S130"/>
      <c r="T130"/>
      <c r="U130"/>
      <c r="V130"/>
      <c r="W130"/>
      <c r="X130"/>
      <c r="Y130"/>
    </row>
    <row r="131" spans="1:25" hidden="1" x14ac:dyDescent="0.25">
      <c r="A131" s="60"/>
      <c r="B131" s="60"/>
      <c r="C131" s="60"/>
      <c r="D131" s="60"/>
      <c r="E131" s="60"/>
      <c r="F131" s="44">
        <f>SUM(F129:F130)</f>
        <v>75600</v>
      </c>
      <c r="G131" s="24"/>
      <c r="H131" s="24"/>
      <c r="I131" s="24"/>
      <c r="J131" s="24"/>
      <c r="K131" s="40"/>
      <c r="L131" s="63"/>
      <c r="M131" s="67"/>
      <c r="N131"/>
      <c r="O131"/>
      <c r="P131"/>
      <c r="Q131"/>
      <c r="R131"/>
      <c r="S131"/>
      <c r="T131"/>
      <c r="U131"/>
      <c r="V131"/>
      <c r="W131"/>
      <c r="X131"/>
      <c r="Y131"/>
    </row>
    <row r="132" spans="1:25" ht="21" customHeight="1" x14ac:dyDescent="0.25">
      <c r="A132" s="119" t="s">
        <v>184</v>
      </c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67"/>
      <c r="N132"/>
      <c r="O132"/>
      <c r="P132"/>
      <c r="Q132"/>
      <c r="R132"/>
      <c r="S132"/>
      <c r="T132"/>
      <c r="U132"/>
      <c r="V132"/>
      <c r="W132"/>
      <c r="X132"/>
      <c r="Y132"/>
    </row>
    <row r="133" spans="1:25" ht="24.75" customHeight="1" x14ac:dyDescent="0.25">
      <c r="A133" s="7">
        <v>1</v>
      </c>
      <c r="B133" s="7" t="s">
        <v>185</v>
      </c>
      <c r="C133" s="7" t="s">
        <v>186</v>
      </c>
      <c r="D133" s="7" t="s">
        <v>747</v>
      </c>
      <c r="E133" s="7" t="s">
        <v>748</v>
      </c>
      <c r="F133" s="8">
        <v>168200</v>
      </c>
      <c r="G133" s="42" t="s">
        <v>680</v>
      </c>
      <c r="H133" s="42" t="s">
        <v>566</v>
      </c>
      <c r="I133" s="7" t="s">
        <v>187</v>
      </c>
      <c r="J133" s="7"/>
      <c r="K133" s="7" t="s">
        <v>338</v>
      </c>
      <c r="L133" s="8">
        <v>168200</v>
      </c>
      <c r="M133" s="67"/>
      <c r="N133"/>
      <c r="O133"/>
      <c r="P133"/>
      <c r="Q133"/>
      <c r="R133"/>
      <c r="S133"/>
      <c r="T133"/>
      <c r="U133"/>
      <c r="V133"/>
      <c r="W133"/>
      <c r="X133"/>
      <c r="Y133"/>
    </row>
    <row r="134" spans="1:25" ht="24.75" customHeight="1" x14ac:dyDescent="0.25">
      <c r="A134" s="7">
        <v>2</v>
      </c>
      <c r="B134" s="7" t="s">
        <v>188</v>
      </c>
      <c r="C134" s="7" t="s">
        <v>189</v>
      </c>
      <c r="D134" s="7" t="s">
        <v>747</v>
      </c>
      <c r="E134" s="7" t="s">
        <v>748</v>
      </c>
      <c r="F134" s="8">
        <v>1499300</v>
      </c>
      <c r="G134" s="42" t="s">
        <v>578</v>
      </c>
      <c r="H134" s="42" t="s">
        <v>585</v>
      </c>
      <c r="I134" s="7" t="s">
        <v>174</v>
      </c>
      <c r="J134" s="7"/>
      <c r="K134" s="7" t="s">
        <v>339</v>
      </c>
      <c r="L134" s="8">
        <v>1499300</v>
      </c>
      <c r="M134" s="67"/>
      <c r="N134"/>
      <c r="O134"/>
      <c r="P134"/>
      <c r="Q134"/>
      <c r="R134"/>
      <c r="S134"/>
      <c r="T134"/>
      <c r="U134"/>
      <c r="V134"/>
      <c r="W134"/>
      <c r="X134"/>
      <c r="Y134"/>
    </row>
    <row r="135" spans="1:25" ht="24.75" customHeight="1" x14ac:dyDescent="0.25">
      <c r="A135" s="7">
        <v>3</v>
      </c>
      <c r="B135" s="7" t="s">
        <v>252</v>
      </c>
      <c r="C135" s="7" t="s">
        <v>253</v>
      </c>
      <c r="D135" s="7" t="s">
        <v>747</v>
      </c>
      <c r="E135" s="7" t="s">
        <v>748</v>
      </c>
      <c r="F135" s="8">
        <v>725000</v>
      </c>
      <c r="G135" s="42" t="s">
        <v>681</v>
      </c>
      <c r="H135" s="42" t="s">
        <v>568</v>
      </c>
      <c r="I135" s="7" t="s">
        <v>17</v>
      </c>
      <c r="J135" s="7"/>
      <c r="K135" s="64"/>
      <c r="L135" s="64"/>
      <c r="M135" s="67"/>
      <c r="N135"/>
      <c r="O135"/>
      <c r="P135"/>
      <c r="Q135"/>
      <c r="R135"/>
      <c r="S135"/>
      <c r="T135"/>
      <c r="U135"/>
      <c r="V135"/>
      <c r="W135"/>
      <c r="X135"/>
      <c r="Y135"/>
    </row>
    <row r="136" spans="1:25" ht="24.75" customHeight="1" x14ac:dyDescent="0.25">
      <c r="A136" s="7">
        <v>4</v>
      </c>
      <c r="B136" s="7" t="s">
        <v>264</v>
      </c>
      <c r="C136" s="7" t="s">
        <v>265</v>
      </c>
      <c r="D136" s="7" t="s">
        <v>747</v>
      </c>
      <c r="E136" s="7" t="s">
        <v>748</v>
      </c>
      <c r="F136" s="8">
        <v>2027100</v>
      </c>
      <c r="G136" s="42" t="s">
        <v>589</v>
      </c>
      <c r="H136" s="42" t="s">
        <v>586</v>
      </c>
      <c r="I136" s="7" t="s">
        <v>266</v>
      </c>
      <c r="J136" s="7"/>
      <c r="K136" s="64"/>
      <c r="L136" s="64"/>
      <c r="M136" s="67"/>
      <c r="N136"/>
      <c r="O136"/>
      <c r="P136"/>
      <c r="Q136"/>
      <c r="R136"/>
      <c r="S136"/>
      <c r="T136"/>
      <c r="U136"/>
      <c r="V136"/>
      <c r="W136"/>
      <c r="X136"/>
      <c r="Y136"/>
    </row>
    <row r="137" spans="1:25" ht="17.25" customHeight="1" x14ac:dyDescent="0.25">
      <c r="A137" s="119" t="s">
        <v>555</v>
      </c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67"/>
      <c r="N137"/>
      <c r="O137"/>
      <c r="P137"/>
      <c r="Q137"/>
      <c r="R137"/>
      <c r="S137"/>
      <c r="T137"/>
      <c r="U137"/>
      <c r="V137"/>
      <c r="W137"/>
      <c r="X137"/>
      <c r="Y137"/>
    </row>
    <row r="138" spans="1:25" ht="35.25" customHeight="1" x14ac:dyDescent="0.25">
      <c r="A138" s="24">
        <v>1</v>
      </c>
      <c r="B138" s="24" t="s">
        <v>230</v>
      </c>
      <c r="C138" s="24" t="s">
        <v>737</v>
      </c>
      <c r="D138" s="24" t="s">
        <v>94</v>
      </c>
      <c r="E138" s="24" t="s">
        <v>749</v>
      </c>
      <c r="F138" s="8">
        <v>4978456.8</v>
      </c>
      <c r="G138" s="19">
        <v>45627</v>
      </c>
      <c r="H138" s="19">
        <v>45716</v>
      </c>
      <c r="I138" s="84" t="s">
        <v>236</v>
      </c>
      <c r="J138" s="84"/>
      <c r="K138" s="40"/>
      <c r="L138" s="40"/>
      <c r="M138" s="67"/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5" ht="20.25" hidden="1" customHeight="1" x14ac:dyDescent="0.25">
      <c r="A139" s="115" t="s">
        <v>244</v>
      </c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67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25" hidden="1" x14ac:dyDescent="0.25">
      <c r="A140" s="24">
        <v>1</v>
      </c>
      <c r="B140" s="24" t="s">
        <v>232</v>
      </c>
      <c r="C140" s="7" t="s">
        <v>231</v>
      </c>
      <c r="D140" s="7"/>
      <c r="E140" s="7"/>
      <c r="F140" s="8">
        <v>752500</v>
      </c>
      <c r="G140" s="10" t="s">
        <v>233</v>
      </c>
      <c r="H140" s="10"/>
      <c r="I140" s="7" t="s">
        <v>234</v>
      </c>
      <c r="J140" s="7"/>
      <c r="K140" s="40"/>
      <c r="L140" s="40"/>
      <c r="M140" s="67"/>
      <c r="N140"/>
      <c r="O140"/>
      <c r="P140"/>
      <c r="Q140"/>
      <c r="R140"/>
      <c r="S140"/>
      <c r="T140"/>
      <c r="U140"/>
      <c r="V140"/>
      <c r="W140"/>
      <c r="X140"/>
      <c r="Y140"/>
    </row>
    <row r="141" spans="1:25" s="2" customFormat="1" hidden="1" x14ac:dyDescent="0.25">
      <c r="A141" s="76"/>
      <c r="B141" s="75"/>
      <c r="C141" s="75"/>
      <c r="D141" s="75"/>
      <c r="E141" s="75"/>
      <c r="F141" s="77">
        <f>F140</f>
        <v>752500</v>
      </c>
      <c r="G141" s="75"/>
      <c r="H141" s="75"/>
      <c r="I141" s="75"/>
      <c r="J141" s="75"/>
      <c r="K141" s="75"/>
      <c r="L141" s="75"/>
      <c r="M141" s="67"/>
      <c r="N141"/>
      <c r="O141"/>
      <c r="P141"/>
      <c r="Q141"/>
      <c r="R141"/>
      <c r="S141"/>
      <c r="T141"/>
      <c r="U141"/>
      <c r="V141"/>
      <c r="W141"/>
      <c r="X141"/>
      <c r="Y141"/>
    </row>
    <row r="142" spans="1:25" ht="18.75" customHeight="1" x14ac:dyDescent="0.25">
      <c r="A142" s="121" t="s">
        <v>556</v>
      </c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67"/>
      <c r="N142"/>
      <c r="O142"/>
      <c r="P142"/>
      <c r="Q142"/>
      <c r="R142"/>
      <c r="S142"/>
      <c r="T142"/>
      <c r="U142"/>
      <c r="V142"/>
      <c r="W142"/>
      <c r="X142"/>
      <c r="Y142"/>
    </row>
    <row r="143" spans="1:25" ht="60.75" customHeight="1" x14ac:dyDescent="0.25">
      <c r="A143" s="10">
        <v>1</v>
      </c>
      <c r="B143" s="10" t="s">
        <v>296</v>
      </c>
      <c r="C143" s="10" t="s">
        <v>297</v>
      </c>
      <c r="D143" s="10" t="s">
        <v>750</v>
      </c>
      <c r="E143" s="10" t="s">
        <v>751</v>
      </c>
      <c r="F143" s="8">
        <v>7660000</v>
      </c>
      <c r="G143" s="12" t="s">
        <v>678</v>
      </c>
      <c r="H143" s="12" t="s">
        <v>587</v>
      </c>
      <c r="I143" s="10" t="s">
        <v>17</v>
      </c>
      <c r="J143" s="10"/>
      <c r="K143" s="10" t="s">
        <v>431</v>
      </c>
      <c r="L143" s="8">
        <v>7660000</v>
      </c>
      <c r="M143" s="67"/>
      <c r="N143"/>
      <c r="O143"/>
      <c r="P143"/>
      <c r="Q143"/>
      <c r="R143"/>
      <c r="S143"/>
      <c r="T143"/>
      <c r="U143"/>
      <c r="V143"/>
      <c r="W143"/>
      <c r="X143"/>
      <c r="Y143"/>
    </row>
    <row r="144" spans="1:25" ht="50.25" customHeight="1" x14ac:dyDescent="0.25">
      <c r="A144" s="10">
        <v>2</v>
      </c>
      <c r="B144" s="10" t="s">
        <v>298</v>
      </c>
      <c r="C144" s="10" t="s">
        <v>299</v>
      </c>
      <c r="D144" s="10" t="s">
        <v>750</v>
      </c>
      <c r="E144" s="10" t="s">
        <v>751</v>
      </c>
      <c r="F144" s="8">
        <v>5227500</v>
      </c>
      <c r="G144" s="12" t="s">
        <v>589</v>
      </c>
      <c r="H144" s="12" t="s">
        <v>587</v>
      </c>
      <c r="I144" s="10" t="s">
        <v>14</v>
      </c>
      <c r="J144" s="10"/>
      <c r="K144" s="10" t="s">
        <v>477</v>
      </c>
      <c r="L144" s="92">
        <v>5227500</v>
      </c>
      <c r="M144" s="67"/>
      <c r="N144"/>
      <c r="O144"/>
      <c r="P144"/>
      <c r="Q144"/>
      <c r="R144"/>
      <c r="S144"/>
      <c r="T144"/>
      <c r="U144"/>
      <c r="V144"/>
      <c r="W144"/>
      <c r="X144"/>
      <c r="Y144"/>
    </row>
    <row r="145" spans="1:25" ht="31.5" customHeight="1" x14ac:dyDescent="0.25">
      <c r="A145" s="10">
        <v>3</v>
      </c>
      <c r="B145" s="10" t="s">
        <v>300</v>
      </c>
      <c r="C145" s="10" t="s">
        <v>301</v>
      </c>
      <c r="D145" s="10" t="s">
        <v>750</v>
      </c>
      <c r="E145" s="10" t="s">
        <v>751</v>
      </c>
      <c r="F145" s="8">
        <v>25000</v>
      </c>
      <c r="G145" s="12" t="s">
        <v>678</v>
      </c>
      <c r="H145" s="12" t="s">
        <v>587</v>
      </c>
      <c r="I145" s="10" t="s">
        <v>302</v>
      </c>
      <c r="J145" s="10"/>
      <c r="K145" s="10" t="s">
        <v>472</v>
      </c>
      <c r="L145" s="92">
        <v>25000</v>
      </c>
      <c r="M145" s="67"/>
      <c r="N145"/>
      <c r="O145"/>
      <c r="P145"/>
      <c r="Q145"/>
      <c r="R145"/>
      <c r="S145"/>
      <c r="T145"/>
      <c r="U145"/>
      <c r="V145"/>
      <c r="W145"/>
      <c r="X145"/>
      <c r="Y145"/>
    </row>
    <row r="146" spans="1:25" ht="33.75" customHeight="1" x14ac:dyDescent="0.25">
      <c r="A146" s="10">
        <v>4</v>
      </c>
      <c r="B146" s="10" t="s">
        <v>396</v>
      </c>
      <c r="C146" s="10" t="s">
        <v>397</v>
      </c>
      <c r="D146" s="10" t="s">
        <v>750</v>
      </c>
      <c r="E146" s="10" t="s">
        <v>751</v>
      </c>
      <c r="F146" s="8">
        <v>1610000</v>
      </c>
      <c r="G146" s="12" t="s">
        <v>654</v>
      </c>
      <c r="H146" s="12" t="s">
        <v>569</v>
      </c>
      <c r="I146" s="10" t="s">
        <v>302</v>
      </c>
      <c r="J146" s="10"/>
      <c r="K146" s="10" t="s">
        <v>473</v>
      </c>
      <c r="L146" s="92">
        <v>1610000</v>
      </c>
      <c r="M146" s="67"/>
      <c r="N146"/>
      <c r="O146"/>
      <c r="P146"/>
      <c r="Q146"/>
      <c r="R146"/>
      <c r="S146"/>
      <c r="T146"/>
      <c r="U146"/>
      <c r="V146"/>
      <c r="W146"/>
      <c r="X146"/>
      <c r="Y146"/>
    </row>
    <row r="147" spans="1:25" ht="63" customHeight="1" x14ac:dyDescent="0.25">
      <c r="A147" s="10">
        <v>5</v>
      </c>
      <c r="B147" s="10" t="s">
        <v>756</v>
      </c>
      <c r="C147" s="10" t="s">
        <v>757</v>
      </c>
      <c r="D147" s="10" t="s">
        <v>750</v>
      </c>
      <c r="E147" s="10" t="s">
        <v>751</v>
      </c>
      <c r="F147" s="8">
        <v>12095000</v>
      </c>
      <c r="G147" s="12" t="s">
        <v>678</v>
      </c>
      <c r="H147" s="12" t="s">
        <v>569</v>
      </c>
      <c r="I147" s="10" t="s">
        <v>17</v>
      </c>
      <c r="J147" s="10"/>
      <c r="K147" s="10" t="s">
        <v>534</v>
      </c>
      <c r="L147" s="92">
        <v>12095000</v>
      </c>
      <c r="M147" s="67"/>
      <c r="N147"/>
      <c r="O147"/>
      <c r="P147"/>
      <c r="Q147"/>
      <c r="R147"/>
      <c r="S147"/>
      <c r="T147"/>
      <c r="U147"/>
      <c r="V147"/>
      <c r="W147"/>
      <c r="X147"/>
      <c r="Y147"/>
    </row>
    <row r="148" spans="1:25" ht="63" customHeight="1" x14ac:dyDescent="0.25">
      <c r="A148" s="10">
        <v>6</v>
      </c>
      <c r="B148" s="10" t="s">
        <v>752</v>
      </c>
      <c r="C148" s="10" t="s">
        <v>754</v>
      </c>
      <c r="D148" s="10" t="s">
        <v>750</v>
      </c>
      <c r="E148" s="10" t="s">
        <v>751</v>
      </c>
      <c r="F148" s="8">
        <v>12095000</v>
      </c>
      <c r="G148" s="12" t="s">
        <v>678</v>
      </c>
      <c r="H148" s="12" t="s">
        <v>569</v>
      </c>
      <c r="I148" s="10" t="s">
        <v>17</v>
      </c>
      <c r="J148" s="10"/>
      <c r="K148" s="10" t="s">
        <v>534</v>
      </c>
      <c r="L148" s="92">
        <v>12095000</v>
      </c>
      <c r="M148" s="67"/>
      <c r="N148"/>
      <c r="O148"/>
      <c r="P148"/>
      <c r="Q148"/>
      <c r="R148"/>
      <c r="S148"/>
      <c r="T148"/>
      <c r="U148"/>
      <c r="V148"/>
      <c r="W148"/>
      <c r="X148"/>
      <c r="Y148"/>
    </row>
    <row r="149" spans="1:25" ht="63" customHeight="1" x14ac:dyDescent="0.25">
      <c r="A149" s="10">
        <v>7</v>
      </c>
      <c r="B149" s="10" t="s">
        <v>753</v>
      </c>
      <c r="C149" s="10" t="s">
        <v>755</v>
      </c>
      <c r="D149" s="10" t="s">
        <v>750</v>
      </c>
      <c r="E149" s="10" t="s">
        <v>751</v>
      </c>
      <c r="F149" s="8">
        <v>12095000</v>
      </c>
      <c r="G149" s="12" t="s">
        <v>678</v>
      </c>
      <c r="H149" s="12" t="s">
        <v>569</v>
      </c>
      <c r="I149" s="10" t="s">
        <v>17</v>
      </c>
      <c r="J149" s="10"/>
      <c r="K149" s="10" t="s">
        <v>534</v>
      </c>
      <c r="L149" s="92">
        <v>12095000</v>
      </c>
      <c r="M149" s="67"/>
      <c r="N149"/>
      <c r="O149"/>
      <c r="P149"/>
      <c r="Q149"/>
      <c r="R149"/>
      <c r="S149"/>
      <c r="T149"/>
      <c r="U149"/>
      <c r="V149"/>
      <c r="W149"/>
      <c r="X149"/>
      <c r="Y149"/>
    </row>
    <row r="150" spans="1:25" ht="33.75" customHeight="1" x14ac:dyDescent="0.25">
      <c r="A150" s="24">
        <v>8</v>
      </c>
      <c r="B150" s="10" t="s">
        <v>758</v>
      </c>
      <c r="C150" s="10" t="s">
        <v>398</v>
      </c>
      <c r="D150" s="10" t="s">
        <v>750</v>
      </c>
      <c r="E150" s="10" t="s">
        <v>751</v>
      </c>
      <c r="F150" s="8">
        <v>5490000</v>
      </c>
      <c r="G150" s="12" t="s">
        <v>579</v>
      </c>
      <c r="H150" s="12" t="s">
        <v>682</v>
      </c>
      <c r="I150" s="24" t="s">
        <v>14</v>
      </c>
      <c r="J150" s="24"/>
      <c r="K150" s="85" t="s">
        <v>533</v>
      </c>
      <c r="L150" s="92">
        <v>5490000</v>
      </c>
      <c r="M150" s="67"/>
      <c r="N150"/>
      <c r="O150"/>
      <c r="P150"/>
      <c r="Q150"/>
      <c r="R150"/>
      <c r="S150"/>
      <c r="T150"/>
      <c r="U150"/>
      <c r="V150"/>
      <c r="W150"/>
      <c r="X150"/>
      <c r="Y150"/>
    </row>
    <row r="151" spans="1:25" ht="33.75" customHeight="1" x14ac:dyDescent="0.25">
      <c r="A151" s="24">
        <v>9</v>
      </c>
      <c r="B151" s="10" t="s">
        <v>759</v>
      </c>
      <c r="C151" s="10" t="s">
        <v>398</v>
      </c>
      <c r="D151" s="10" t="s">
        <v>750</v>
      </c>
      <c r="E151" s="10" t="s">
        <v>751</v>
      </c>
      <c r="F151" s="8">
        <v>5490000</v>
      </c>
      <c r="G151" s="12" t="s">
        <v>579</v>
      </c>
      <c r="H151" s="12" t="s">
        <v>682</v>
      </c>
      <c r="I151" s="24" t="s">
        <v>14</v>
      </c>
      <c r="J151" s="24"/>
      <c r="K151" s="85" t="s">
        <v>533</v>
      </c>
      <c r="L151" s="92">
        <v>5490000</v>
      </c>
      <c r="M151" s="67"/>
      <c r="N151"/>
      <c r="O151"/>
      <c r="P151"/>
      <c r="Q151"/>
      <c r="R151"/>
      <c r="S151"/>
      <c r="T151"/>
      <c r="U151"/>
      <c r="V151"/>
      <c r="W151"/>
      <c r="X151"/>
      <c r="Y151"/>
    </row>
    <row r="152" spans="1:25" ht="36.75" customHeight="1" x14ac:dyDescent="0.25">
      <c r="A152" s="24">
        <v>10</v>
      </c>
      <c r="B152" s="10" t="s">
        <v>413</v>
      </c>
      <c r="C152" s="10" t="s">
        <v>414</v>
      </c>
      <c r="D152" s="10" t="s">
        <v>750</v>
      </c>
      <c r="E152" s="10" t="s">
        <v>751</v>
      </c>
      <c r="F152" s="8">
        <v>165000</v>
      </c>
      <c r="G152" s="12" t="s">
        <v>685</v>
      </c>
      <c r="H152" s="12" t="s">
        <v>570</v>
      </c>
      <c r="I152" s="24" t="s">
        <v>302</v>
      </c>
      <c r="J152" s="24"/>
      <c r="K152" s="10" t="s">
        <v>529</v>
      </c>
      <c r="L152" s="92">
        <v>165000</v>
      </c>
      <c r="M152" s="67"/>
      <c r="N152"/>
      <c r="O152"/>
      <c r="P152"/>
      <c r="Q152"/>
      <c r="R152"/>
      <c r="S152"/>
      <c r="T152"/>
      <c r="U152"/>
      <c r="V152"/>
      <c r="W152"/>
      <c r="X152"/>
      <c r="Y152"/>
    </row>
    <row r="153" spans="1:25" ht="27" customHeight="1" x14ac:dyDescent="0.25">
      <c r="A153" s="90">
        <v>11</v>
      </c>
      <c r="B153" s="69" t="s">
        <v>761</v>
      </c>
      <c r="C153" s="69" t="s">
        <v>415</v>
      </c>
      <c r="D153" s="69" t="s">
        <v>750</v>
      </c>
      <c r="E153" s="69" t="s">
        <v>751</v>
      </c>
      <c r="F153" s="51">
        <v>1732500</v>
      </c>
      <c r="G153" s="72" t="s">
        <v>581</v>
      </c>
      <c r="H153" s="12" t="s">
        <v>571</v>
      </c>
      <c r="I153" s="90" t="s">
        <v>14</v>
      </c>
      <c r="J153" s="69" t="s">
        <v>434</v>
      </c>
      <c r="K153" s="69"/>
      <c r="L153" s="103"/>
      <c r="M153" s="67"/>
      <c r="N153"/>
      <c r="O153"/>
      <c r="P153"/>
      <c r="Q153"/>
      <c r="R153"/>
      <c r="S153"/>
      <c r="T153"/>
      <c r="U153"/>
      <c r="V153"/>
      <c r="W153"/>
      <c r="X153"/>
      <c r="Y153"/>
    </row>
    <row r="154" spans="1:25" ht="27" customHeight="1" x14ac:dyDescent="0.25">
      <c r="A154" s="90">
        <v>12</v>
      </c>
      <c r="B154" s="69" t="s">
        <v>760</v>
      </c>
      <c r="C154" s="69" t="s">
        <v>415</v>
      </c>
      <c r="D154" s="69" t="s">
        <v>750</v>
      </c>
      <c r="E154" s="69" t="s">
        <v>751</v>
      </c>
      <c r="F154" s="51">
        <v>1732500</v>
      </c>
      <c r="G154" s="72" t="s">
        <v>581</v>
      </c>
      <c r="H154" s="12" t="s">
        <v>571</v>
      </c>
      <c r="I154" s="90" t="s">
        <v>14</v>
      </c>
      <c r="J154" s="69" t="s">
        <v>434</v>
      </c>
      <c r="K154" s="69"/>
      <c r="L154" s="103"/>
      <c r="M154" s="67"/>
      <c r="N154"/>
      <c r="O154"/>
      <c r="P154"/>
      <c r="Q154"/>
      <c r="R154"/>
      <c r="S154"/>
      <c r="T154"/>
      <c r="U154"/>
      <c r="V154"/>
      <c r="W154"/>
      <c r="X154"/>
      <c r="Y154"/>
    </row>
    <row r="155" spans="1:25" ht="21" customHeight="1" x14ac:dyDescent="0.25">
      <c r="A155" s="24">
        <v>13</v>
      </c>
      <c r="B155" s="10" t="s">
        <v>416</v>
      </c>
      <c r="C155" s="10" t="s">
        <v>417</v>
      </c>
      <c r="D155" s="10" t="s">
        <v>750</v>
      </c>
      <c r="E155" s="10" t="s">
        <v>751</v>
      </c>
      <c r="F155" s="8">
        <v>5332500</v>
      </c>
      <c r="G155" s="12" t="s">
        <v>685</v>
      </c>
      <c r="H155" s="12" t="s">
        <v>571</v>
      </c>
      <c r="I155" s="24" t="s">
        <v>17</v>
      </c>
      <c r="J155" s="24"/>
      <c r="K155" s="10" t="s">
        <v>532</v>
      </c>
      <c r="L155" s="92">
        <v>5332500</v>
      </c>
      <c r="M155" s="67"/>
      <c r="N155"/>
      <c r="O155"/>
      <c r="P155"/>
      <c r="Q155"/>
      <c r="R155"/>
      <c r="S155"/>
      <c r="T155"/>
      <c r="U155"/>
      <c r="V155"/>
      <c r="W155"/>
      <c r="X155"/>
      <c r="Y155"/>
    </row>
    <row r="156" spans="1:25" ht="27.75" customHeight="1" x14ac:dyDescent="0.25">
      <c r="A156" s="24">
        <v>14</v>
      </c>
      <c r="B156" s="10" t="s">
        <v>762</v>
      </c>
      <c r="C156" s="10" t="s">
        <v>418</v>
      </c>
      <c r="D156" s="10" t="s">
        <v>750</v>
      </c>
      <c r="E156" s="10" t="s">
        <v>751</v>
      </c>
      <c r="F156" s="8">
        <v>2802500</v>
      </c>
      <c r="G156" s="12" t="s">
        <v>685</v>
      </c>
      <c r="H156" s="12" t="s">
        <v>570</v>
      </c>
      <c r="I156" s="24" t="s">
        <v>14</v>
      </c>
      <c r="J156" s="10" t="s">
        <v>457</v>
      </c>
      <c r="K156" s="5"/>
      <c r="L156" s="92"/>
      <c r="M156" s="67"/>
      <c r="N156"/>
      <c r="O156"/>
      <c r="P156"/>
      <c r="Q156"/>
      <c r="R156"/>
      <c r="S156"/>
      <c r="T156"/>
      <c r="U156"/>
      <c r="V156"/>
      <c r="W156"/>
      <c r="X156"/>
      <c r="Y156"/>
    </row>
    <row r="157" spans="1:25" ht="27.75" customHeight="1" x14ac:dyDescent="0.25">
      <c r="A157" s="24">
        <v>15</v>
      </c>
      <c r="B157" s="10" t="s">
        <v>763</v>
      </c>
      <c r="C157" s="10" t="s">
        <v>418</v>
      </c>
      <c r="D157" s="10" t="s">
        <v>750</v>
      </c>
      <c r="E157" s="10" t="s">
        <v>751</v>
      </c>
      <c r="F157" s="8">
        <v>2802500</v>
      </c>
      <c r="G157" s="12" t="s">
        <v>685</v>
      </c>
      <c r="H157" s="12" t="s">
        <v>570</v>
      </c>
      <c r="I157" s="24" t="s">
        <v>14</v>
      </c>
      <c r="J157" s="10" t="s">
        <v>457</v>
      </c>
      <c r="K157" s="5"/>
      <c r="L157" s="92"/>
      <c r="M157" s="67"/>
      <c r="N157"/>
      <c r="O157"/>
      <c r="P157"/>
      <c r="Q157"/>
      <c r="R157"/>
      <c r="S157"/>
      <c r="T157"/>
      <c r="U157"/>
      <c r="V157"/>
      <c r="W157"/>
      <c r="X157"/>
      <c r="Y157"/>
    </row>
    <row r="158" spans="1:25" x14ac:dyDescent="0.25">
      <c r="A158" s="24">
        <v>16</v>
      </c>
      <c r="B158" s="10" t="s">
        <v>419</v>
      </c>
      <c r="C158" s="10" t="s">
        <v>420</v>
      </c>
      <c r="D158" s="10" t="s">
        <v>750</v>
      </c>
      <c r="E158" s="10" t="s">
        <v>751</v>
      </c>
      <c r="F158" s="8">
        <v>5135000</v>
      </c>
      <c r="G158" s="12" t="s">
        <v>579</v>
      </c>
      <c r="H158" s="12" t="s">
        <v>570</v>
      </c>
      <c r="I158" s="24" t="s">
        <v>17</v>
      </c>
      <c r="J158" s="24"/>
      <c r="K158" s="10" t="s">
        <v>531</v>
      </c>
      <c r="L158" s="92">
        <v>5135000</v>
      </c>
      <c r="M158" s="67"/>
      <c r="N158"/>
      <c r="O158"/>
      <c r="P158"/>
      <c r="Q158"/>
      <c r="R158"/>
      <c r="S158"/>
      <c r="T158"/>
      <c r="U158"/>
      <c r="V158"/>
      <c r="W158"/>
      <c r="X158"/>
      <c r="Y158"/>
    </row>
    <row r="159" spans="1:25" x14ac:dyDescent="0.25">
      <c r="A159" s="24">
        <v>17</v>
      </c>
      <c r="B159" s="10" t="s">
        <v>422</v>
      </c>
      <c r="C159" s="10" t="s">
        <v>421</v>
      </c>
      <c r="D159" s="10" t="s">
        <v>750</v>
      </c>
      <c r="E159" s="10" t="s">
        <v>751</v>
      </c>
      <c r="F159" s="8">
        <v>840000</v>
      </c>
      <c r="G159" s="12" t="s">
        <v>685</v>
      </c>
      <c r="H159" s="12" t="s">
        <v>570</v>
      </c>
      <c r="I159" s="24" t="s">
        <v>302</v>
      </c>
      <c r="J159" s="24"/>
      <c r="K159" s="10" t="s">
        <v>530</v>
      </c>
      <c r="L159" s="92">
        <v>840000</v>
      </c>
      <c r="M159" s="67"/>
      <c r="N159"/>
      <c r="O159"/>
      <c r="P159"/>
      <c r="Q159"/>
      <c r="R159"/>
      <c r="S159"/>
      <c r="T159"/>
      <c r="U159"/>
      <c r="V159"/>
      <c r="W159"/>
      <c r="X159"/>
      <c r="Y159"/>
    </row>
    <row r="160" spans="1:25" x14ac:dyDescent="0.25">
      <c r="A160" s="24">
        <v>18</v>
      </c>
      <c r="B160" s="10" t="s">
        <v>435</v>
      </c>
      <c r="C160" s="10" t="s">
        <v>436</v>
      </c>
      <c r="D160" s="10" t="s">
        <v>750</v>
      </c>
      <c r="E160" s="10" t="s">
        <v>751</v>
      </c>
      <c r="F160" s="8">
        <v>5390000</v>
      </c>
      <c r="G160" s="12" t="s">
        <v>685</v>
      </c>
      <c r="H160" s="12" t="s">
        <v>683</v>
      </c>
      <c r="I160" s="24" t="s">
        <v>17</v>
      </c>
      <c r="J160" s="24"/>
      <c r="K160" s="10"/>
      <c r="L160" s="92"/>
      <c r="M160" s="67"/>
      <c r="N160"/>
      <c r="O160"/>
      <c r="P160"/>
      <c r="Q160"/>
      <c r="R160"/>
      <c r="S160"/>
      <c r="T160"/>
      <c r="U160"/>
      <c r="V160"/>
      <c r="W160"/>
      <c r="X160"/>
      <c r="Y160"/>
    </row>
    <row r="161" spans="1:25" x14ac:dyDescent="0.25">
      <c r="A161" s="24">
        <v>19</v>
      </c>
      <c r="B161" s="10" t="s">
        <v>437</v>
      </c>
      <c r="C161" s="10" t="s">
        <v>438</v>
      </c>
      <c r="D161" s="10" t="s">
        <v>750</v>
      </c>
      <c r="E161" s="10" t="s">
        <v>751</v>
      </c>
      <c r="F161" s="8">
        <v>162500</v>
      </c>
      <c r="G161" s="12" t="s">
        <v>581</v>
      </c>
      <c r="H161" s="12" t="s">
        <v>670</v>
      </c>
      <c r="I161" s="24" t="s">
        <v>302</v>
      </c>
      <c r="J161" s="24"/>
      <c r="K161" s="10" t="s">
        <v>528</v>
      </c>
      <c r="L161" s="92">
        <v>162500</v>
      </c>
      <c r="M161" s="67"/>
      <c r="N161"/>
      <c r="O161"/>
      <c r="P161"/>
      <c r="Q161"/>
      <c r="R161"/>
      <c r="S161"/>
      <c r="T161"/>
      <c r="U161"/>
      <c r="V161"/>
      <c r="W161"/>
      <c r="X161"/>
      <c r="Y161"/>
    </row>
    <row r="162" spans="1:25" x14ac:dyDescent="0.25">
      <c r="A162" s="24">
        <v>20</v>
      </c>
      <c r="B162" s="10" t="s">
        <v>489</v>
      </c>
      <c r="C162" s="10" t="s">
        <v>514</v>
      </c>
      <c r="D162" s="10" t="s">
        <v>750</v>
      </c>
      <c r="E162" s="10" t="s">
        <v>751</v>
      </c>
      <c r="F162" s="8">
        <v>6252500</v>
      </c>
      <c r="G162" s="12" t="s">
        <v>579</v>
      </c>
      <c r="H162" s="12" t="s">
        <v>684</v>
      </c>
      <c r="I162" s="24" t="s">
        <v>17</v>
      </c>
      <c r="J162" s="24"/>
      <c r="K162" s="10"/>
      <c r="L162" s="92"/>
      <c r="M162" s="67"/>
      <c r="N162"/>
      <c r="O162"/>
      <c r="P162"/>
      <c r="Q162"/>
      <c r="R162"/>
      <c r="S162"/>
      <c r="T162"/>
      <c r="U162"/>
      <c r="V162"/>
      <c r="W162"/>
      <c r="X162"/>
      <c r="Y162"/>
    </row>
    <row r="163" spans="1:25" x14ac:dyDescent="0.25">
      <c r="A163" s="24">
        <v>21</v>
      </c>
      <c r="B163" s="10" t="s">
        <v>490</v>
      </c>
      <c r="C163" s="10" t="s">
        <v>513</v>
      </c>
      <c r="D163" s="10" t="s">
        <v>750</v>
      </c>
      <c r="E163" s="10" t="s">
        <v>751</v>
      </c>
      <c r="F163" s="8">
        <v>332500</v>
      </c>
      <c r="G163" s="12" t="s">
        <v>686</v>
      </c>
      <c r="H163" s="12" t="s">
        <v>684</v>
      </c>
      <c r="I163" s="24" t="s">
        <v>14</v>
      </c>
      <c r="J163" s="24"/>
      <c r="K163" s="10"/>
      <c r="L163" s="92"/>
      <c r="M163" s="67"/>
      <c r="N163"/>
      <c r="O163"/>
      <c r="P163"/>
      <c r="Q163"/>
      <c r="R163"/>
      <c r="S163"/>
      <c r="T163"/>
      <c r="U163"/>
      <c r="V163"/>
      <c r="W163"/>
      <c r="X163"/>
      <c r="Y163"/>
    </row>
    <row r="164" spans="1:25" x14ac:dyDescent="0.25">
      <c r="A164" s="24">
        <v>22</v>
      </c>
      <c r="B164" s="10" t="s">
        <v>491</v>
      </c>
      <c r="C164" s="10" t="s">
        <v>512</v>
      </c>
      <c r="D164" s="10" t="s">
        <v>750</v>
      </c>
      <c r="E164" s="10" t="s">
        <v>751</v>
      </c>
      <c r="F164" s="8">
        <v>72500</v>
      </c>
      <c r="G164" s="72" t="s">
        <v>686</v>
      </c>
      <c r="H164" s="12" t="s">
        <v>670</v>
      </c>
      <c r="I164" s="24" t="s">
        <v>493</v>
      </c>
      <c r="J164" s="24"/>
      <c r="K164" s="10"/>
      <c r="L164" s="92"/>
      <c r="M164" s="67"/>
      <c r="N164"/>
      <c r="O164"/>
      <c r="P164"/>
      <c r="Q164"/>
      <c r="R164"/>
      <c r="S164"/>
      <c r="T164"/>
      <c r="U164"/>
      <c r="V164"/>
      <c r="W164"/>
      <c r="X164"/>
      <c r="Y164"/>
    </row>
    <row r="165" spans="1:25" ht="25.5" x14ac:dyDescent="0.25">
      <c r="A165" s="24">
        <v>23</v>
      </c>
      <c r="B165" s="10" t="s">
        <v>537</v>
      </c>
      <c r="C165" s="10" t="s">
        <v>538</v>
      </c>
      <c r="D165" s="10" t="s">
        <v>750</v>
      </c>
      <c r="E165" s="10" t="s">
        <v>751</v>
      </c>
      <c r="F165" s="8">
        <v>15000</v>
      </c>
      <c r="G165" s="72" t="s">
        <v>680</v>
      </c>
      <c r="H165" s="12" t="s">
        <v>566</v>
      </c>
      <c r="I165" s="10" t="s">
        <v>539</v>
      </c>
      <c r="J165" s="10"/>
      <c r="K165" s="10"/>
      <c r="L165" s="92"/>
      <c r="M165" s="67"/>
      <c r="N165"/>
      <c r="O165"/>
      <c r="P165"/>
      <c r="Q165"/>
      <c r="R165"/>
      <c r="S165"/>
      <c r="T165"/>
      <c r="U165"/>
      <c r="V165"/>
      <c r="W165"/>
      <c r="X165"/>
      <c r="Y165"/>
    </row>
    <row r="166" spans="1:25" x14ac:dyDescent="0.25">
      <c r="A166" s="24">
        <v>24</v>
      </c>
      <c r="B166" s="10" t="s">
        <v>542</v>
      </c>
      <c r="C166" s="10" t="s">
        <v>543</v>
      </c>
      <c r="D166" s="10" t="s">
        <v>750</v>
      </c>
      <c r="E166" s="10" t="s">
        <v>751</v>
      </c>
      <c r="F166" s="8">
        <v>2632500</v>
      </c>
      <c r="G166" s="72" t="s">
        <v>684</v>
      </c>
      <c r="H166" s="12" t="s">
        <v>566</v>
      </c>
      <c r="I166" s="10" t="s">
        <v>14</v>
      </c>
      <c r="J166" s="10"/>
      <c r="K166" s="10"/>
      <c r="L166" s="92"/>
      <c r="M166" s="67"/>
      <c r="N166"/>
      <c r="O166"/>
      <c r="P166"/>
      <c r="Q166"/>
      <c r="R166"/>
      <c r="S166"/>
      <c r="T166"/>
      <c r="U166"/>
      <c r="V166"/>
      <c r="W166"/>
      <c r="X166"/>
      <c r="Y166"/>
    </row>
    <row r="167" spans="1:25" x14ac:dyDescent="0.25">
      <c r="A167" s="24">
        <v>25</v>
      </c>
      <c r="B167" s="10" t="s">
        <v>544</v>
      </c>
      <c r="C167" s="10" t="s">
        <v>545</v>
      </c>
      <c r="D167" s="10" t="s">
        <v>750</v>
      </c>
      <c r="E167" s="10" t="s">
        <v>751</v>
      </c>
      <c r="F167" s="8">
        <v>1465000</v>
      </c>
      <c r="G167" s="72" t="s">
        <v>684</v>
      </c>
      <c r="H167" s="12" t="s">
        <v>566</v>
      </c>
      <c r="I167" s="10" t="s">
        <v>302</v>
      </c>
      <c r="J167" s="10"/>
      <c r="K167" s="10"/>
      <c r="L167" s="92"/>
      <c r="M167" s="67"/>
      <c r="N167"/>
      <c r="O167"/>
      <c r="P167"/>
      <c r="Q167"/>
      <c r="R167"/>
      <c r="S167"/>
      <c r="T167"/>
      <c r="U167"/>
      <c r="V167"/>
      <c r="W167"/>
      <c r="X167"/>
      <c r="Y167"/>
    </row>
    <row r="168" spans="1:25" x14ac:dyDescent="0.25">
      <c r="A168" s="24">
        <v>26</v>
      </c>
      <c r="B168" s="10" t="s">
        <v>765</v>
      </c>
      <c r="C168" s="10" t="s">
        <v>766</v>
      </c>
      <c r="D168" s="10" t="s">
        <v>750</v>
      </c>
      <c r="E168" s="10" t="s">
        <v>751</v>
      </c>
      <c r="F168" s="8">
        <v>2362500</v>
      </c>
      <c r="G168" s="72" t="s">
        <v>684</v>
      </c>
      <c r="H168" s="12" t="s">
        <v>566</v>
      </c>
      <c r="I168" s="10" t="s">
        <v>17</v>
      </c>
      <c r="J168" s="10"/>
      <c r="K168" s="10"/>
      <c r="L168" s="92"/>
      <c r="M168" s="67"/>
      <c r="N168"/>
      <c r="O168"/>
      <c r="P168"/>
      <c r="Q168"/>
      <c r="R168"/>
      <c r="S168"/>
      <c r="T168"/>
      <c r="U168"/>
      <c r="V168"/>
      <c r="W168"/>
      <c r="X168"/>
      <c r="Y168"/>
    </row>
    <row r="169" spans="1:25" ht="17.25" hidden="1" customHeight="1" x14ac:dyDescent="0.25">
      <c r="A169" s="134" t="s">
        <v>374</v>
      </c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67"/>
      <c r="N169"/>
      <c r="O169"/>
      <c r="P169"/>
      <c r="Q169"/>
      <c r="R169"/>
      <c r="S169"/>
      <c r="T169"/>
      <c r="U169"/>
      <c r="V169"/>
      <c r="W169"/>
      <c r="X169"/>
      <c r="Y169"/>
    </row>
    <row r="170" spans="1:25" ht="32.25" hidden="1" customHeight="1" x14ac:dyDescent="0.25">
      <c r="A170" s="24">
        <v>1</v>
      </c>
      <c r="B170" s="10" t="s">
        <v>173</v>
      </c>
      <c r="C170" s="10"/>
      <c r="D170" s="10"/>
      <c r="E170" s="10"/>
      <c r="F170" s="8">
        <v>339080</v>
      </c>
      <c r="G170" s="10" t="s">
        <v>375</v>
      </c>
      <c r="H170" s="10"/>
      <c r="I170" s="24"/>
      <c r="J170" s="24"/>
      <c r="K170" s="78" t="s">
        <v>376</v>
      </c>
      <c r="L170" s="79">
        <v>339080</v>
      </c>
      <c r="M170" s="67"/>
      <c r="N170"/>
      <c r="O170"/>
      <c r="P170"/>
      <c r="Q170"/>
      <c r="R170"/>
      <c r="S170"/>
      <c r="T170"/>
      <c r="U170"/>
      <c r="V170"/>
      <c r="W170"/>
      <c r="X170"/>
      <c r="Y170"/>
    </row>
    <row r="171" spans="1:25" hidden="1" x14ac:dyDescent="0.25">
      <c r="A171" s="6"/>
      <c r="B171" s="6"/>
      <c r="C171" s="6"/>
      <c r="D171" s="6"/>
      <c r="E171" s="6"/>
      <c r="F171" s="4">
        <v>339080</v>
      </c>
      <c r="G171" s="6"/>
      <c r="H171" s="6"/>
      <c r="I171" s="6"/>
      <c r="J171" s="6"/>
      <c r="K171" s="6"/>
      <c r="L171" s="6"/>
      <c r="M171" s="67"/>
      <c r="N171"/>
      <c r="O171"/>
      <c r="P171"/>
      <c r="Q171"/>
      <c r="R171"/>
      <c r="S171"/>
      <c r="T171"/>
      <c r="U171"/>
      <c r="V171"/>
      <c r="W171"/>
      <c r="X171"/>
      <c r="Y171"/>
    </row>
    <row r="172" spans="1:25" x14ac:dyDescent="0.25">
      <c r="A172" s="6">
        <v>27</v>
      </c>
      <c r="B172" s="6" t="s">
        <v>764</v>
      </c>
      <c r="C172" s="6" t="s">
        <v>767</v>
      </c>
      <c r="D172" s="10" t="s">
        <v>750</v>
      </c>
      <c r="E172" s="10" t="s">
        <v>751</v>
      </c>
      <c r="F172" s="8">
        <v>2362500</v>
      </c>
      <c r="G172" s="72" t="s">
        <v>684</v>
      </c>
      <c r="H172" s="12" t="s">
        <v>566</v>
      </c>
      <c r="I172" s="10" t="s">
        <v>17</v>
      </c>
      <c r="J172" s="10"/>
      <c r="K172" s="10"/>
      <c r="L172" s="92"/>
      <c r="M172" s="67"/>
      <c r="N172"/>
      <c r="O172"/>
      <c r="P172"/>
      <c r="Q172"/>
      <c r="R172"/>
      <c r="S172"/>
      <c r="T172"/>
      <c r="U172"/>
      <c r="V172"/>
      <c r="W172"/>
      <c r="X172"/>
      <c r="Y172"/>
    </row>
    <row r="173" spans="1:25" x14ac:dyDescent="0.25">
      <c r="B173" s="14"/>
      <c r="C173" s="14"/>
      <c r="D173" s="14"/>
      <c r="E173" s="14"/>
      <c r="G173" s="89"/>
      <c r="H173" s="89"/>
      <c r="M173" s="67"/>
      <c r="N173"/>
      <c r="O173"/>
      <c r="P173"/>
      <c r="Q173"/>
      <c r="R173"/>
      <c r="S173"/>
      <c r="T173"/>
      <c r="U173"/>
      <c r="V173"/>
      <c r="W173"/>
      <c r="X173"/>
      <c r="Y173"/>
    </row>
    <row r="174" spans="1:25" x14ac:dyDescent="0.25">
      <c r="M174" s="67"/>
      <c r="N174"/>
      <c r="O174"/>
      <c r="P174"/>
      <c r="Q174"/>
      <c r="R174"/>
      <c r="S174"/>
      <c r="T174"/>
      <c r="U174"/>
      <c r="V174"/>
      <c r="W174"/>
      <c r="X174"/>
      <c r="Y174"/>
    </row>
    <row r="175" spans="1:25" x14ac:dyDescent="0.25">
      <c r="M175" s="67"/>
      <c r="N175"/>
      <c r="O175"/>
      <c r="P175"/>
      <c r="Q175"/>
      <c r="R175"/>
      <c r="S175"/>
      <c r="T175"/>
      <c r="U175"/>
      <c r="V175"/>
      <c r="W175"/>
      <c r="X175"/>
      <c r="Y175"/>
    </row>
    <row r="176" spans="1:25" x14ac:dyDescent="0.25">
      <c r="M176" s="67"/>
      <c r="N176"/>
      <c r="O176"/>
      <c r="P176"/>
      <c r="Q176"/>
      <c r="R176"/>
      <c r="S176"/>
      <c r="T176"/>
      <c r="U176"/>
      <c r="V176"/>
      <c r="W176"/>
      <c r="X176"/>
      <c r="Y176"/>
    </row>
    <row r="177" spans="13:44" x14ac:dyDescent="0.25">
      <c r="M177" s="67"/>
      <c r="N177"/>
      <c r="O177"/>
      <c r="P177"/>
      <c r="Q177"/>
      <c r="R177"/>
      <c r="S177"/>
      <c r="T177"/>
      <c r="U177"/>
      <c r="V177"/>
      <c r="W177"/>
      <c r="X177"/>
      <c r="Y177"/>
    </row>
    <row r="178" spans="13:44" x14ac:dyDescent="0.25">
      <c r="M178" s="67"/>
      <c r="N178"/>
      <c r="O178"/>
      <c r="P178"/>
      <c r="Q178"/>
      <c r="R178"/>
      <c r="S178"/>
      <c r="T178"/>
      <c r="U178"/>
      <c r="V178"/>
      <c r="W178"/>
      <c r="X178"/>
      <c r="Y178"/>
    </row>
    <row r="179" spans="13:44" x14ac:dyDescent="0.25">
      <c r="M179" s="67"/>
      <c r="N179"/>
      <c r="O179"/>
      <c r="P179"/>
      <c r="Q179"/>
      <c r="R179"/>
      <c r="S179"/>
      <c r="T179"/>
      <c r="U179"/>
      <c r="V179"/>
      <c r="W179"/>
      <c r="X179"/>
      <c r="Y179"/>
    </row>
    <row r="180" spans="13:44" x14ac:dyDescent="0.25">
      <c r="M180" s="67"/>
      <c r="N180"/>
      <c r="O180"/>
      <c r="P180"/>
      <c r="Q180"/>
      <c r="R180"/>
      <c r="S180"/>
      <c r="T180"/>
      <c r="U180"/>
      <c r="V180"/>
      <c r="W180"/>
      <c r="X180"/>
      <c r="Y180"/>
    </row>
    <row r="181" spans="13:44" x14ac:dyDescent="0.25">
      <c r="M181" s="67"/>
      <c r="N181"/>
      <c r="O181"/>
      <c r="P181"/>
      <c r="Q181"/>
      <c r="R181"/>
      <c r="S181"/>
      <c r="T181"/>
      <c r="U181"/>
      <c r="V181"/>
      <c r="W181"/>
      <c r="X181"/>
      <c r="Y181"/>
    </row>
    <row r="182" spans="13:44" x14ac:dyDescent="0.25">
      <c r="M182" s="67"/>
      <c r="N182"/>
      <c r="O182"/>
      <c r="P182"/>
      <c r="Q182"/>
      <c r="R182"/>
      <c r="S182"/>
      <c r="T182"/>
      <c r="U182"/>
      <c r="V182"/>
      <c r="W182"/>
      <c r="X182"/>
      <c r="Y182"/>
    </row>
    <row r="183" spans="13:44" x14ac:dyDescent="0.25">
      <c r="M183" s="67"/>
      <c r="N183"/>
      <c r="O183"/>
      <c r="P183"/>
      <c r="Q183"/>
      <c r="R183"/>
      <c r="S183"/>
      <c r="T183"/>
      <c r="U183"/>
      <c r="V183"/>
      <c r="W183"/>
      <c r="X183"/>
      <c r="Y183"/>
    </row>
    <row r="184" spans="13:44" x14ac:dyDescent="0.25">
      <c r="M184" s="67"/>
      <c r="N184"/>
      <c r="O184"/>
      <c r="P184"/>
      <c r="Q184"/>
      <c r="R184"/>
      <c r="S184"/>
      <c r="T184"/>
      <c r="U184"/>
      <c r="V184"/>
      <c r="W184"/>
      <c r="X184"/>
      <c r="Y184"/>
    </row>
    <row r="185" spans="13:44" x14ac:dyDescent="0.25">
      <c r="M185" s="67"/>
      <c r="N185"/>
      <c r="O185"/>
      <c r="P185"/>
      <c r="Q185"/>
      <c r="R185"/>
      <c r="S185"/>
      <c r="T185"/>
      <c r="U185"/>
      <c r="V185"/>
      <c r="W185"/>
      <c r="X185"/>
      <c r="Y185"/>
    </row>
    <row r="186" spans="13:44" x14ac:dyDescent="0.25"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</row>
    <row r="187" spans="13:44" x14ac:dyDescent="0.25"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</row>
    <row r="188" spans="13:44" x14ac:dyDescent="0.25"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</row>
    <row r="189" spans="13:44" x14ac:dyDescent="0.25"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</row>
    <row r="190" spans="13:44" x14ac:dyDescent="0.25"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</row>
    <row r="191" spans="13:44" x14ac:dyDescent="0.25"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</row>
    <row r="192" spans="13:44" x14ac:dyDescent="0.25"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</row>
    <row r="193" spans="13:44" x14ac:dyDescent="0.25"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</row>
    <row r="194" spans="13:44" x14ac:dyDescent="0.25"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</row>
    <row r="195" spans="13:44" x14ac:dyDescent="0.25"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</row>
    <row r="196" spans="13:44" x14ac:dyDescent="0.25"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</row>
    <row r="197" spans="13:44" x14ac:dyDescent="0.25"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</row>
    <row r="198" spans="13:44" x14ac:dyDescent="0.25"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</row>
    <row r="199" spans="13:44" x14ac:dyDescent="0.25"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</row>
    <row r="200" spans="13:44" x14ac:dyDescent="0.25"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</row>
    <row r="201" spans="13:44" x14ac:dyDescent="0.25"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</row>
    <row r="202" spans="13:44" x14ac:dyDescent="0.25"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</row>
    <row r="203" spans="13:44" x14ac:dyDescent="0.25"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</row>
    <row r="204" spans="13:44" x14ac:dyDescent="0.25"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</row>
    <row r="205" spans="13:44" x14ac:dyDescent="0.25"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</row>
    <row r="206" spans="13:44" x14ac:dyDescent="0.25"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</row>
    <row r="207" spans="13:44" x14ac:dyDescent="0.25"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</row>
    <row r="208" spans="13:44" x14ac:dyDescent="0.25"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</row>
    <row r="209" spans="13:44" x14ac:dyDescent="0.25"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</row>
    <row r="210" spans="13:44" x14ac:dyDescent="0.25"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</row>
    <row r="211" spans="13:44" x14ac:dyDescent="0.25"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</row>
    <row r="212" spans="13:44" x14ac:dyDescent="0.25"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</row>
    <row r="213" spans="13:44" x14ac:dyDescent="0.25"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</row>
    <row r="214" spans="13:44" x14ac:dyDescent="0.25"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</row>
    <row r="215" spans="13:44" x14ac:dyDescent="0.25"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</row>
    <row r="216" spans="13:44" x14ac:dyDescent="0.25"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</row>
    <row r="217" spans="13:44" x14ac:dyDescent="0.25"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</row>
    <row r="218" spans="13:44" x14ac:dyDescent="0.25"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</row>
    <row r="219" spans="13:44" x14ac:dyDescent="0.25"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</row>
    <row r="220" spans="13:44" x14ac:dyDescent="0.25"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</row>
    <row r="221" spans="13:44" x14ac:dyDescent="0.25"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</row>
    <row r="222" spans="13:44" x14ac:dyDescent="0.25"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</row>
    <row r="223" spans="13:44" x14ac:dyDescent="0.25"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</row>
    <row r="224" spans="13:44" x14ac:dyDescent="0.25"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</row>
    <row r="225" spans="13:44" x14ac:dyDescent="0.25"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</row>
    <row r="226" spans="13:44" x14ac:dyDescent="0.25"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</row>
    <row r="227" spans="13:44" x14ac:dyDescent="0.25"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</row>
    <row r="228" spans="13:44" x14ac:dyDescent="0.25"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</row>
    <row r="229" spans="13:44" x14ac:dyDescent="0.25"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</row>
    <row r="230" spans="13:44" x14ac:dyDescent="0.25"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</row>
    <row r="231" spans="13:44" x14ac:dyDescent="0.25"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</row>
    <row r="232" spans="13:44" x14ac:dyDescent="0.25"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</row>
    <row r="233" spans="13:44" x14ac:dyDescent="0.25"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</row>
    <row r="234" spans="13:44" x14ac:dyDescent="0.25"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</row>
    <row r="235" spans="13:44" x14ac:dyDescent="0.25"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</row>
    <row r="236" spans="13:44" x14ac:dyDescent="0.25"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</row>
    <row r="237" spans="13:44" x14ac:dyDescent="0.25"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</row>
    <row r="238" spans="13:44" x14ac:dyDescent="0.25"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</row>
    <row r="239" spans="13:44" x14ac:dyDescent="0.25"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</row>
    <row r="240" spans="13:44" x14ac:dyDescent="0.25"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</row>
    <row r="241" spans="13:44" x14ac:dyDescent="0.25"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</row>
    <row r="242" spans="13:44" x14ac:dyDescent="0.25"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</row>
    <row r="243" spans="13:44" x14ac:dyDescent="0.25"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</row>
    <row r="244" spans="13:44" x14ac:dyDescent="0.25"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</row>
    <row r="245" spans="13:44" x14ac:dyDescent="0.25"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</row>
    <row r="246" spans="13:44" x14ac:dyDescent="0.25"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</row>
    <row r="247" spans="13:44" x14ac:dyDescent="0.25"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</row>
    <row r="248" spans="13:44" x14ac:dyDescent="0.25"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</row>
    <row r="249" spans="13:44" x14ac:dyDescent="0.25"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</row>
    <row r="250" spans="13:44" x14ac:dyDescent="0.25"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</row>
    <row r="251" spans="13:44" x14ac:dyDescent="0.25"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</row>
    <row r="252" spans="13:44" x14ac:dyDescent="0.25"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</row>
    <row r="253" spans="13:44" x14ac:dyDescent="0.25"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</row>
    <row r="254" spans="13:44" x14ac:dyDescent="0.25"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</row>
    <row r="255" spans="13:44" x14ac:dyDescent="0.25"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</row>
    <row r="256" spans="13:44" x14ac:dyDescent="0.25"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</row>
    <row r="257" spans="13:44" x14ac:dyDescent="0.25"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</row>
    <row r="258" spans="13:44" x14ac:dyDescent="0.25"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</row>
    <row r="259" spans="13:44" x14ac:dyDescent="0.25"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</row>
    <row r="260" spans="13:44" x14ac:dyDescent="0.25"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</row>
    <row r="261" spans="13:44" x14ac:dyDescent="0.25"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</row>
    <row r="262" spans="13:44" x14ac:dyDescent="0.25"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</row>
    <row r="263" spans="13:44" x14ac:dyDescent="0.25"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</row>
    <row r="264" spans="13:44" x14ac:dyDescent="0.25"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</row>
    <row r="265" spans="13:44" x14ac:dyDescent="0.25"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</row>
    <row r="266" spans="13:44" x14ac:dyDescent="0.25"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</row>
    <row r="267" spans="13:44" x14ac:dyDescent="0.25"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</row>
    <row r="268" spans="13:44" x14ac:dyDescent="0.25"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</row>
    <row r="269" spans="13:44" x14ac:dyDescent="0.25"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</row>
    <row r="270" spans="13:44" x14ac:dyDescent="0.25"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</row>
    <row r="271" spans="13:44" x14ac:dyDescent="0.25"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</row>
    <row r="272" spans="13:44" x14ac:dyDescent="0.25"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</row>
    <row r="273" spans="13:44" x14ac:dyDescent="0.25"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</row>
    <row r="274" spans="13:44" x14ac:dyDescent="0.25"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</row>
    <row r="275" spans="13:44" x14ac:dyDescent="0.25"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</row>
    <row r="276" spans="13:44" x14ac:dyDescent="0.25"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</row>
    <row r="277" spans="13:44" x14ac:dyDescent="0.25"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</row>
    <row r="278" spans="13:44" x14ac:dyDescent="0.25">
      <c r="M278" s="67"/>
    </row>
    <row r="279" spans="13:44" x14ac:dyDescent="0.25">
      <c r="M279" s="67"/>
    </row>
  </sheetData>
  <mergeCells count="28">
    <mergeCell ref="A169:L169"/>
    <mergeCell ref="A132:L132"/>
    <mergeCell ref="A123:L123"/>
    <mergeCell ref="A128:L128"/>
    <mergeCell ref="K44:K46"/>
    <mergeCell ref="L44:L46"/>
    <mergeCell ref="K57:K59"/>
    <mergeCell ref="L57:L59"/>
    <mergeCell ref="K48:K56"/>
    <mergeCell ref="K63:K68"/>
    <mergeCell ref="K61:K62"/>
    <mergeCell ref="A137:L137"/>
    <mergeCell ref="A142:L142"/>
    <mergeCell ref="A2:L2"/>
    <mergeCell ref="A26:L26"/>
    <mergeCell ref="A29:L29"/>
    <mergeCell ref="A37:L37"/>
    <mergeCell ref="A28:C28"/>
    <mergeCell ref="L61:L62"/>
    <mergeCell ref="A82:L82"/>
    <mergeCell ref="A21:A22"/>
    <mergeCell ref="L48:L56"/>
    <mergeCell ref="L63:L68"/>
    <mergeCell ref="A139:L139"/>
    <mergeCell ref="G120:H120"/>
    <mergeCell ref="G122:H122"/>
    <mergeCell ref="G117:H117"/>
    <mergeCell ref="G118:H118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6C62-6D0D-49CF-91FD-09CF6553433C}">
  <sheetPr>
    <pageSetUpPr fitToPage="1"/>
  </sheetPr>
  <dimension ref="A1:L92"/>
  <sheetViews>
    <sheetView topLeftCell="A76" workbookViewId="0">
      <selection activeCell="H78" sqref="H78"/>
    </sheetView>
  </sheetViews>
  <sheetFormatPr defaultRowHeight="15" x14ac:dyDescent="0.25"/>
  <cols>
    <col min="1" max="1" width="8.28515625" customWidth="1"/>
    <col min="2" max="3" width="21.28515625" customWidth="1"/>
    <col min="4" max="4" width="19.85546875" customWidth="1"/>
    <col min="5" max="5" width="17" customWidth="1"/>
    <col min="6" max="6" width="22.5703125" customWidth="1"/>
    <col min="7" max="8" width="17.85546875" customWidth="1"/>
    <col min="9" max="9" width="20.5703125" customWidth="1"/>
    <col min="10" max="10" width="22" customWidth="1"/>
    <col min="11" max="12" width="16.5703125" customWidth="1"/>
  </cols>
  <sheetData>
    <row r="1" spans="1:12" x14ac:dyDescent="0.25">
      <c r="A1" s="129" t="s">
        <v>112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ht="45" x14ac:dyDescent="0.25">
      <c r="A2" s="21" t="s">
        <v>59</v>
      </c>
      <c r="B2" s="21" t="s">
        <v>557</v>
      </c>
      <c r="C2" s="21" t="s">
        <v>558</v>
      </c>
      <c r="D2" s="21" t="s">
        <v>87</v>
      </c>
      <c r="E2" s="21" t="s">
        <v>88</v>
      </c>
      <c r="F2" s="21" t="s">
        <v>89</v>
      </c>
      <c r="G2" s="21" t="s">
        <v>90</v>
      </c>
      <c r="H2" s="21" t="s">
        <v>562</v>
      </c>
      <c r="I2" s="21" t="s">
        <v>561</v>
      </c>
      <c r="J2" s="21" t="s">
        <v>103</v>
      </c>
      <c r="K2" s="21" t="s">
        <v>101</v>
      </c>
      <c r="L2" s="21" t="s">
        <v>198</v>
      </c>
    </row>
    <row r="3" spans="1:12" ht="24.75" customHeight="1" x14ac:dyDescent="0.25">
      <c r="A3" s="127" t="s">
        <v>104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</row>
    <row r="4" spans="1:12" ht="41.1" customHeight="1" x14ac:dyDescent="0.25">
      <c r="A4" s="17">
        <v>1</v>
      </c>
      <c r="B4" s="11" t="s">
        <v>104</v>
      </c>
      <c r="C4" s="11" t="s">
        <v>559</v>
      </c>
      <c r="D4" s="11" t="s">
        <v>105</v>
      </c>
      <c r="E4" s="16">
        <v>43200</v>
      </c>
      <c r="F4" s="11" t="s">
        <v>106</v>
      </c>
      <c r="G4" s="11" t="s">
        <v>85</v>
      </c>
      <c r="H4" s="22">
        <v>45231</v>
      </c>
      <c r="I4" s="13" t="s">
        <v>687</v>
      </c>
      <c r="J4" s="11" t="s">
        <v>107</v>
      </c>
      <c r="K4" s="11" t="s">
        <v>206</v>
      </c>
      <c r="L4" s="16">
        <v>43200</v>
      </c>
    </row>
    <row r="5" spans="1:12" ht="41.1" customHeight="1" x14ac:dyDescent="0.25">
      <c r="A5" s="17">
        <v>2</v>
      </c>
      <c r="B5" s="11" t="s">
        <v>104</v>
      </c>
      <c r="C5" s="11" t="s">
        <v>559</v>
      </c>
      <c r="D5" s="11" t="s">
        <v>115</v>
      </c>
      <c r="E5" s="16">
        <v>922900</v>
      </c>
      <c r="F5" s="11" t="s">
        <v>106</v>
      </c>
      <c r="G5" s="11" t="s">
        <v>85</v>
      </c>
      <c r="H5" s="22">
        <v>44896</v>
      </c>
      <c r="I5" s="13" t="s">
        <v>663</v>
      </c>
      <c r="J5" s="11" t="s">
        <v>107</v>
      </c>
      <c r="K5" s="11" t="s">
        <v>554</v>
      </c>
      <c r="L5" s="18"/>
    </row>
    <row r="6" spans="1:12" ht="26.25" customHeight="1" x14ac:dyDescent="0.25">
      <c r="A6" s="127" t="s">
        <v>108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</row>
    <row r="7" spans="1:12" ht="41.1" customHeight="1" x14ac:dyDescent="0.25">
      <c r="A7" s="17">
        <v>1</v>
      </c>
      <c r="B7" s="11" t="s">
        <v>108</v>
      </c>
      <c r="C7" s="11" t="s">
        <v>559</v>
      </c>
      <c r="D7" s="11" t="s">
        <v>117</v>
      </c>
      <c r="E7" s="16">
        <v>9163800</v>
      </c>
      <c r="F7" s="11" t="s">
        <v>118</v>
      </c>
      <c r="G7" s="11" t="s">
        <v>85</v>
      </c>
      <c r="H7" s="13" t="s">
        <v>671</v>
      </c>
      <c r="I7" s="13" t="s">
        <v>661</v>
      </c>
      <c r="J7" s="11" t="s">
        <v>107</v>
      </c>
      <c r="K7" s="15" t="s">
        <v>40</v>
      </c>
      <c r="L7" s="18"/>
    </row>
    <row r="8" spans="1:12" ht="41.1" customHeight="1" x14ac:dyDescent="0.25">
      <c r="A8" s="17">
        <v>2</v>
      </c>
      <c r="B8" s="11" t="s">
        <v>108</v>
      </c>
      <c r="C8" s="11" t="s">
        <v>559</v>
      </c>
      <c r="D8" s="11" t="s">
        <v>109</v>
      </c>
      <c r="E8" s="16">
        <v>893700</v>
      </c>
      <c r="F8" s="11" t="s">
        <v>118</v>
      </c>
      <c r="G8" s="11" t="s">
        <v>85</v>
      </c>
      <c r="H8" s="13" t="s">
        <v>674</v>
      </c>
      <c r="I8" s="22">
        <v>45291</v>
      </c>
      <c r="J8" s="11" t="s">
        <v>107</v>
      </c>
      <c r="K8" s="11"/>
      <c r="L8" s="16"/>
    </row>
    <row r="9" spans="1:12" ht="41.1" customHeight="1" x14ac:dyDescent="0.25">
      <c r="A9" s="17">
        <v>3</v>
      </c>
      <c r="B9" s="11" t="s">
        <v>108</v>
      </c>
      <c r="C9" s="11" t="s">
        <v>559</v>
      </c>
      <c r="D9" s="11" t="s">
        <v>116</v>
      </c>
      <c r="E9" s="16">
        <v>823900</v>
      </c>
      <c r="F9" s="11" t="s">
        <v>118</v>
      </c>
      <c r="G9" s="11" t="s">
        <v>85</v>
      </c>
      <c r="H9" s="13" t="s">
        <v>672</v>
      </c>
      <c r="I9" s="22">
        <v>44926</v>
      </c>
      <c r="J9" s="11" t="s">
        <v>107</v>
      </c>
      <c r="K9" s="15" t="s">
        <v>40</v>
      </c>
      <c r="L9" s="18"/>
    </row>
    <row r="10" spans="1:12" ht="33.75" customHeight="1" x14ac:dyDescent="0.25">
      <c r="A10" s="130" t="s">
        <v>91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</row>
    <row r="11" spans="1:12" ht="30" customHeight="1" x14ac:dyDescent="0.25">
      <c r="A11" s="94" t="s">
        <v>59</v>
      </c>
      <c r="B11" s="94" t="s">
        <v>86</v>
      </c>
      <c r="C11" s="94"/>
      <c r="D11" s="94" t="s">
        <v>87</v>
      </c>
      <c r="E11" s="94" t="s">
        <v>88</v>
      </c>
      <c r="F11" s="94" t="s">
        <v>89</v>
      </c>
      <c r="G11" s="94" t="s">
        <v>90</v>
      </c>
      <c r="H11" s="21" t="s">
        <v>562</v>
      </c>
      <c r="I11" s="21" t="s">
        <v>561</v>
      </c>
      <c r="J11" s="94" t="s">
        <v>103</v>
      </c>
      <c r="K11" s="94" t="s">
        <v>101</v>
      </c>
      <c r="L11" s="94" t="s">
        <v>198</v>
      </c>
    </row>
    <row r="12" spans="1:12" ht="32.25" customHeight="1" x14ac:dyDescent="0.25">
      <c r="A12" s="33">
        <v>1</v>
      </c>
      <c r="B12" s="33" t="s">
        <v>91</v>
      </c>
      <c r="C12" s="11" t="s">
        <v>559</v>
      </c>
      <c r="D12" s="33" t="s">
        <v>102</v>
      </c>
      <c r="E12" s="34">
        <v>132000</v>
      </c>
      <c r="F12" s="33" t="s">
        <v>92</v>
      </c>
      <c r="G12" s="33" t="s">
        <v>93</v>
      </c>
      <c r="H12" s="35" t="s">
        <v>630</v>
      </c>
      <c r="I12" s="35" t="s">
        <v>564</v>
      </c>
      <c r="J12" s="33" t="s">
        <v>84</v>
      </c>
      <c r="K12" s="33" t="s">
        <v>202</v>
      </c>
      <c r="L12" s="34">
        <v>132000</v>
      </c>
    </row>
    <row r="13" spans="1:12" ht="31.5" customHeight="1" x14ac:dyDescent="0.25">
      <c r="A13" s="11">
        <v>2</v>
      </c>
      <c r="B13" s="11" t="s">
        <v>91</v>
      </c>
      <c r="C13" s="11" t="s">
        <v>559</v>
      </c>
      <c r="D13" s="11" t="s">
        <v>194</v>
      </c>
      <c r="E13" s="16">
        <v>668800</v>
      </c>
      <c r="F13" s="11" t="s">
        <v>92</v>
      </c>
      <c r="G13" s="11" t="s">
        <v>93</v>
      </c>
      <c r="H13" s="13" t="s">
        <v>577</v>
      </c>
      <c r="I13" s="13" t="s">
        <v>691</v>
      </c>
      <c r="J13" s="11" t="s">
        <v>195</v>
      </c>
      <c r="K13" s="11" t="s">
        <v>197</v>
      </c>
      <c r="L13" s="16">
        <v>668800</v>
      </c>
    </row>
    <row r="14" spans="1:12" ht="63.75" customHeight="1" x14ac:dyDescent="0.25">
      <c r="A14" s="11">
        <v>3</v>
      </c>
      <c r="B14" s="11" t="s">
        <v>91</v>
      </c>
      <c r="C14" s="11" t="s">
        <v>559</v>
      </c>
      <c r="D14" s="11" t="s">
        <v>196</v>
      </c>
      <c r="E14" s="16">
        <v>1702800</v>
      </c>
      <c r="F14" s="11" t="s">
        <v>92</v>
      </c>
      <c r="G14" s="11" t="s">
        <v>93</v>
      </c>
      <c r="H14" s="13" t="s">
        <v>689</v>
      </c>
      <c r="I14" s="13" t="s">
        <v>564</v>
      </c>
      <c r="J14" s="10" t="s">
        <v>239</v>
      </c>
      <c r="K14" s="11" t="s">
        <v>201</v>
      </c>
      <c r="L14" s="16">
        <v>1702800</v>
      </c>
    </row>
    <row r="15" spans="1:12" ht="39.75" customHeight="1" x14ac:dyDescent="0.25">
      <c r="A15" s="33">
        <v>4</v>
      </c>
      <c r="B15" s="11" t="s">
        <v>91</v>
      </c>
      <c r="C15" s="11" t="s">
        <v>559</v>
      </c>
      <c r="D15" s="11" t="s">
        <v>111</v>
      </c>
      <c r="E15" s="16">
        <v>312400</v>
      </c>
      <c r="F15" s="11" t="s">
        <v>92</v>
      </c>
      <c r="G15" s="11" t="s">
        <v>93</v>
      </c>
      <c r="H15" s="13" t="s">
        <v>575</v>
      </c>
      <c r="I15" s="13" t="s">
        <v>567</v>
      </c>
      <c r="J15" s="10" t="s">
        <v>110</v>
      </c>
      <c r="K15" s="11" t="s">
        <v>205</v>
      </c>
      <c r="L15" s="16">
        <v>312400</v>
      </c>
    </row>
    <row r="16" spans="1:12" ht="95.25" customHeight="1" x14ac:dyDescent="0.25">
      <c r="A16" s="11">
        <v>5</v>
      </c>
      <c r="B16" s="11" t="s">
        <v>91</v>
      </c>
      <c r="C16" s="11" t="s">
        <v>559</v>
      </c>
      <c r="D16" s="11" t="s">
        <v>193</v>
      </c>
      <c r="E16" s="16">
        <v>2235600</v>
      </c>
      <c r="F16" s="11" t="s">
        <v>92</v>
      </c>
      <c r="G16" s="11" t="s">
        <v>93</v>
      </c>
      <c r="H16" s="13" t="s">
        <v>583</v>
      </c>
      <c r="I16" s="12" t="s">
        <v>583</v>
      </c>
      <c r="J16" s="11" t="s">
        <v>238</v>
      </c>
      <c r="K16" s="11" t="s">
        <v>227</v>
      </c>
      <c r="L16" s="16">
        <v>2235600</v>
      </c>
    </row>
    <row r="17" spans="1:12" ht="42.75" customHeight="1" x14ac:dyDescent="0.25">
      <c r="A17" s="11">
        <v>6</v>
      </c>
      <c r="B17" s="11" t="s">
        <v>91</v>
      </c>
      <c r="C17" s="11" t="s">
        <v>559</v>
      </c>
      <c r="D17" s="11" t="s">
        <v>130</v>
      </c>
      <c r="E17" s="16">
        <v>13849800</v>
      </c>
      <c r="F17" s="11" t="s">
        <v>92</v>
      </c>
      <c r="G17" s="11" t="s">
        <v>93</v>
      </c>
      <c r="H17" s="13" t="s">
        <v>689</v>
      </c>
      <c r="I17" s="13" t="s">
        <v>567</v>
      </c>
      <c r="J17" s="11" t="s">
        <v>131</v>
      </c>
      <c r="K17" s="10" t="s">
        <v>203</v>
      </c>
      <c r="L17" s="16">
        <f>360000+13489800</f>
        <v>13849800</v>
      </c>
    </row>
    <row r="18" spans="1:12" ht="43.5" customHeight="1" x14ac:dyDescent="0.25">
      <c r="A18" s="33">
        <v>7</v>
      </c>
      <c r="B18" s="11" t="s">
        <v>91</v>
      </c>
      <c r="C18" s="11" t="s">
        <v>559</v>
      </c>
      <c r="D18" s="11" t="s">
        <v>138</v>
      </c>
      <c r="E18" s="16">
        <v>1135200</v>
      </c>
      <c r="F18" s="11" t="s">
        <v>92</v>
      </c>
      <c r="G18" s="11" t="s">
        <v>93</v>
      </c>
      <c r="H18" s="13" t="s">
        <v>630</v>
      </c>
      <c r="I18" s="13" t="s">
        <v>565</v>
      </c>
      <c r="J18" s="11" t="s">
        <v>139</v>
      </c>
      <c r="K18" s="11" t="s">
        <v>204</v>
      </c>
      <c r="L18" s="16">
        <v>1135200</v>
      </c>
    </row>
    <row r="19" spans="1:12" ht="35.25" customHeight="1" x14ac:dyDescent="0.25">
      <c r="A19" s="11">
        <v>8</v>
      </c>
      <c r="B19" s="11" t="s">
        <v>91</v>
      </c>
      <c r="C19" s="11" t="s">
        <v>559</v>
      </c>
      <c r="D19" s="11" t="s">
        <v>159</v>
      </c>
      <c r="E19" s="16">
        <v>79200</v>
      </c>
      <c r="F19" s="11" t="s">
        <v>92</v>
      </c>
      <c r="G19" s="11" t="s">
        <v>93</v>
      </c>
      <c r="H19" s="13" t="s">
        <v>676</v>
      </c>
      <c r="I19" s="13" t="s">
        <v>583</v>
      </c>
      <c r="J19" s="11" t="s">
        <v>160</v>
      </c>
      <c r="K19" s="11" t="s">
        <v>200</v>
      </c>
      <c r="L19" s="16">
        <v>79200</v>
      </c>
    </row>
    <row r="20" spans="1:12" ht="35.25" customHeight="1" x14ac:dyDescent="0.25">
      <c r="A20" s="11">
        <v>9</v>
      </c>
      <c r="B20" s="11" t="s">
        <v>91</v>
      </c>
      <c r="C20" s="11" t="s">
        <v>559</v>
      </c>
      <c r="D20" s="11" t="s">
        <v>225</v>
      </c>
      <c r="E20" s="16">
        <v>29810000</v>
      </c>
      <c r="F20" s="11" t="s">
        <v>92</v>
      </c>
      <c r="G20" s="11" t="s">
        <v>93</v>
      </c>
      <c r="H20" s="13" t="s">
        <v>573</v>
      </c>
      <c r="I20" s="13" t="s">
        <v>567</v>
      </c>
      <c r="J20" s="11" t="s">
        <v>237</v>
      </c>
      <c r="K20" s="11" t="s">
        <v>499</v>
      </c>
      <c r="L20" s="16">
        <v>29810000</v>
      </c>
    </row>
    <row r="21" spans="1:12" ht="61.5" customHeight="1" x14ac:dyDescent="0.25">
      <c r="A21" s="33">
        <v>10</v>
      </c>
      <c r="B21" s="11" t="s">
        <v>91</v>
      </c>
      <c r="C21" s="11" t="s">
        <v>559</v>
      </c>
      <c r="D21" s="11" t="s">
        <v>303</v>
      </c>
      <c r="E21" s="16">
        <v>316800</v>
      </c>
      <c r="F21" s="11" t="s">
        <v>92</v>
      </c>
      <c r="G21" s="11" t="s">
        <v>93</v>
      </c>
      <c r="H21" s="13" t="s">
        <v>689</v>
      </c>
      <c r="I21" s="13" t="s">
        <v>564</v>
      </c>
      <c r="J21" s="11" t="s">
        <v>100</v>
      </c>
      <c r="K21" s="11" t="s">
        <v>228</v>
      </c>
      <c r="L21" s="16">
        <v>316800</v>
      </c>
    </row>
    <row r="22" spans="1:12" ht="39.75" customHeight="1" x14ac:dyDescent="0.25">
      <c r="A22" s="11">
        <v>11</v>
      </c>
      <c r="B22" s="11" t="s">
        <v>91</v>
      </c>
      <c r="C22" s="11" t="s">
        <v>559</v>
      </c>
      <c r="D22" s="11" t="s">
        <v>235</v>
      </c>
      <c r="E22" s="16">
        <v>63000</v>
      </c>
      <c r="F22" s="11" t="s">
        <v>92</v>
      </c>
      <c r="G22" s="10" t="s">
        <v>85</v>
      </c>
      <c r="H22" s="12" t="s">
        <v>574</v>
      </c>
      <c r="I22" s="13" t="s">
        <v>668</v>
      </c>
      <c r="J22" s="11" t="s">
        <v>242</v>
      </c>
      <c r="K22" s="11" t="s">
        <v>500</v>
      </c>
      <c r="L22" s="16">
        <v>63000</v>
      </c>
    </row>
    <row r="23" spans="1:12" ht="39.75" customHeight="1" x14ac:dyDescent="0.25">
      <c r="A23" s="11">
        <v>12</v>
      </c>
      <c r="B23" s="11" t="s">
        <v>91</v>
      </c>
      <c r="C23" s="11" t="s">
        <v>559</v>
      </c>
      <c r="D23" s="11" t="s">
        <v>271</v>
      </c>
      <c r="E23" s="16">
        <v>3787200</v>
      </c>
      <c r="F23" s="11" t="s">
        <v>92</v>
      </c>
      <c r="G23" s="11" t="s">
        <v>93</v>
      </c>
      <c r="H23" s="13" t="s">
        <v>676</v>
      </c>
      <c r="I23" s="13" t="s">
        <v>563</v>
      </c>
      <c r="J23" s="11" t="s">
        <v>281</v>
      </c>
      <c r="K23" s="11" t="s">
        <v>501</v>
      </c>
      <c r="L23" s="16">
        <v>3787200</v>
      </c>
    </row>
    <row r="24" spans="1:12" ht="39.75" customHeight="1" x14ac:dyDescent="0.25">
      <c r="A24" s="33">
        <v>13</v>
      </c>
      <c r="B24" s="11" t="s">
        <v>91</v>
      </c>
      <c r="C24" s="11" t="s">
        <v>559</v>
      </c>
      <c r="D24" s="11" t="s">
        <v>272</v>
      </c>
      <c r="E24" s="16">
        <v>2196000</v>
      </c>
      <c r="F24" s="11" t="s">
        <v>92</v>
      </c>
      <c r="G24" s="11" t="s">
        <v>93</v>
      </c>
      <c r="H24" s="13" t="s">
        <v>588</v>
      </c>
      <c r="I24" s="13" t="s">
        <v>692</v>
      </c>
      <c r="J24" s="11" t="s">
        <v>282</v>
      </c>
      <c r="K24" s="11" t="s">
        <v>502</v>
      </c>
      <c r="L24" s="16">
        <v>2196000</v>
      </c>
    </row>
    <row r="25" spans="1:12" ht="39.75" customHeight="1" x14ac:dyDescent="0.25">
      <c r="A25" s="11">
        <v>14</v>
      </c>
      <c r="B25" s="11" t="s">
        <v>91</v>
      </c>
      <c r="C25" s="11" t="s">
        <v>559</v>
      </c>
      <c r="D25" s="11" t="s">
        <v>273</v>
      </c>
      <c r="E25" s="16">
        <v>7154400</v>
      </c>
      <c r="F25" s="11" t="s">
        <v>92</v>
      </c>
      <c r="G25" s="11" t="s">
        <v>93</v>
      </c>
      <c r="H25" s="13" t="s">
        <v>575</v>
      </c>
      <c r="I25" s="13" t="s">
        <v>583</v>
      </c>
      <c r="J25" s="11" t="s">
        <v>283</v>
      </c>
      <c r="K25" s="11" t="s">
        <v>503</v>
      </c>
      <c r="L25" s="16">
        <v>7154400</v>
      </c>
    </row>
    <row r="26" spans="1:12" ht="39.75" customHeight="1" x14ac:dyDescent="0.25">
      <c r="A26" s="11">
        <v>15</v>
      </c>
      <c r="B26" s="11" t="s">
        <v>91</v>
      </c>
      <c r="C26" s="11" t="s">
        <v>559</v>
      </c>
      <c r="D26" s="11" t="s">
        <v>394</v>
      </c>
      <c r="E26" s="16">
        <v>3180000</v>
      </c>
      <c r="F26" s="11" t="s">
        <v>92</v>
      </c>
      <c r="G26" s="11" t="s">
        <v>93</v>
      </c>
      <c r="H26" s="13" t="s">
        <v>589</v>
      </c>
      <c r="I26" s="13" t="s">
        <v>568</v>
      </c>
      <c r="J26" s="11" t="s">
        <v>395</v>
      </c>
      <c r="K26" s="11" t="s">
        <v>504</v>
      </c>
      <c r="L26" s="16">
        <v>3180000</v>
      </c>
    </row>
    <row r="27" spans="1:12" ht="64.5" customHeight="1" x14ac:dyDescent="0.25">
      <c r="A27" s="33">
        <v>16</v>
      </c>
      <c r="B27" s="31" t="s">
        <v>91</v>
      </c>
      <c r="C27" s="11" t="s">
        <v>559</v>
      </c>
      <c r="D27" s="31" t="s">
        <v>315</v>
      </c>
      <c r="E27" s="32">
        <v>2980200</v>
      </c>
      <c r="F27" s="11" t="s">
        <v>92</v>
      </c>
      <c r="G27" s="31" t="s">
        <v>93</v>
      </c>
      <c r="H27" s="108" t="s">
        <v>575</v>
      </c>
      <c r="I27" s="108" t="s">
        <v>567</v>
      </c>
      <c r="J27" s="31" t="s">
        <v>483</v>
      </c>
      <c r="K27" s="31" t="s">
        <v>505</v>
      </c>
      <c r="L27" s="32">
        <v>2980200</v>
      </c>
    </row>
    <row r="28" spans="1:12" ht="37.5" customHeight="1" x14ac:dyDescent="0.25">
      <c r="A28" s="11">
        <v>17</v>
      </c>
      <c r="B28" s="11" t="s">
        <v>91</v>
      </c>
      <c r="C28" s="11" t="s">
        <v>559</v>
      </c>
      <c r="D28" s="30" t="s">
        <v>399</v>
      </c>
      <c r="E28" s="16">
        <v>2849500</v>
      </c>
      <c r="F28" s="11" t="s">
        <v>92</v>
      </c>
      <c r="G28" s="11" t="s">
        <v>482</v>
      </c>
      <c r="H28" s="13" t="s">
        <v>675</v>
      </c>
      <c r="I28" s="13" t="s">
        <v>567</v>
      </c>
      <c r="J28" s="11" t="s">
        <v>401</v>
      </c>
      <c r="K28" s="31" t="s">
        <v>506</v>
      </c>
      <c r="L28" s="16">
        <v>2849500</v>
      </c>
    </row>
    <row r="29" spans="1:12" ht="37.5" customHeight="1" x14ac:dyDescent="0.25">
      <c r="A29" s="11">
        <v>18</v>
      </c>
      <c r="B29" s="11" t="s">
        <v>91</v>
      </c>
      <c r="C29" s="11" t="s">
        <v>559</v>
      </c>
      <c r="D29" s="101" t="s">
        <v>496</v>
      </c>
      <c r="E29" s="100">
        <v>1436600</v>
      </c>
      <c r="F29" s="11" t="s">
        <v>92</v>
      </c>
      <c r="G29" s="11" t="s">
        <v>93</v>
      </c>
      <c r="H29" s="13" t="s">
        <v>675</v>
      </c>
      <c r="I29" s="13" t="s">
        <v>666</v>
      </c>
      <c r="J29" s="11" t="s">
        <v>393</v>
      </c>
      <c r="K29" s="11"/>
      <c r="L29" s="5"/>
    </row>
    <row r="30" spans="1:12" ht="37.5" customHeight="1" x14ac:dyDescent="0.25">
      <c r="A30" s="33">
        <v>19</v>
      </c>
      <c r="B30" s="11" t="s">
        <v>91</v>
      </c>
      <c r="C30" s="11" t="s">
        <v>559</v>
      </c>
      <c r="D30" s="30" t="s">
        <v>424</v>
      </c>
      <c r="E30" s="16">
        <v>9087000</v>
      </c>
      <c r="F30" s="11" t="s">
        <v>92</v>
      </c>
      <c r="G30" s="11" t="s">
        <v>93</v>
      </c>
      <c r="H30" s="13" t="s">
        <v>678</v>
      </c>
      <c r="I30" s="110" t="s">
        <v>587</v>
      </c>
      <c r="J30" s="11" t="s">
        <v>423</v>
      </c>
      <c r="K30" s="22" t="s">
        <v>497</v>
      </c>
      <c r="L30" s="16">
        <v>9087000</v>
      </c>
    </row>
    <row r="31" spans="1:12" ht="37.5" customHeight="1" x14ac:dyDescent="0.25">
      <c r="A31" s="11">
        <v>20</v>
      </c>
      <c r="B31" s="86" t="s">
        <v>91</v>
      </c>
      <c r="C31" s="11" t="s">
        <v>559</v>
      </c>
      <c r="D31" s="87" t="s">
        <v>430</v>
      </c>
      <c r="E31" s="88">
        <v>2460000</v>
      </c>
      <c r="F31" s="86" t="s">
        <v>92</v>
      </c>
      <c r="G31" s="86" t="s">
        <v>93</v>
      </c>
      <c r="H31" s="109" t="s">
        <v>678</v>
      </c>
      <c r="I31" s="110" t="s">
        <v>569</v>
      </c>
      <c r="J31" s="86" t="s">
        <v>423</v>
      </c>
      <c r="K31" s="86" t="s">
        <v>498</v>
      </c>
      <c r="L31" s="88">
        <v>2460000</v>
      </c>
    </row>
    <row r="32" spans="1:12" ht="42" customHeight="1" x14ac:dyDescent="0.25">
      <c r="A32" s="11">
        <v>21</v>
      </c>
      <c r="B32" s="11" t="s">
        <v>91</v>
      </c>
      <c r="C32" s="11" t="s">
        <v>559</v>
      </c>
      <c r="D32" s="11" t="s">
        <v>452</v>
      </c>
      <c r="E32" s="16">
        <v>2551000</v>
      </c>
      <c r="F32" s="11" t="s">
        <v>92</v>
      </c>
      <c r="G32" s="11" t="s">
        <v>85</v>
      </c>
      <c r="H32" s="13" t="s">
        <v>626</v>
      </c>
      <c r="I32" s="110" t="s">
        <v>569</v>
      </c>
      <c r="J32" s="11" t="s">
        <v>429</v>
      </c>
      <c r="K32" s="11"/>
      <c r="L32" s="5"/>
    </row>
    <row r="33" spans="1:12" ht="37.5" customHeight="1" x14ac:dyDescent="0.25">
      <c r="A33" s="33">
        <v>22</v>
      </c>
      <c r="B33" s="11" t="s">
        <v>91</v>
      </c>
      <c r="C33" s="11" t="s">
        <v>559</v>
      </c>
      <c r="D33" s="30" t="s">
        <v>458</v>
      </c>
      <c r="E33" s="16">
        <v>5212200</v>
      </c>
      <c r="F33" s="11" t="s">
        <v>92</v>
      </c>
      <c r="G33" s="11" t="s">
        <v>93</v>
      </c>
      <c r="H33" s="13" t="s">
        <v>588</v>
      </c>
      <c r="I33" s="13" t="s">
        <v>569</v>
      </c>
      <c r="J33" s="11" t="s">
        <v>429</v>
      </c>
      <c r="K33" s="11"/>
      <c r="L33" s="5"/>
    </row>
    <row r="34" spans="1:12" ht="37.5" customHeight="1" x14ac:dyDescent="0.25">
      <c r="A34" s="11">
        <v>23</v>
      </c>
      <c r="B34" s="11" t="s">
        <v>91</v>
      </c>
      <c r="C34" s="11" t="s">
        <v>559</v>
      </c>
      <c r="D34" s="30" t="s">
        <v>455</v>
      </c>
      <c r="E34" s="16">
        <v>2802500</v>
      </c>
      <c r="F34" s="11" t="s">
        <v>92</v>
      </c>
      <c r="G34" s="11" t="s">
        <v>93</v>
      </c>
      <c r="H34" s="13" t="s">
        <v>685</v>
      </c>
      <c r="I34" s="13" t="s">
        <v>570</v>
      </c>
      <c r="J34" s="11" t="s">
        <v>423</v>
      </c>
      <c r="K34" s="11"/>
      <c r="L34" s="5"/>
    </row>
    <row r="35" spans="1:12" ht="37.5" customHeight="1" x14ac:dyDescent="0.25">
      <c r="A35" s="11">
        <v>24</v>
      </c>
      <c r="B35" s="11" t="s">
        <v>91</v>
      </c>
      <c r="C35" s="11" t="s">
        <v>559</v>
      </c>
      <c r="D35" s="30" t="s">
        <v>456</v>
      </c>
      <c r="E35" s="16">
        <v>6162000</v>
      </c>
      <c r="F35" s="11" t="s">
        <v>92</v>
      </c>
      <c r="G35" s="11" t="s">
        <v>93</v>
      </c>
      <c r="H35" s="13" t="s">
        <v>579</v>
      </c>
      <c r="I35" s="13" t="s">
        <v>570</v>
      </c>
      <c r="J35" s="11" t="s">
        <v>423</v>
      </c>
      <c r="K35" s="11"/>
      <c r="L35" s="5"/>
    </row>
    <row r="36" spans="1:12" ht="37.5" customHeight="1" x14ac:dyDescent="0.25">
      <c r="A36" s="33">
        <v>25</v>
      </c>
      <c r="B36" s="11" t="s">
        <v>91</v>
      </c>
      <c r="C36" s="11" t="s">
        <v>559</v>
      </c>
      <c r="D36" s="30" t="s">
        <v>463</v>
      </c>
      <c r="E36" s="16">
        <v>5490000</v>
      </c>
      <c r="F36" s="11" t="s">
        <v>92</v>
      </c>
      <c r="G36" s="11" t="s">
        <v>400</v>
      </c>
      <c r="H36" s="13" t="s">
        <v>579</v>
      </c>
      <c r="I36" s="13" t="s">
        <v>569</v>
      </c>
      <c r="J36" s="11" t="s">
        <v>423</v>
      </c>
      <c r="K36" s="11"/>
      <c r="L36" s="5"/>
    </row>
    <row r="37" spans="1:12" ht="37.5" customHeight="1" x14ac:dyDescent="0.25">
      <c r="A37" s="11">
        <v>26</v>
      </c>
      <c r="B37" s="11" t="s">
        <v>91</v>
      </c>
      <c r="C37" s="11" t="s">
        <v>559</v>
      </c>
      <c r="D37" s="30" t="s">
        <v>462</v>
      </c>
      <c r="E37" s="16">
        <v>2169000</v>
      </c>
      <c r="F37" s="11" t="s">
        <v>92</v>
      </c>
      <c r="G37" s="11" t="s">
        <v>93</v>
      </c>
      <c r="H37" s="13" t="s">
        <v>685</v>
      </c>
      <c r="I37" s="13" t="s">
        <v>670</v>
      </c>
      <c r="J37" s="11" t="s">
        <v>423</v>
      </c>
      <c r="K37" s="11"/>
      <c r="L37" s="5"/>
    </row>
    <row r="38" spans="1:12" ht="37.5" customHeight="1" x14ac:dyDescent="0.25">
      <c r="A38" s="11">
        <v>27</v>
      </c>
      <c r="B38" s="11" t="s">
        <v>91</v>
      </c>
      <c r="C38" s="11" t="s">
        <v>559</v>
      </c>
      <c r="D38" s="30" t="s">
        <v>460</v>
      </c>
      <c r="E38" s="16">
        <v>4809000</v>
      </c>
      <c r="F38" s="11" t="s">
        <v>92</v>
      </c>
      <c r="G38" s="11" t="s">
        <v>93</v>
      </c>
      <c r="H38" s="13" t="s">
        <v>578</v>
      </c>
      <c r="I38" s="13" t="s">
        <v>569</v>
      </c>
      <c r="J38" s="11" t="s">
        <v>461</v>
      </c>
      <c r="K38" s="11"/>
      <c r="L38" s="5"/>
    </row>
    <row r="39" spans="1:12" ht="37.5" customHeight="1" x14ac:dyDescent="0.25">
      <c r="A39" s="33">
        <v>28</v>
      </c>
      <c r="B39" s="11" t="s">
        <v>91</v>
      </c>
      <c r="C39" s="11" t="s">
        <v>559</v>
      </c>
      <c r="D39" s="11" t="s">
        <v>466</v>
      </c>
      <c r="E39" s="16">
        <v>3940550</v>
      </c>
      <c r="F39" s="11" t="s">
        <v>92</v>
      </c>
      <c r="G39" s="11" t="s">
        <v>465</v>
      </c>
      <c r="H39" s="13" t="s">
        <v>578</v>
      </c>
      <c r="I39" s="13" t="s">
        <v>586</v>
      </c>
      <c r="J39" s="11" t="s">
        <v>461</v>
      </c>
      <c r="K39" s="11"/>
      <c r="L39" s="5"/>
    </row>
    <row r="40" spans="1:12" ht="37.5" customHeight="1" x14ac:dyDescent="0.25">
      <c r="A40" s="11">
        <v>29</v>
      </c>
      <c r="B40" s="11" t="s">
        <v>91</v>
      </c>
      <c r="C40" s="11" t="s">
        <v>559</v>
      </c>
      <c r="D40" s="11" t="s">
        <v>469</v>
      </c>
      <c r="E40" s="16">
        <v>6468000</v>
      </c>
      <c r="F40" s="11" t="s">
        <v>471</v>
      </c>
      <c r="G40" s="11" t="s">
        <v>93</v>
      </c>
      <c r="H40" s="13" t="s">
        <v>685</v>
      </c>
      <c r="I40" s="13" t="s">
        <v>683</v>
      </c>
      <c r="J40" s="11" t="s">
        <v>423</v>
      </c>
      <c r="K40" s="11"/>
      <c r="L40" s="5"/>
    </row>
    <row r="41" spans="1:12" ht="37.5" customHeight="1" x14ac:dyDescent="0.25">
      <c r="A41" s="11">
        <v>30</v>
      </c>
      <c r="B41" s="11" t="s">
        <v>91</v>
      </c>
      <c r="C41" s="11" t="s">
        <v>559</v>
      </c>
      <c r="D41" s="11" t="s">
        <v>470</v>
      </c>
      <c r="E41" s="16">
        <v>6399000</v>
      </c>
      <c r="F41" s="11" t="s">
        <v>92</v>
      </c>
      <c r="G41" s="11" t="s">
        <v>93</v>
      </c>
      <c r="H41" s="13" t="s">
        <v>685</v>
      </c>
      <c r="I41" s="13" t="s">
        <v>566</v>
      </c>
      <c r="J41" s="11" t="s">
        <v>423</v>
      </c>
      <c r="K41" s="11"/>
      <c r="L41" s="5"/>
    </row>
    <row r="42" spans="1:12" ht="37.5" customHeight="1" x14ac:dyDescent="0.25">
      <c r="A42" s="33">
        <v>31</v>
      </c>
      <c r="B42" s="11" t="s">
        <v>91</v>
      </c>
      <c r="C42" s="11" t="s">
        <v>559</v>
      </c>
      <c r="D42" s="30" t="s">
        <v>480</v>
      </c>
      <c r="E42" s="16">
        <v>850500</v>
      </c>
      <c r="F42" s="11" t="s">
        <v>92</v>
      </c>
      <c r="G42" s="11" t="s">
        <v>465</v>
      </c>
      <c r="H42" s="13" t="s">
        <v>578</v>
      </c>
      <c r="I42" s="13" t="s">
        <v>586</v>
      </c>
      <c r="J42" s="11" t="s">
        <v>429</v>
      </c>
      <c r="K42" s="11"/>
      <c r="L42" s="5"/>
    </row>
    <row r="43" spans="1:12" ht="37.5" customHeight="1" x14ac:dyDescent="0.25">
      <c r="A43" s="11">
        <v>32</v>
      </c>
      <c r="B43" s="11" t="s">
        <v>91</v>
      </c>
      <c r="C43" s="11" t="s">
        <v>559</v>
      </c>
      <c r="D43" s="30" t="s">
        <v>484</v>
      </c>
      <c r="E43" s="16">
        <v>5227500</v>
      </c>
      <c r="F43" s="11" t="s">
        <v>92</v>
      </c>
      <c r="G43" s="11" t="s">
        <v>482</v>
      </c>
      <c r="H43" s="13" t="s">
        <v>589</v>
      </c>
      <c r="I43" s="13" t="s">
        <v>587</v>
      </c>
      <c r="J43" s="11" t="s">
        <v>423</v>
      </c>
      <c r="K43" s="11"/>
      <c r="L43" s="5"/>
    </row>
    <row r="44" spans="1:12" ht="37.5" customHeight="1" x14ac:dyDescent="0.25">
      <c r="A44" s="11">
        <v>33</v>
      </c>
      <c r="B44" s="11" t="s">
        <v>91</v>
      </c>
      <c r="C44" s="11" t="s">
        <v>559</v>
      </c>
      <c r="D44" s="11" t="s">
        <v>485</v>
      </c>
      <c r="E44" s="16">
        <v>14514000</v>
      </c>
      <c r="F44" s="11" t="s">
        <v>92</v>
      </c>
      <c r="G44" s="11" t="s">
        <v>486</v>
      </c>
      <c r="H44" s="13" t="s">
        <v>678</v>
      </c>
      <c r="I44" s="13" t="s">
        <v>569</v>
      </c>
      <c r="J44" s="11" t="s">
        <v>423</v>
      </c>
      <c r="K44" s="11"/>
      <c r="L44" s="5"/>
    </row>
    <row r="45" spans="1:12" ht="37.5" customHeight="1" x14ac:dyDescent="0.25">
      <c r="A45" s="33">
        <v>34</v>
      </c>
      <c r="B45" s="11" t="s">
        <v>91</v>
      </c>
      <c r="C45" s="11" t="s">
        <v>559</v>
      </c>
      <c r="D45" s="30" t="s">
        <v>507</v>
      </c>
      <c r="E45" s="20">
        <v>6452797.4800000004</v>
      </c>
      <c r="F45" s="11" t="s">
        <v>92</v>
      </c>
      <c r="G45" s="11" t="s">
        <v>482</v>
      </c>
      <c r="H45" s="13" t="s">
        <v>676</v>
      </c>
      <c r="I45" s="13" t="s">
        <v>584</v>
      </c>
      <c r="J45" s="11" t="s">
        <v>401</v>
      </c>
      <c r="K45" s="11"/>
      <c r="L45" s="5"/>
    </row>
    <row r="46" spans="1:12" ht="37.5" customHeight="1" x14ac:dyDescent="0.25">
      <c r="A46" s="11">
        <v>35</v>
      </c>
      <c r="B46" s="11" t="s">
        <v>91</v>
      </c>
      <c r="C46" s="11" t="s">
        <v>559</v>
      </c>
      <c r="D46" s="30" t="s">
        <v>508</v>
      </c>
      <c r="E46" s="80">
        <v>8134073.5199999996</v>
      </c>
      <c r="F46" s="11" t="s">
        <v>92</v>
      </c>
      <c r="G46" s="11" t="s">
        <v>482</v>
      </c>
      <c r="H46" s="13" t="s">
        <v>626</v>
      </c>
      <c r="I46" s="13" t="s">
        <v>691</v>
      </c>
      <c r="J46" s="11" t="s">
        <v>401</v>
      </c>
      <c r="K46" s="11"/>
      <c r="L46" s="5"/>
    </row>
    <row r="47" spans="1:12" ht="37.5" customHeight="1" x14ac:dyDescent="0.25">
      <c r="A47" s="11">
        <v>36</v>
      </c>
      <c r="B47" s="11" t="s">
        <v>91</v>
      </c>
      <c r="C47" s="11" t="s">
        <v>559</v>
      </c>
      <c r="D47" s="11" t="s">
        <v>509</v>
      </c>
      <c r="E47" s="20">
        <v>10231951.67</v>
      </c>
      <c r="F47" s="11" t="s">
        <v>92</v>
      </c>
      <c r="G47" s="11" t="s">
        <v>482</v>
      </c>
      <c r="H47" s="13" t="s">
        <v>630</v>
      </c>
      <c r="I47" s="13" t="s">
        <v>667</v>
      </c>
      <c r="J47" s="11" t="s">
        <v>401</v>
      </c>
      <c r="K47" s="11"/>
      <c r="L47" s="5"/>
    </row>
    <row r="48" spans="1:12" ht="37.5" customHeight="1" x14ac:dyDescent="0.25">
      <c r="A48" s="33">
        <v>37</v>
      </c>
      <c r="B48" s="11" t="s">
        <v>91</v>
      </c>
      <c r="C48" s="11" t="s">
        <v>559</v>
      </c>
      <c r="D48" s="11" t="s">
        <v>517</v>
      </c>
      <c r="E48" s="20">
        <v>332500</v>
      </c>
      <c r="F48" s="11" t="s">
        <v>92</v>
      </c>
      <c r="G48" s="11" t="s">
        <v>482</v>
      </c>
      <c r="H48" s="13" t="s">
        <v>686</v>
      </c>
      <c r="I48" s="13" t="s">
        <v>683</v>
      </c>
      <c r="J48" s="11" t="s">
        <v>423</v>
      </c>
      <c r="K48" s="11"/>
      <c r="L48" s="5"/>
    </row>
    <row r="49" spans="1:12" ht="37.5" customHeight="1" x14ac:dyDescent="0.25">
      <c r="A49" s="11">
        <v>38</v>
      </c>
      <c r="B49" s="11" t="s">
        <v>91</v>
      </c>
      <c r="C49" s="11" t="s">
        <v>559</v>
      </c>
      <c r="D49" s="11" t="s">
        <v>518</v>
      </c>
      <c r="E49" s="20">
        <v>7341000</v>
      </c>
      <c r="F49" s="11" t="s">
        <v>92</v>
      </c>
      <c r="G49" s="11" t="s">
        <v>93</v>
      </c>
      <c r="H49" s="13" t="s">
        <v>579</v>
      </c>
      <c r="I49" s="13" t="s">
        <v>683</v>
      </c>
      <c r="J49" s="11" t="s">
        <v>423</v>
      </c>
      <c r="K49" s="11"/>
      <c r="L49" s="5"/>
    </row>
    <row r="50" spans="1:12" ht="37.5" customHeight="1" x14ac:dyDescent="0.25">
      <c r="A50" s="11">
        <v>39</v>
      </c>
      <c r="B50" s="11" t="s">
        <v>91</v>
      </c>
      <c r="C50" s="11" t="s">
        <v>559</v>
      </c>
      <c r="D50" s="11" t="s">
        <v>519</v>
      </c>
      <c r="E50" s="20">
        <v>87000</v>
      </c>
      <c r="F50" s="11" t="s">
        <v>92</v>
      </c>
      <c r="G50" s="11" t="s">
        <v>93</v>
      </c>
      <c r="H50" s="13" t="s">
        <v>686</v>
      </c>
      <c r="I50" s="13" t="s">
        <v>683</v>
      </c>
      <c r="J50" s="11" t="s">
        <v>423</v>
      </c>
      <c r="K50" s="11"/>
      <c r="L50" s="5"/>
    </row>
    <row r="51" spans="1:12" ht="37.5" customHeight="1" x14ac:dyDescent="0.25">
      <c r="A51" s="104">
        <v>40</v>
      </c>
      <c r="B51" s="11" t="s">
        <v>91</v>
      </c>
      <c r="C51" s="11" t="s">
        <v>559</v>
      </c>
      <c r="D51" s="30" t="s">
        <v>540</v>
      </c>
      <c r="E51" s="20">
        <v>15000</v>
      </c>
      <c r="F51" s="11" t="s">
        <v>92</v>
      </c>
      <c r="G51" s="11" t="s">
        <v>541</v>
      </c>
      <c r="H51" s="13" t="s">
        <v>688</v>
      </c>
      <c r="I51" s="13" t="s">
        <v>566</v>
      </c>
      <c r="J51" s="11" t="s">
        <v>693</v>
      </c>
      <c r="K51" s="11"/>
      <c r="L51" s="5"/>
    </row>
    <row r="52" spans="1:12" ht="37.5" customHeight="1" x14ac:dyDescent="0.25">
      <c r="A52" s="104">
        <v>41</v>
      </c>
      <c r="B52" s="11" t="s">
        <v>91</v>
      </c>
      <c r="C52" s="11" t="s">
        <v>559</v>
      </c>
      <c r="D52" s="30" t="s">
        <v>546</v>
      </c>
      <c r="E52" s="20">
        <v>3069000</v>
      </c>
      <c r="F52" s="11" t="s">
        <v>92</v>
      </c>
      <c r="G52" s="11" t="s">
        <v>93</v>
      </c>
      <c r="H52" s="13" t="s">
        <v>688</v>
      </c>
      <c r="I52" s="13" t="s">
        <v>566</v>
      </c>
      <c r="J52" s="11" t="s">
        <v>423</v>
      </c>
      <c r="K52" s="11"/>
      <c r="L52" s="5"/>
    </row>
    <row r="53" spans="1:12" ht="37.5" customHeight="1" x14ac:dyDescent="0.25">
      <c r="A53" s="104">
        <v>42</v>
      </c>
      <c r="B53" s="11" t="s">
        <v>91</v>
      </c>
      <c r="C53" s="11" t="s">
        <v>559</v>
      </c>
      <c r="D53" s="30" t="s">
        <v>547</v>
      </c>
      <c r="E53" s="20">
        <v>2632500</v>
      </c>
      <c r="F53" s="11" t="s">
        <v>92</v>
      </c>
      <c r="G53" s="11" t="s">
        <v>541</v>
      </c>
      <c r="H53" s="13" t="s">
        <v>684</v>
      </c>
      <c r="I53" s="13" t="s">
        <v>566</v>
      </c>
      <c r="J53" s="11" t="s">
        <v>423</v>
      </c>
      <c r="K53" s="11"/>
      <c r="L53" s="5"/>
    </row>
    <row r="54" spans="1:12" ht="37.5" customHeight="1" x14ac:dyDescent="0.25">
      <c r="A54" s="104">
        <v>43</v>
      </c>
      <c r="B54" s="11" t="s">
        <v>91</v>
      </c>
      <c r="C54" s="11" t="s">
        <v>559</v>
      </c>
      <c r="D54" s="30" t="s">
        <v>548</v>
      </c>
      <c r="E54" s="20">
        <v>2769000</v>
      </c>
      <c r="F54" s="11" t="s">
        <v>92</v>
      </c>
      <c r="G54" s="11" t="s">
        <v>93</v>
      </c>
      <c r="H54" s="13" t="s">
        <v>688</v>
      </c>
      <c r="I54" s="13" t="s">
        <v>566</v>
      </c>
      <c r="J54" s="11" t="s">
        <v>423</v>
      </c>
      <c r="K54" s="11"/>
      <c r="L54" s="5"/>
    </row>
    <row r="55" spans="1:12" ht="37.5" customHeight="1" x14ac:dyDescent="0.25">
      <c r="A55" s="104">
        <v>44</v>
      </c>
      <c r="B55" s="11" t="s">
        <v>91</v>
      </c>
      <c r="C55" s="11" t="s">
        <v>559</v>
      </c>
      <c r="D55" s="30" t="s">
        <v>549</v>
      </c>
      <c r="E55" s="20">
        <v>8385000</v>
      </c>
      <c r="F55" s="11" t="s">
        <v>92</v>
      </c>
      <c r="G55" s="11" t="s">
        <v>93</v>
      </c>
      <c r="H55" s="13" t="s">
        <v>690</v>
      </c>
      <c r="I55" s="13" t="s">
        <v>694</v>
      </c>
      <c r="J55" s="11" t="s">
        <v>550</v>
      </c>
      <c r="K55" s="11"/>
      <c r="L55" s="5"/>
    </row>
    <row r="56" spans="1:12" ht="48" customHeight="1" x14ac:dyDescent="0.25">
      <c r="A56" s="127" t="s">
        <v>94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</row>
    <row r="57" spans="1:12" ht="45" x14ac:dyDescent="0.25">
      <c r="A57" s="17">
        <v>1</v>
      </c>
      <c r="B57" s="11" t="s">
        <v>94</v>
      </c>
      <c r="C57" s="11" t="s">
        <v>559</v>
      </c>
      <c r="D57" s="11" t="s">
        <v>95</v>
      </c>
      <c r="E57" s="32">
        <v>30030200</v>
      </c>
      <c r="F57" s="31" t="s">
        <v>560</v>
      </c>
      <c r="G57" s="11" t="s">
        <v>85</v>
      </c>
      <c r="H57" s="22">
        <v>45200</v>
      </c>
      <c r="I57" s="13" t="s">
        <v>695</v>
      </c>
      <c r="J57" s="11" t="s">
        <v>99</v>
      </c>
      <c r="K57" s="11" t="s">
        <v>199</v>
      </c>
      <c r="L57" s="16">
        <v>16021800</v>
      </c>
    </row>
    <row r="58" spans="1:12" ht="45" x14ac:dyDescent="0.25">
      <c r="A58" s="17">
        <v>2</v>
      </c>
      <c r="B58" s="11" t="s">
        <v>94</v>
      </c>
      <c r="C58" s="11" t="s">
        <v>559</v>
      </c>
      <c r="D58" s="11" t="s">
        <v>217</v>
      </c>
      <c r="E58" s="32">
        <v>12708000</v>
      </c>
      <c r="F58" s="31" t="s">
        <v>560</v>
      </c>
      <c r="G58" s="11" t="s">
        <v>85</v>
      </c>
      <c r="H58" s="22">
        <v>45627</v>
      </c>
      <c r="I58" s="13" t="s">
        <v>692</v>
      </c>
      <c r="J58" s="11" t="s">
        <v>287</v>
      </c>
      <c r="K58" s="11" t="s">
        <v>226</v>
      </c>
      <c r="L58" s="16">
        <v>12693000</v>
      </c>
    </row>
    <row r="59" spans="1:12" ht="45" x14ac:dyDescent="0.25">
      <c r="A59" s="17">
        <v>3</v>
      </c>
      <c r="B59" s="11" t="s">
        <v>94</v>
      </c>
      <c r="C59" s="11" t="s">
        <v>559</v>
      </c>
      <c r="D59" s="11" t="s">
        <v>274</v>
      </c>
      <c r="E59" s="32">
        <v>1140000</v>
      </c>
      <c r="F59" s="31" t="s">
        <v>560</v>
      </c>
      <c r="G59" s="11" t="s">
        <v>85</v>
      </c>
      <c r="H59" s="22">
        <v>45627</v>
      </c>
      <c r="I59" s="13" t="s">
        <v>568</v>
      </c>
      <c r="J59" s="11" t="s">
        <v>285</v>
      </c>
      <c r="K59" s="11"/>
      <c r="L59" s="16"/>
    </row>
    <row r="60" spans="1:12" ht="45" x14ac:dyDescent="0.25">
      <c r="A60" s="17">
        <v>4</v>
      </c>
      <c r="B60" s="11" t="s">
        <v>94</v>
      </c>
      <c r="C60" s="11" t="s">
        <v>559</v>
      </c>
      <c r="D60" s="11" t="s">
        <v>276</v>
      </c>
      <c r="E60" s="32">
        <v>25716300</v>
      </c>
      <c r="F60" s="31" t="s">
        <v>560</v>
      </c>
      <c r="G60" s="11" t="s">
        <v>85</v>
      </c>
      <c r="H60" s="22">
        <v>45444</v>
      </c>
      <c r="I60" s="13" t="s">
        <v>567</v>
      </c>
      <c r="J60" s="11" t="s">
        <v>99</v>
      </c>
      <c r="K60" s="11"/>
      <c r="L60" s="16"/>
    </row>
    <row r="61" spans="1:12" ht="45" x14ac:dyDescent="0.25">
      <c r="A61" s="17">
        <v>5</v>
      </c>
      <c r="B61" s="11" t="s">
        <v>94</v>
      </c>
      <c r="C61" s="11" t="s">
        <v>559</v>
      </c>
      <c r="D61" s="11" t="s">
        <v>277</v>
      </c>
      <c r="E61" s="32">
        <v>573000</v>
      </c>
      <c r="F61" s="31" t="s">
        <v>560</v>
      </c>
      <c r="G61" s="11" t="s">
        <v>85</v>
      </c>
      <c r="H61" s="22">
        <v>45627</v>
      </c>
      <c r="I61" s="13" t="s">
        <v>585</v>
      </c>
      <c r="J61" s="11" t="s">
        <v>284</v>
      </c>
      <c r="K61" s="11"/>
      <c r="L61" s="16"/>
    </row>
    <row r="62" spans="1:12" ht="45" x14ac:dyDescent="0.25">
      <c r="A62" s="17">
        <v>6</v>
      </c>
      <c r="B62" s="11" t="s">
        <v>94</v>
      </c>
      <c r="C62" s="11" t="s">
        <v>559</v>
      </c>
      <c r="D62" s="11" t="s">
        <v>454</v>
      </c>
      <c r="E62" s="16">
        <v>764300</v>
      </c>
      <c r="F62" s="31" t="s">
        <v>560</v>
      </c>
      <c r="G62" s="11" t="s">
        <v>316</v>
      </c>
      <c r="H62" s="22">
        <v>45474</v>
      </c>
      <c r="I62" s="13" t="s">
        <v>583</v>
      </c>
      <c r="J62" s="11" t="s">
        <v>317</v>
      </c>
      <c r="K62" s="11"/>
      <c r="L62" s="16"/>
    </row>
    <row r="63" spans="1:12" ht="90" x14ac:dyDescent="0.25">
      <c r="A63" s="97">
        <v>7</v>
      </c>
      <c r="B63" s="31" t="s">
        <v>94</v>
      </c>
      <c r="C63" s="11" t="s">
        <v>559</v>
      </c>
      <c r="D63" s="31" t="s">
        <v>487</v>
      </c>
      <c r="E63" s="32">
        <v>39605300</v>
      </c>
      <c r="F63" s="31" t="s">
        <v>560</v>
      </c>
      <c r="G63" s="31" t="s">
        <v>93</v>
      </c>
      <c r="H63" s="111">
        <v>45292</v>
      </c>
      <c r="I63" s="108" t="s">
        <v>567</v>
      </c>
      <c r="J63" s="31" t="s">
        <v>335</v>
      </c>
      <c r="K63" s="31"/>
      <c r="L63" s="32"/>
    </row>
    <row r="64" spans="1:12" ht="30" x14ac:dyDescent="0.25">
      <c r="A64" s="17">
        <v>8</v>
      </c>
      <c r="B64" s="11" t="s">
        <v>94</v>
      </c>
      <c r="C64" s="11" t="s">
        <v>559</v>
      </c>
      <c r="D64" s="11" t="s">
        <v>453</v>
      </c>
      <c r="E64" s="16">
        <v>687000</v>
      </c>
      <c r="F64" s="31" t="s">
        <v>560</v>
      </c>
      <c r="G64" s="11" t="s">
        <v>93</v>
      </c>
      <c r="H64" s="22">
        <v>45778</v>
      </c>
      <c r="I64" s="13" t="s">
        <v>670</v>
      </c>
      <c r="J64" s="11" t="s">
        <v>241</v>
      </c>
      <c r="K64" s="11"/>
      <c r="L64" s="16"/>
    </row>
    <row r="65" spans="1:12" ht="30" x14ac:dyDescent="0.25">
      <c r="A65" s="17">
        <v>9</v>
      </c>
      <c r="B65" s="11" t="s">
        <v>94</v>
      </c>
      <c r="C65" s="11" t="s">
        <v>559</v>
      </c>
      <c r="D65" s="11" t="s">
        <v>447</v>
      </c>
      <c r="E65" s="16">
        <v>12939300</v>
      </c>
      <c r="F65" s="31" t="s">
        <v>560</v>
      </c>
      <c r="G65" s="11" t="s">
        <v>93</v>
      </c>
      <c r="H65" s="22">
        <v>45597</v>
      </c>
      <c r="I65" s="13" t="s">
        <v>569</v>
      </c>
      <c r="J65" s="11" t="s">
        <v>241</v>
      </c>
      <c r="K65" s="11"/>
      <c r="L65" s="16"/>
    </row>
    <row r="66" spans="1:12" ht="45" x14ac:dyDescent="0.25">
      <c r="A66" s="17">
        <v>10</v>
      </c>
      <c r="B66" s="11" t="s">
        <v>94</v>
      </c>
      <c r="C66" s="11" t="s">
        <v>559</v>
      </c>
      <c r="D66" s="11" t="s">
        <v>451</v>
      </c>
      <c r="E66" s="16">
        <v>2307000</v>
      </c>
      <c r="F66" s="31" t="s">
        <v>560</v>
      </c>
      <c r="G66" s="11" t="s">
        <v>85</v>
      </c>
      <c r="H66" s="22">
        <v>45352</v>
      </c>
      <c r="I66" s="13" t="s">
        <v>564</v>
      </c>
      <c r="J66" s="11" t="s">
        <v>241</v>
      </c>
      <c r="K66" s="11"/>
      <c r="L66" s="16"/>
    </row>
    <row r="67" spans="1:12" ht="30" x14ac:dyDescent="0.25">
      <c r="A67" s="17">
        <v>11</v>
      </c>
      <c r="B67" s="11" t="s">
        <v>94</v>
      </c>
      <c r="C67" s="11" t="s">
        <v>559</v>
      </c>
      <c r="D67" s="11" t="s">
        <v>459</v>
      </c>
      <c r="E67" s="16">
        <v>9084000</v>
      </c>
      <c r="F67" s="31" t="s">
        <v>560</v>
      </c>
      <c r="G67" s="11" t="s">
        <v>93</v>
      </c>
      <c r="H67" s="22">
        <v>45658</v>
      </c>
      <c r="I67" s="13" t="s">
        <v>569</v>
      </c>
      <c r="J67" s="11" t="s">
        <v>333</v>
      </c>
      <c r="K67" s="11"/>
      <c r="L67" s="16"/>
    </row>
    <row r="68" spans="1:12" ht="30" x14ac:dyDescent="0.25">
      <c r="A68" s="17">
        <v>12</v>
      </c>
      <c r="B68" s="11" t="s">
        <v>94</v>
      </c>
      <c r="C68" s="11" t="s">
        <v>559</v>
      </c>
      <c r="D68" s="11" t="s">
        <v>464</v>
      </c>
      <c r="E68" s="16">
        <v>4028950</v>
      </c>
      <c r="F68" s="31" t="s">
        <v>560</v>
      </c>
      <c r="G68" s="11" t="s">
        <v>465</v>
      </c>
      <c r="H68" s="22">
        <v>45658</v>
      </c>
      <c r="I68" s="13" t="s">
        <v>586</v>
      </c>
      <c r="J68" s="11" t="s">
        <v>333</v>
      </c>
      <c r="K68" s="11"/>
      <c r="L68" s="16"/>
    </row>
    <row r="69" spans="1:12" ht="30" x14ac:dyDescent="0.25">
      <c r="A69" s="17">
        <v>13</v>
      </c>
      <c r="B69" s="11" t="s">
        <v>94</v>
      </c>
      <c r="C69" s="11" t="s">
        <v>559</v>
      </c>
      <c r="D69" s="11" t="s">
        <v>478</v>
      </c>
      <c r="E69" s="16">
        <v>24541500</v>
      </c>
      <c r="F69" s="31" t="s">
        <v>560</v>
      </c>
      <c r="G69" s="11" t="s">
        <v>465</v>
      </c>
      <c r="H69" s="22">
        <v>45658</v>
      </c>
      <c r="I69" s="13" t="s">
        <v>568</v>
      </c>
      <c r="J69" s="11" t="s">
        <v>241</v>
      </c>
      <c r="K69" s="11"/>
      <c r="L69" s="16"/>
    </row>
    <row r="70" spans="1:12" ht="45" x14ac:dyDescent="0.25">
      <c r="A70" s="17">
        <v>14</v>
      </c>
      <c r="B70" s="11" t="s">
        <v>94</v>
      </c>
      <c r="C70" s="11" t="s">
        <v>559</v>
      </c>
      <c r="D70" s="11" t="s">
        <v>510</v>
      </c>
      <c r="E70" s="16">
        <v>310087.93</v>
      </c>
      <c r="F70" s="31" t="s">
        <v>560</v>
      </c>
      <c r="G70" s="11" t="s">
        <v>85</v>
      </c>
      <c r="H70" s="22">
        <v>45536</v>
      </c>
      <c r="I70" s="13" t="s">
        <v>583</v>
      </c>
      <c r="J70" s="11" t="s">
        <v>317</v>
      </c>
      <c r="K70" s="11" t="s">
        <v>552</v>
      </c>
      <c r="L70" s="16">
        <v>310087.93</v>
      </c>
    </row>
    <row r="71" spans="1:12" ht="30" x14ac:dyDescent="0.25">
      <c r="A71" s="17">
        <v>15</v>
      </c>
      <c r="B71" s="11" t="s">
        <v>94</v>
      </c>
      <c r="C71" s="11" t="s">
        <v>559</v>
      </c>
      <c r="D71" s="11" t="s">
        <v>526</v>
      </c>
      <c r="E71" s="16">
        <v>16272900</v>
      </c>
      <c r="F71" s="31" t="s">
        <v>560</v>
      </c>
      <c r="G71" s="11" t="s">
        <v>93</v>
      </c>
      <c r="H71" s="22">
        <v>45931</v>
      </c>
      <c r="I71" s="13" t="s">
        <v>696</v>
      </c>
      <c r="J71" s="11" t="s">
        <v>527</v>
      </c>
      <c r="K71" s="11"/>
      <c r="L71" s="16"/>
    </row>
    <row r="72" spans="1:12" ht="30" x14ac:dyDescent="0.25">
      <c r="A72" s="17">
        <v>16</v>
      </c>
      <c r="B72" s="11" t="s">
        <v>94</v>
      </c>
      <c r="C72" s="11" t="s">
        <v>559</v>
      </c>
      <c r="D72" s="11" t="s">
        <v>551</v>
      </c>
      <c r="E72" s="16">
        <v>5489100</v>
      </c>
      <c r="F72" s="31" t="s">
        <v>560</v>
      </c>
      <c r="G72" s="11" t="s">
        <v>93</v>
      </c>
      <c r="H72" s="22">
        <v>45962</v>
      </c>
      <c r="I72" s="13" t="s">
        <v>694</v>
      </c>
      <c r="J72" s="11" t="s">
        <v>333</v>
      </c>
      <c r="K72" s="11"/>
      <c r="L72" s="16"/>
    </row>
    <row r="73" spans="1:12" ht="48" customHeight="1" x14ac:dyDescent="0.25">
      <c r="A73" s="127" t="s">
        <v>192</v>
      </c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</row>
    <row r="74" spans="1:12" ht="45" x14ac:dyDescent="0.25">
      <c r="A74" s="17">
        <v>1</v>
      </c>
      <c r="B74" s="11" t="s">
        <v>96</v>
      </c>
      <c r="C74" s="11" t="s">
        <v>559</v>
      </c>
      <c r="D74" s="11" t="s">
        <v>97</v>
      </c>
      <c r="E74" s="16">
        <v>721100</v>
      </c>
      <c r="F74" s="11" t="s">
        <v>98</v>
      </c>
      <c r="G74" s="11" t="s">
        <v>85</v>
      </c>
      <c r="H74" s="22">
        <v>45261</v>
      </c>
      <c r="I74" s="13" t="s">
        <v>664</v>
      </c>
      <c r="J74" s="11" t="s">
        <v>99</v>
      </c>
      <c r="K74" s="11"/>
      <c r="L74" s="16"/>
    </row>
    <row r="75" spans="1:12" ht="45" x14ac:dyDescent="0.25">
      <c r="A75" s="17">
        <v>2</v>
      </c>
      <c r="B75" s="11" t="s">
        <v>96</v>
      </c>
      <c r="C75" s="11" t="s">
        <v>559</v>
      </c>
      <c r="D75" s="11" t="s">
        <v>275</v>
      </c>
      <c r="E75" s="16">
        <v>2745600</v>
      </c>
      <c r="F75" s="11" t="s">
        <v>98</v>
      </c>
      <c r="G75" s="11" t="s">
        <v>85</v>
      </c>
      <c r="H75" s="22">
        <v>45474</v>
      </c>
      <c r="I75" s="13" t="s">
        <v>583</v>
      </c>
      <c r="J75" s="11" t="s">
        <v>286</v>
      </c>
      <c r="K75" s="11"/>
      <c r="L75" s="16"/>
    </row>
    <row r="76" spans="1:12" ht="45" x14ac:dyDescent="0.25">
      <c r="A76" s="95">
        <v>3</v>
      </c>
      <c r="B76" s="31" t="s">
        <v>96</v>
      </c>
      <c r="C76" s="11" t="s">
        <v>559</v>
      </c>
      <c r="D76" s="96" t="s">
        <v>488</v>
      </c>
      <c r="E76" s="32">
        <v>10140200</v>
      </c>
      <c r="F76" s="31" t="s">
        <v>336</v>
      </c>
      <c r="G76" s="31" t="s">
        <v>93</v>
      </c>
      <c r="H76" s="111">
        <v>45292</v>
      </c>
      <c r="I76" s="108" t="s">
        <v>567</v>
      </c>
      <c r="J76" s="31" t="s">
        <v>337</v>
      </c>
      <c r="K76" s="31"/>
      <c r="L76" s="32"/>
    </row>
    <row r="77" spans="1:12" ht="30" x14ac:dyDescent="0.25">
      <c r="A77" s="36">
        <v>4</v>
      </c>
      <c r="B77" s="11" t="s">
        <v>96</v>
      </c>
      <c r="C77" s="11" t="s">
        <v>559</v>
      </c>
      <c r="D77" s="30" t="s">
        <v>448</v>
      </c>
      <c r="E77" s="16">
        <v>84000</v>
      </c>
      <c r="F77" s="11" t="s">
        <v>336</v>
      </c>
      <c r="G77" s="11" t="s">
        <v>93</v>
      </c>
      <c r="H77" s="22">
        <v>45717</v>
      </c>
      <c r="I77" s="13" t="s">
        <v>570</v>
      </c>
      <c r="J77" s="11" t="s">
        <v>449</v>
      </c>
      <c r="K77" s="11"/>
      <c r="L77" s="16"/>
    </row>
    <row r="78" spans="1:12" ht="45" x14ac:dyDescent="0.25">
      <c r="A78" s="36">
        <v>5</v>
      </c>
      <c r="B78" s="11" t="s">
        <v>96</v>
      </c>
      <c r="C78" s="11" t="s">
        <v>559</v>
      </c>
      <c r="D78" s="30" t="s">
        <v>450</v>
      </c>
      <c r="E78" s="16">
        <v>1249000</v>
      </c>
      <c r="F78" s="11" t="s">
        <v>336</v>
      </c>
      <c r="G78" s="11" t="s">
        <v>85</v>
      </c>
      <c r="H78" s="22">
        <v>45352</v>
      </c>
      <c r="I78" s="13" t="s">
        <v>564</v>
      </c>
      <c r="J78" s="11" t="s">
        <v>449</v>
      </c>
      <c r="K78" s="11" t="s">
        <v>553</v>
      </c>
      <c r="L78" s="16">
        <v>1249000</v>
      </c>
    </row>
    <row r="79" spans="1:12" ht="30" x14ac:dyDescent="0.25">
      <c r="A79" s="36">
        <v>6</v>
      </c>
      <c r="B79" s="11" t="s">
        <v>96</v>
      </c>
      <c r="C79" s="11" t="s">
        <v>559</v>
      </c>
      <c r="D79" s="30" t="s">
        <v>467</v>
      </c>
      <c r="E79" s="16">
        <v>84800</v>
      </c>
      <c r="F79" s="11" t="s">
        <v>336</v>
      </c>
      <c r="G79" s="11" t="s">
        <v>465</v>
      </c>
      <c r="H79" s="22">
        <v>45658</v>
      </c>
      <c r="I79" s="13" t="s">
        <v>586</v>
      </c>
      <c r="J79" s="11" t="s">
        <v>468</v>
      </c>
      <c r="K79" s="11"/>
      <c r="L79" s="16"/>
    </row>
    <row r="80" spans="1:12" ht="45" x14ac:dyDescent="0.25">
      <c r="A80" s="36">
        <v>7</v>
      </c>
      <c r="B80" s="11" t="s">
        <v>96</v>
      </c>
      <c r="C80" s="11" t="s">
        <v>559</v>
      </c>
      <c r="D80" s="30" t="s">
        <v>479</v>
      </c>
      <c r="E80" s="16">
        <v>4466250</v>
      </c>
      <c r="F80" s="11" t="s">
        <v>336</v>
      </c>
      <c r="G80" s="11" t="s">
        <v>85</v>
      </c>
      <c r="H80" s="22">
        <v>45658</v>
      </c>
      <c r="I80" s="13" t="s">
        <v>586</v>
      </c>
      <c r="J80" s="11" t="s">
        <v>241</v>
      </c>
      <c r="K80" s="11"/>
      <c r="L80" s="16"/>
    </row>
    <row r="81" spans="1:12" x14ac:dyDescent="0.25">
      <c r="A81" s="124" t="s">
        <v>183</v>
      </c>
      <c r="B81" s="125"/>
      <c r="C81" s="125"/>
      <c r="D81" s="126"/>
      <c r="E81" s="18">
        <f>E74+E75+E77+E78+E79+E80</f>
        <v>9350750</v>
      </c>
      <c r="F81" s="11"/>
      <c r="G81" s="17"/>
      <c r="H81" s="17"/>
      <c r="I81" s="11"/>
      <c r="J81" s="11"/>
      <c r="K81" s="16"/>
      <c r="L81" s="16"/>
    </row>
    <row r="82" spans="1:12" ht="22.5" customHeight="1" x14ac:dyDescent="0.25">
      <c r="A82" s="127" t="s">
        <v>161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</row>
    <row r="83" spans="1:12" ht="84.75" customHeight="1" x14ac:dyDescent="0.25">
      <c r="A83" s="11">
        <v>1</v>
      </c>
      <c r="B83" s="11" t="s">
        <v>161</v>
      </c>
      <c r="C83" s="11" t="s">
        <v>559</v>
      </c>
      <c r="D83" s="11" t="s">
        <v>162</v>
      </c>
      <c r="E83" s="16">
        <v>1614450</v>
      </c>
      <c r="F83" s="11" t="s">
        <v>163</v>
      </c>
      <c r="G83" s="11" t="s">
        <v>127</v>
      </c>
      <c r="H83" s="11">
        <v>2023</v>
      </c>
      <c r="I83" s="11">
        <v>2024</v>
      </c>
      <c r="J83" s="11"/>
      <c r="K83" s="11"/>
      <c r="L83" s="16"/>
    </row>
    <row r="84" spans="1:12" ht="26.25" customHeight="1" x14ac:dyDescent="0.25">
      <c r="A84" s="127" t="s">
        <v>425</v>
      </c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</row>
    <row r="85" spans="1:12" ht="45" x14ac:dyDescent="0.25">
      <c r="A85" s="81">
        <v>1</v>
      </c>
      <c r="B85" s="81" t="s">
        <v>425</v>
      </c>
      <c r="C85" s="11" t="s">
        <v>559</v>
      </c>
      <c r="D85" s="81" t="s">
        <v>426</v>
      </c>
      <c r="E85" s="82">
        <v>201000</v>
      </c>
      <c r="F85" s="81" t="s">
        <v>427</v>
      </c>
      <c r="G85" s="81" t="s">
        <v>93</v>
      </c>
      <c r="H85" s="112">
        <v>45717</v>
      </c>
      <c r="I85" s="112">
        <v>45777</v>
      </c>
      <c r="J85" s="81" t="s">
        <v>423</v>
      </c>
      <c r="K85" s="81"/>
      <c r="L85" s="82"/>
    </row>
    <row r="86" spans="1:12" ht="45" x14ac:dyDescent="0.25">
      <c r="A86" s="81">
        <v>2</v>
      </c>
      <c r="B86" s="81" t="s">
        <v>425</v>
      </c>
      <c r="C86" s="11" t="s">
        <v>559</v>
      </c>
      <c r="D86" s="81" t="s">
        <v>428</v>
      </c>
      <c r="E86" s="82">
        <v>534000</v>
      </c>
      <c r="F86" s="81" t="s">
        <v>427</v>
      </c>
      <c r="G86" s="81" t="s">
        <v>93</v>
      </c>
      <c r="H86" s="112">
        <v>45748</v>
      </c>
      <c r="I86" s="112">
        <v>45808</v>
      </c>
      <c r="J86" s="83" t="s">
        <v>429</v>
      </c>
      <c r="K86" s="81"/>
      <c r="L86" s="82"/>
    </row>
    <row r="87" spans="1:12" ht="45" x14ac:dyDescent="0.25">
      <c r="A87" s="81">
        <v>3</v>
      </c>
      <c r="B87" s="81" t="s">
        <v>425</v>
      </c>
      <c r="C87" s="11" t="s">
        <v>559</v>
      </c>
      <c r="D87" s="93" t="s">
        <v>481</v>
      </c>
      <c r="E87" s="82">
        <v>2605500</v>
      </c>
      <c r="F87" s="81" t="s">
        <v>427</v>
      </c>
      <c r="G87" s="93" t="s">
        <v>482</v>
      </c>
      <c r="H87" s="113">
        <v>45748</v>
      </c>
      <c r="I87" s="113">
        <v>45838</v>
      </c>
      <c r="J87" s="93" t="s">
        <v>429</v>
      </c>
      <c r="K87" s="81"/>
      <c r="L87" s="82"/>
    </row>
    <row r="92" spans="1:12" x14ac:dyDescent="0.25">
      <c r="E92" s="14"/>
    </row>
  </sheetData>
  <autoFilter ref="A11:L87" xr:uid="{FBD86C62-6D0D-49CF-91FD-09CF6553433C}"/>
  <mergeCells count="9">
    <mergeCell ref="A81:D81"/>
    <mergeCell ref="A84:L84"/>
    <mergeCell ref="A73:L73"/>
    <mergeCell ref="A82:L82"/>
    <mergeCell ref="A1:L1"/>
    <mergeCell ref="A3:L3"/>
    <mergeCell ref="A6:L6"/>
    <mergeCell ref="A10:L10"/>
    <mergeCell ref="A56:L56"/>
  </mergeCells>
  <phoneticPr fontId="14" type="noConversion"/>
  <pageMargins left="0.25" right="0.25" top="0.75" bottom="0.75" header="0.3" footer="0.3"/>
  <pageSetup paperSize="9" scale="6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РИ-ТРАНС вх. претензии</vt:lpstr>
      <vt:lpstr>Претензии исх. РИ-ТРАНС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Красильникова Наталья Константиновна</dc:creator>
  <cp:lastModifiedBy>Гетмоненко Полина Дмитриевна</cp:lastModifiedBy>
  <cp:lastPrinted>2025-12-30T09:32:45Z</cp:lastPrinted>
  <dcterms:created xsi:type="dcterms:W3CDTF">2015-06-05T18:19:34Z</dcterms:created>
  <dcterms:modified xsi:type="dcterms:W3CDTF">2026-04-28T05:27:08Z</dcterms:modified>
</cp:coreProperties>
</file>