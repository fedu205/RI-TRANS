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tmonenko_p\Desktop\Полина\ЛИС\"/>
    </mc:Choice>
  </mc:AlternateContent>
  <xr:revisionPtr revIDLastSave="0" documentId="13_ncr:1_{BA866FA3-F737-4CFA-B267-DF8D3F199DE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РИ-ТРАНС вх. претензии" sheetId="1" r:id="rId1"/>
    <sheet name="Претензии исх. РИ-ТРАНС" sheetId="8" r:id="rId2"/>
  </sheets>
  <definedNames>
    <definedName name="_xlnm._FilterDatabase" localSheetId="1" hidden="1">'Претензии исх. РИ-ТРАНС'!$A$11:$K$87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8" l="1"/>
  <c r="D171" i="1" l="1"/>
  <c r="D65" i="1"/>
  <c r="H28" i="1" l="1"/>
  <c r="H64" i="1"/>
  <c r="H120" i="1"/>
  <c r="H122" i="1"/>
  <c r="D161" i="1" l="1"/>
  <c r="D157" i="1"/>
  <c r="D28" i="1"/>
  <c r="K17" i="8" l="1"/>
</calcChain>
</file>

<file path=xl/sharedStrings.xml><?xml version="1.0" encoding="utf-8"?>
<sst xmlns="http://schemas.openxmlformats.org/spreadsheetml/2006/main" count="1309" uniqueCount="799">
  <si>
    <t>№ п/п</t>
  </si>
  <si>
    <t>Погашено</t>
  </si>
  <si>
    <t>Период простоя</t>
  </si>
  <si>
    <t>Реквизиты п/п об оплате претензии</t>
  </si>
  <si>
    <t>01.01.2024-31.03.2024</t>
  </si>
  <si>
    <t>февраль-март 2023</t>
  </si>
  <si>
    <t>февраль-март 2024</t>
  </si>
  <si>
    <t>март-апрель 2024</t>
  </si>
  <si>
    <t>июль-август 2022</t>
  </si>
  <si>
    <t>декабрь 2023- апрель 2024</t>
  </si>
  <si>
    <t>ноябрь 2023</t>
  </si>
  <si>
    <t xml:space="preserve">№25-СО от 04.04.2024 </t>
  </si>
  <si>
    <t>№23-СО от 15.04.2024</t>
  </si>
  <si>
    <t xml:space="preserve">№31-СО от 25.04.2024 </t>
  </si>
  <si>
    <t>№12-СО от 09.06.2023</t>
  </si>
  <si>
    <t>№3-СО от 26.04.2023</t>
  </si>
  <si>
    <t>№1-СО от 16.01.2024</t>
  </si>
  <si>
    <t>№24-СО от 15.04.2024
 №41-CО от 27.05.2024</t>
  </si>
  <si>
    <t>№04/24-1538 от 09.04.2024</t>
  </si>
  <si>
    <t>№19-СО от 10.04.2024</t>
  </si>
  <si>
    <t>№21-СО от 10.04.2024</t>
  </si>
  <si>
    <t>№20-СО от 10.04.2024</t>
  </si>
  <si>
    <t>№04/24-1537 от 09.04.2024</t>
  </si>
  <si>
    <t>№35-СО от 03.05.2024</t>
  </si>
  <si>
    <t>31.03.2024- 14.04.2024</t>
  </si>
  <si>
    <t>апрель 2024</t>
  </si>
  <si>
    <t>декабрь 2022</t>
  </si>
  <si>
    <t>№ГК000305008 от 03.05.2024</t>
  </si>
  <si>
    <t>Номер и дата письма / претензии (исх.)</t>
  </si>
  <si>
    <t>Дата и рег. номер претензии (вх.)</t>
  </si>
  <si>
    <t>январь - 
февраль 2024</t>
  </si>
  <si>
    <t>март 2024</t>
  </si>
  <si>
    <t>декабрь 2023</t>
  </si>
  <si>
    <t>январь 2024</t>
  </si>
  <si>
    <t>февраль 2024</t>
  </si>
  <si>
    <t>ноябрь-декабрь 2023</t>
  </si>
  <si>
    <t>январь,
февраль, 
март 2024</t>
  </si>
  <si>
    <t>№ 84/ЭТГ/24 от 12.02.2024</t>
  </si>
  <si>
    <t>№ 25/ЭТГ/24 от 17.01.2024</t>
  </si>
  <si>
    <t xml:space="preserve"> № 53/ЭТГ/24 от 29.01.2024</t>
  </si>
  <si>
    <t xml:space="preserve"> № 153/ЭТГ/24 от 15.03.2024</t>
  </si>
  <si>
    <t>№ 226/ЭТГ/24 от 12.04.2024</t>
  </si>
  <si>
    <t xml:space="preserve"> № 225/ЭТГ/24 от 12.04.2024</t>
  </si>
  <si>
    <t xml:space="preserve"> №415-П/23 от 21.12.2023</t>
  </si>
  <si>
    <t>№117 от 13.04.2023</t>
  </si>
  <si>
    <t>№139П/23 от 04.05.2023</t>
  </si>
  <si>
    <t>№108/ЭТГ/24 от 22.02.2024</t>
  </si>
  <si>
    <t xml:space="preserve"> №297/ЭТГ/24 от 15.05.2024</t>
  </si>
  <si>
    <t>№296/ЭТГ/24 от 15.05.2024</t>
  </si>
  <si>
    <t>№258/ЭТГ/24 от 23.04.2024</t>
  </si>
  <si>
    <t>№333/ЭТГ/24 от 23.05.2024</t>
  </si>
  <si>
    <t>№297/ЭТГ/24 от 29.05.2024</t>
  </si>
  <si>
    <t xml:space="preserve"> №371/ЭТГ/24 от 05.06.2024</t>
  </si>
  <si>
    <t>№372/ЭТГ/24 от 05.06.2024</t>
  </si>
  <si>
    <t>При погрузке / выгрузке</t>
  </si>
  <si>
    <t>погрузка</t>
  </si>
  <si>
    <t>май 2024</t>
  </si>
  <si>
    <t>№56-СО от 27.06.2024</t>
  </si>
  <si>
    <t>№39-СО от 23.05.2024</t>
  </si>
  <si>
    <t>№40-СО от 24.05.2024</t>
  </si>
  <si>
    <t>№35-СО от 15.05.2024, а также №43-СО от 27.05.2024</t>
  </si>
  <si>
    <t>№37-СО от 15.05.2024</t>
  </si>
  <si>
    <t>№407/ЭТГ/24 от 26.06.2024</t>
  </si>
  <si>
    <t>№408/ЭТГ/24 от 26.06.2024</t>
  </si>
  <si>
    <t>№55-СО от 27.06.2024</t>
  </si>
  <si>
    <t>№ГК002506002 от 25.06.2024</t>
  </si>
  <si>
    <t>№51-СО от 25.06.2024</t>
  </si>
  <si>
    <t>11.04.2024 - 19.06.2024</t>
  </si>
  <si>
    <t>выгрузка</t>
  </si>
  <si>
    <t>№ГК002506001 от 25.06.2024</t>
  </si>
  <si>
    <t>№52-СО от 25.06.2024</t>
  </si>
  <si>
    <t>08.05.2024 - 17.06.2024</t>
  </si>
  <si>
    <t>выгрузка (Ишаново)</t>
  </si>
  <si>
    <t>выгрузка (Новочугевка)</t>
  </si>
  <si>
    <t>№200 от 27.06.2024</t>
  </si>
  <si>
    <t>№53-СО от 27.06.2024</t>
  </si>
  <si>
    <t>№201 от 27.06.2024</t>
  </si>
  <si>
    <t>№54-СО от 27.06.2024</t>
  </si>
  <si>
    <t>январь-май 2024</t>
  </si>
  <si>
    <t>№ГК000107018 от 01.07.2024</t>
  </si>
  <si>
    <t>02.06.2024 по 26.06.2024</t>
  </si>
  <si>
    <t>Претензии и письма от ООО "ГК Вагонсервис" по договору №ГКВС-116/2022 от 01.07.2022</t>
  </si>
  <si>
    <t>Претензии и письма от  АО "НефтеТрансСервис" по договору №1-04-77-НТС/21 от 20.09.2021</t>
  </si>
  <si>
    <t>Претензии и письма от РТС ТОО  по договору №2023/РТСО-223 от 15.02.2023</t>
  </si>
  <si>
    <t>Претензии и письма от ООО "БалтТрансСервис" по договору №БТСк-133-22-094 от 10.03.2022</t>
  </si>
  <si>
    <t xml:space="preserve">Претензии и письма от ООО "Энерготрансгрупп" по договору № РИТ-22-1-140 от 14.03.2022 </t>
  </si>
  <si>
    <t>Претензии и письма от  ООО "АС Сервис" по договору №ТЭУ-20221201  от 01.12.2022</t>
  </si>
  <si>
    <t>Претензии и письма от ООО "Газпромтранс" по договору №2200232 от 16.05.2024</t>
  </si>
  <si>
    <t>№47-СО от 07.06.2024</t>
  </si>
  <si>
    <t>04.12.2023-12.12.2023</t>
  </si>
  <si>
    <t>выгрузка (Войновка-Авчала)</t>
  </si>
  <si>
    <t>№10/09-03-042024/69707 от 16.05.2024</t>
  </si>
  <si>
    <t>погрузка 
1088550,00
979900,00
1736350,00</t>
  </si>
  <si>
    <t>выгрузка
4370600,00
4167650,00
4696550,00</t>
  </si>
  <si>
    <t>№60-СО от 02.07.2024</t>
  </si>
  <si>
    <t>25.01.2023- 22.02.2023</t>
  </si>
  <si>
    <t xml:space="preserve"> - </t>
  </si>
  <si>
    <t>погрузка 574200,00/выгрузка 1100,00</t>
  </si>
  <si>
    <t>погрузка 909700,00/ выгрузка 261800,00</t>
  </si>
  <si>
    <t>№61-СО от 02.07.2024</t>
  </si>
  <si>
    <t>№ГК000507005 от 05.07.2024</t>
  </si>
  <si>
    <t>10.06.2024 по 30.06.2024</t>
  </si>
  <si>
    <t>№66-СО от 05.07.2024</t>
  </si>
  <si>
    <t>№64-СО от 02.07.2024</t>
  </si>
  <si>
    <t xml:space="preserve">выгрузка </t>
  </si>
  <si>
    <t>№65-СО от 02.07.2024</t>
  </si>
  <si>
    <t>за пределами РФ</t>
  </si>
  <si>
    <t xml:space="preserve"> №379 от 10.07.2024</t>
  </si>
  <si>
    <t>№ 365 от 05.07.2024</t>
  </si>
  <si>
    <t>№ 364 от 05.07.2024</t>
  </si>
  <si>
    <t>12000</t>
  </si>
  <si>
    <t>№372 от 10.07.2024</t>
  </si>
  <si>
    <t>№371 от 10.07.2024</t>
  </si>
  <si>
    <t>№374 от 10.07.2024</t>
  </si>
  <si>
    <t>№368 от 10.07.2024</t>
  </si>
  <si>
    <t>№375 от 10.07.2024</t>
  </si>
  <si>
    <t>№370 от 10.07.2024</t>
  </si>
  <si>
    <t>№369 от 10.07.2024</t>
  </si>
  <si>
    <t>№468/ЭТГ/24 от 16.07.2024</t>
  </si>
  <si>
    <t>№71-СО от 16.07.2024</t>
  </si>
  <si>
    <t>январь -май 2024</t>
  </si>
  <si>
    <t xml:space="preserve">за пределами РФ </t>
  </si>
  <si>
    <t>№464/ЭТГ/24 от 16.07.2024</t>
  </si>
  <si>
    <t>№70-СО от 16.07.2024</t>
  </si>
  <si>
    <t>декабрь-апрель 2024</t>
  </si>
  <si>
    <t>№п/п</t>
  </si>
  <si>
    <t>выгрузка 6223800 / выгрузка интер 612950</t>
  </si>
  <si>
    <t>при отправлении</t>
  </si>
  <si>
    <t>под выгрузкой</t>
  </si>
  <si>
    <t>№ГК001607001 от 16.07.2024</t>
  </si>
  <si>
    <t>№68-СО от 16.07.2024</t>
  </si>
  <si>
    <t>июнь 2024</t>
  </si>
  <si>
    <t>№ГК000208009 от 02.08.2024</t>
  </si>
  <si>
    <t>№79-СО от 02.08.2024</t>
  </si>
  <si>
    <t>с 30.06.2024 по 30.07.2024</t>
  </si>
  <si>
    <t>погрузка (Тюмень-Северная-Новочугуевка)</t>
  </si>
  <si>
    <t>№535/ЭТГ/24 от 05.08.2024</t>
  </si>
  <si>
    <t>погрузука</t>
  </si>
  <si>
    <t>№549/ЭТГ/24 от 07.08.2024</t>
  </si>
  <si>
    <t>№249 от 05.08.2024</t>
  </si>
  <si>
    <t>№83-СО от 07.08.2024</t>
  </si>
  <si>
    <t>июнь-июль 2024</t>
  </si>
  <si>
    <t>выгрузка 7377950/ выгрузка за пределами РФ</t>
  </si>
  <si>
    <t>погрузка 32400/выгрузка 904500</t>
  </si>
  <si>
    <t>выгрузка 9432050/
ин.тер 986050/
погрузка 2470250</t>
  </si>
  <si>
    <t>№ГК002708009 от 27.08.2024</t>
  </si>
  <si>
    <t>№93-СО от 27.08.2024</t>
  </si>
  <si>
    <t>с 09.07.2024 по 19.08.2024</t>
  </si>
  <si>
    <t>№ГК002708008 от 27.08.2024</t>
  </si>
  <si>
    <t>№92-СО от 27.08.2024</t>
  </si>
  <si>
    <t>с 29.07.2024 по 10.08.2024</t>
  </si>
  <si>
    <t>погрузка (Тюмень-Северная - Войновка)</t>
  </si>
  <si>
    <t>исх. № 708017 от 27.08.2024</t>
  </si>
  <si>
    <t>№94-СО от 28.08.2024</t>
  </si>
  <si>
    <t>с 12.08.2024 по 17.08.2024</t>
  </si>
  <si>
    <t>№90-СО от 27.08.2024</t>
  </si>
  <si>
    <t>№91-СО от 27.08.2024</t>
  </si>
  <si>
    <t>вырузка (Новочугевка)</t>
  </si>
  <si>
    <t>задержка вагонов в пути следования</t>
  </si>
  <si>
    <t>Претензии и письма от ООО "Урал Логистика" по договору №424/2024 от 23.08.2024</t>
  </si>
  <si>
    <t>Вагонсервис</t>
  </si>
  <si>
    <t>убытки (перевыставление штрафа)</t>
  </si>
  <si>
    <t>Наименование контрагента</t>
  </si>
  <si>
    <t>Номер претензии, дата</t>
  </si>
  <si>
    <t>Сумма требований</t>
  </si>
  <si>
    <t>Договор (номер, дата)</t>
  </si>
  <si>
    <t>Предмет требований</t>
  </si>
  <si>
    <t>Период требования</t>
  </si>
  <si>
    <t>ООО "РИ-ИНВЕСТ"</t>
  </si>
  <si>
    <t>№1 от 01.10.2021</t>
  </si>
  <si>
    <t>штраф</t>
  </si>
  <si>
    <t>12.2023-06.2024</t>
  </si>
  <si>
    <t>ООО "Балчуг-Петролеум"</t>
  </si>
  <si>
    <t>№27 от 01.08.2024</t>
  </si>
  <si>
    <t>10.2023-05.2024</t>
  </si>
  <si>
    <t xml:space="preserve">ООО "АМЕТ" </t>
  </si>
  <si>
    <t>№28 от 06.08.2024</t>
  </si>
  <si>
    <t>№20230101-1 от 01.01.2023</t>
  </si>
  <si>
    <t>12.2023-04.2024</t>
  </si>
  <si>
    <t>перевыставление от БТС, ЭТГ</t>
  </si>
  <si>
    <t>штрафы получены от Вагонсервис, ЭТГ, Газпромтранс, АС Сервис</t>
  </si>
  <si>
    <t>Данные об оплате</t>
  </si>
  <si>
    <t>№29 от 06.08.2024</t>
  </si>
  <si>
    <t>Комментарии (данные об операторе)</t>
  </si>
  <si>
    <t>ООО "АС Сервис"</t>
  </si>
  <si>
    <t>№38 от 09.09.2024</t>
  </si>
  <si>
    <t>№30 АС-Э22 от 01.06.2022</t>
  </si>
  <si>
    <t>НефтеТрансСервис</t>
  </si>
  <si>
    <t>ООО "ТТК"</t>
  </si>
  <si>
    <t>№37 от 09.09.2024</t>
  </si>
  <si>
    <t>ноябрь, декабрь 2023</t>
  </si>
  <si>
    <t>июнь-август 2024</t>
  </si>
  <si>
    <t>штрафы получены от Вагонсервис, ЭТГ, АС Сервис</t>
  </si>
  <si>
    <t>№39 от 12.09.2024</t>
  </si>
  <si>
    <t>Претензии от ООО "РИ-ТРАНС"</t>
  </si>
  <si>
    <t>№2940/ИП-НТС от 08.08.2024</t>
  </si>
  <si>
    <t>убытки (повреждение вагона)</t>
  </si>
  <si>
    <t>№21 от 05.07.2024</t>
  </si>
  <si>
    <t>№22 от 05.07.2024</t>
  </si>
  <si>
    <t>№8 от 07.05.2024, №20 от 25.06.2024</t>
  </si>
  <si>
    <t>№01/41 (2022)/ 01/03-2022ТЭО от 01.03.2022</t>
  </si>
  <si>
    <t>июль, август, декабрь 2022</t>
  </si>
  <si>
    <t>01.2023-10.2023 (кроме июля 2023)</t>
  </si>
  <si>
    <t>№ГК001509016 от 15.09.2024</t>
  </si>
  <si>
    <t>20.08.2024-02.09.2024</t>
  </si>
  <si>
    <t>№107-со от 17.09.2024</t>
  </si>
  <si>
    <t>23.08.2024-09.09.2024</t>
  </si>
  <si>
    <t>18.08.2024-02.09.2024</t>
  </si>
  <si>
    <t>№105-со от 19.09.2024</t>
  </si>
  <si>
    <t>№ГК001609014 от 16.09.2024</t>
  </si>
  <si>
    <t>№ГК001609003 от 16.09.2024</t>
  </si>
  <si>
    <t>№3235/ИП-НТС от 03.09.2024</t>
  </si>
  <si>
    <t>№103-со от 17.09.2024</t>
  </si>
  <si>
    <t>выгрузка/ин.территории</t>
  </si>
  <si>
    <t>неосновательное обогащение</t>
  </si>
  <si>
    <t>№10/09-03-072024/71615 от 22.08.2024</t>
  </si>
  <si>
    <t>№109-со от 24.09.2024</t>
  </si>
  <si>
    <t>№49 от 27.09.2024</t>
  </si>
  <si>
    <t>декабрь 2023 - август 2024</t>
  </si>
  <si>
    <t>НТС (иностранные территории)</t>
  </si>
  <si>
    <t>№1862/ИП-НТС от 19.04.2024, №2234/ИП-НТС от 30.05.2024, №2486/ИП-НТС от 27.06.2024</t>
  </si>
  <si>
    <t>июль 2024</t>
  </si>
  <si>
    <t>№22-СО от 11.04.2024, 
№44-СО от 30.05.2024</t>
  </si>
  <si>
    <t>№1764/ИП-НТС от 08.04.2024,
№ 10852 от 14.05.2024</t>
  </si>
  <si>
    <t>№3026/ИП-НТС от 16.08.2024, ПРЕТЕНЗИЯ №11416 от 30.08.2024</t>
  </si>
  <si>
    <t>№86-СО от 21.08.2024, №100-со от 06.09.2024</t>
  </si>
  <si>
    <t xml:space="preserve"> №2659/ИП-НТС от 10.07.2024, ПРЕТЕНЗИЯ №11415 от 28.08.2024</t>
  </si>
  <si>
    <t>№72-СО от 17.07.2024, №97-СО от 03.09.2024</t>
  </si>
  <si>
    <t>январь-июнь и август-октябрь 2023</t>
  </si>
  <si>
    <t>№2207/ИП-НТС от 29.05.2024, №3087/ИП-НТС от 22.08.2024, №11179 от 18.07.2024</t>
  </si>
  <si>
    <t>№2343-ИП/НТС от 13.06.2024, №11179 от 18.07.2024</t>
  </si>
  <si>
    <t>№2469/ИП-НТС от 26.06.2024, №2696/ИП-НТС от 16.07.2024 корректировка, №11179 от 18.07.2024</t>
  </si>
  <si>
    <t>№57-СО от 27.06.2024, №78-СО от 30.07.2024</t>
  </si>
  <si>
    <t>№63-СО от 02.07.2024, №73-СО от 17.07.2024, №78-СО от 30.07.2024</t>
  </si>
  <si>
    <t>№89-СО от 23.08.2024, №78-СО от 30.07.2024</t>
  </si>
  <si>
    <t>№517 от 25.09.2024</t>
  </si>
  <si>
    <t>№ГК003009004 от 30.09.2024</t>
  </si>
  <si>
    <t>№113-СО от 01.10.2024</t>
  </si>
  <si>
    <t>с 29.08.2024 по 18.09.2024</t>
  </si>
  <si>
    <t>№ГК002709006 от 27.09.2024</t>
  </si>
  <si>
    <t>№111-СО от 27.09.2024</t>
  </si>
  <si>
    <t>с 05.07.2024 по 15.09.2024</t>
  </si>
  <si>
    <t xml:space="preserve">погрузка </t>
  </si>
  <si>
    <t>№66 от 30.10.2024</t>
  </si>
  <si>
    <t>06.2024-09.2024</t>
  </si>
  <si>
    <t>Вагонсервис, Газпромтранс (погрузка / выгрузка)</t>
  </si>
  <si>
    <t>№11723 от 29.10.2024</t>
  </si>
  <si>
    <t>№136-со от 18.11.2024</t>
  </si>
  <si>
    <t>июль -август 2024</t>
  </si>
  <si>
    <t>№10/24-4547 от 10.10.2024</t>
  </si>
  <si>
    <t>№126-со от 21.10.2024</t>
  </si>
  <si>
    <t>01.07.2024-30.09.2024</t>
  </si>
  <si>
    <t>№10/24-4548 от 10.10.2024</t>
  </si>
  <si>
    <t>№124-со от 21.10.2024</t>
  </si>
  <si>
    <t>01.04.2024-30.06.2024</t>
  </si>
  <si>
    <t>№125-со от 21.10.2024</t>
  </si>
  <si>
    <t>№10/24-4550 от 10.10.2024</t>
  </si>
  <si>
    <t>№10/24-4546 от 10.10.2024</t>
  </si>
  <si>
    <t>№127-со от 21.10.2024</t>
  </si>
  <si>
    <t>№11/24-5052 от 12.11.2024</t>
  </si>
  <si>
    <t>№ГК001510010 от 15.10.2024</t>
  </si>
  <si>
    <t>№123-со от 21.10.2024</t>
  </si>
  <si>
    <t>с 24.09.2024-09.10.2024</t>
  </si>
  <si>
    <t>№ГК000211007 от 02.11.2024</t>
  </si>
  <si>
    <t>№131-со от 06.11.2024</t>
  </si>
  <si>
    <t>с 30.09.2024-15.10.2024</t>
  </si>
  <si>
    <t>№ГК002611011 от 26.11.2024</t>
  </si>
  <si>
    <t>№139-со от 27.11.2024</t>
  </si>
  <si>
    <t>с 03.08.2024-17.11.2024</t>
  </si>
  <si>
    <t>№ГК002611012 от 26.11.2024</t>
  </si>
  <si>
    <t>№140-со от 27.11.2024</t>
  </si>
  <si>
    <t>с 04.11.2024-13.11.2024</t>
  </si>
  <si>
    <t>№126 от 17.12.2024</t>
  </si>
  <si>
    <t>09.2024-11.2024</t>
  </si>
  <si>
    <t>Вагонсервис (погрузка)</t>
  </si>
  <si>
    <t>ООО "ЭнергоТрансГрупп"</t>
  </si>
  <si>
    <t>№116 от 10.12.2024</t>
  </si>
  <si>
    <t>№ РИТ-22-1-140 от 14.03.2022</t>
  </si>
  <si>
    <t>№ГК000612013 от 06.12.2024</t>
  </si>
  <si>
    <t xml:space="preserve">№ГК000612014 от 06.12.2024 </t>
  </si>
  <si>
    <t>№149-со от 13.12.2024</t>
  </si>
  <si>
    <t>№148-со от 13.12.2024</t>
  </si>
  <si>
    <t>с 02.11.2024-30.11.2024</t>
  </si>
  <si>
    <t>с 17.11.2024-28.11.2024</t>
  </si>
  <si>
    <t>№6-со от 23.01.2025</t>
  </si>
  <si>
    <t>с 07.11.2024-22.12.2024</t>
  </si>
  <si>
    <t>№ГК001501010 от 16.01.2025</t>
  </si>
  <si>
    <t>№ГК001501011 от 16.01.2025</t>
  </si>
  <si>
    <t>№5-со от 23.01.2025</t>
  </si>
  <si>
    <t>с 22.11.2024-19.12.2024</t>
  </si>
  <si>
    <t>№4-со от 20.01.2025</t>
  </si>
  <si>
    <t>от-04.2024-30.06.2024</t>
  </si>
  <si>
    <t>Счет №1063 от 16.12.2024</t>
  </si>
  <si>
    <t>погрузка/выгрузка</t>
  </si>
  <si>
    <t>УЛ-П/19/2025 от 29.01.2025</t>
  </si>
  <si>
    <t>20-со от 11.02.2025</t>
  </si>
  <si>
    <t>октябрь-ноябрь 2024</t>
  </si>
  <si>
    <t>№12071 от 14.02.2025</t>
  </si>
  <si>
    <t>№26-со от 21.02.2025</t>
  </si>
  <si>
    <t>февраль-декабрь 2024</t>
  </si>
  <si>
    <t>бросание</t>
  </si>
  <si>
    <t>№12075 от 18.02.25</t>
  </si>
  <si>
    <t>погрузка/выгрузка/ин.тер</t>
  </si>
  <si>
    <t>№29-со от 26.02.25</t>
  </si>
  <si>
    <t>Итого:</t>
  </si>
  <si>
    <t>Претензии и письма от ООО "РТС-Транс" по договору №Д-159 от 02.12.2024</t>
  </si>
  <si>
    <t>№125/25 от 06.03.2025</t>
  </si>
  <si>
    <t>№38-со от 07.03.2025</t>
  </si>
  <si>
    <t>Выгрузка</t>
  </si>
  <si>
    <t>№124/25 от 06.03.2025</t>
  </si>
  <si>
    <t>№39-со от 07.03.2025</t>
  </si>
  <si>
    <t>Январь 2025</t>
  </si>
  <si>
    <t>Декабрь 2025</t>
  </si>
  <si>
    <t>№УЛ-П/146/2024 от 05.12.2024</t>
  </si>
  <si>
    <t>154-со от 24.12.2024</t>
  </si>
  <si>
    <t>октябрь 2024</t>
  </si>
  <si>
    <t>ООО "АМЕТ"</t>
  </si>
  <si>
    <t>№47 от 07.03.2025</t>
  </si>
  <si>
    <t>30.11.2024-27.01.2025; 18.01.2025-25.02.2025; 22.11.2024-19.12.2024; 07.11.2024-22.12.2024; 21.12.2024-28.01.2025; 28.01.2025-21.02.2025; ноябрь 2024</t>
  </si>
  <si>
    <t>№27 от 11.02.2025</t>
  </si>
  <si>
    <t>Кузбасс-Энерготранс</t>
  </si>
  <si>
    <t>№26 от 19.07.2024</t>
  </si>
  <si>
    <t>декабрь-июнь 2024</t>
  </si>
  <si>
    <t>п/п №1935 от 04.03.2025</t>
  </si>
  <si>
    <t>Сумма оплаты</t>
  </si>
  <si>
    <t>п/п №241 от 30.01.2025</t>
  </si>
  <si>
    <t>п/п №540 от 24.01.2025</t>
  </si>
  <si>
    <t>п/п №539 от 24.01.2025</t>
  </si>
  <si>
    <t>п/п №7869 от 23.09.2024</t>
  </si>
  <si>
    <t>п/п №9975 от 18.11.2024, №9946 от 15.11.2024</t>
  </si>
  <si>
    <t>п/п №9945 от 15.11.2024</t>
  </si>
  <si>
    <t>п/п №9944 от 15.11.2024</t>
  </si>
  <si>
    <t>п/п №251 от 08.10.2024</t>
  </si>
  <si>
    <t>№913/ИП-НТС от 12.03.2025</t>
  </si>
  <si>
    <t>№44-со от 13.03.2025</t>
  </si>
  <si>
    <t>выгрузка/погрузка/ин.тер.</t>
  </si>
  <si>
    <t>№777/ИП-НТС от 03.03.2025</t>
  </si>
  <si>
    <t>№40-со от 07.03.2025</t>
  </si>
  <si>
    <t>ноябрь 2024</t>
  </si>
  <si>
    <t>№171/ИП-НТС от 20.01.2025</t>
  </si>
  <si>
    <t>№15-со от 31.01.2025</t>
  </si>
  <si>
    <t>№800/ИП-НТС от 05.03.2025</t>
  </si>
  <si>
    <t>№42-со от 07.03.2025</t>
  </si>
  <si>
    <t>№34 от 17.02.2025</t>
  </si>
  <si>
    <t>декабрь 2024-январь 2025</t>
  </si>
  <si>
    <t>№02/25-896 от 27.02.2025</t>
  </si>
  <si>
    <t>№32-со от 04.03.2025</t>
  </si>
  <si>
    <t>01.10.2024-31.12.2024</t>
  </si>
  <si>
    <t>ин.тер</t>
  </si>
  <si>
    <t>№02/25-895 от 27.02.2025</t>
  </si>
  <si>
    <t>№33-со от 04.03.2025</t>
  </si>
  <si>
    <t>№02/25-874 от 26.02.2025</t>
  </si>
  <si>
    <t>№30-со от 26.02.2025</t>
  </si>
  <si>
    <t>01.10.2024-31.12.2025</t>
  </si>
  <si>
    <t>№45 от 05.03.2025</t>
  </si>
  <si>
    <t>п/п №767 от 20.03.2025</t>
  </si>
  <si>
    <t>п/п №2483 от 21.03.2025</t>
  </si>
  <si>
    <t>п/п №2482 от 21.03.2025</t>
  </si>
  <si>
    <t>№132-со от 14.11.2024</t>
  </si>
  <si>
    <t>№20 от 14.02.2025</t>
  </si>
  <si>
    <t>декабрь 2024 - февраль 2025</t>
  </si>
  <si>
    <t>№51-со от 01.04.2025</t>
  </si>
  <si>
    <t>№334/45 от 28.03.2025</t>
  </si>
  <si>
    <t>декабрь 2023-март 2024</t>
  </si>
  <si>
    <t>Выгрузка ин.тер.</t>
  </si>
  <si>
    <t>№71 от 26.03.2025</t>
  </si>
  <si>
    <t>апрель, июль, август 2024</t>
  </si>
  <si>
    <t>плата (представлены акты и накопительные ведомости)</t>
  </si>
  <si>
    <t>штрафы получены от НТС</t>
  </si>
  <si>
    <t>штрафы получены от Кузбасс-Энерготранс, ГК Вагонсервис, Урал Логистика</t>
  </si>
  <si>
    <t>Штрафы получены от ГК Вагонсервис, Газпромтранс, АС Сервис, ЭТГ</t>
  </si>
  <si>
    <t>№104-со от 17.09.2024</t>
  </si>
  <si>
    <t>БТС</t>
  </si>
  <si>
    <t>штрафы получены от Балттранссервис</t>
  </si>
  <si>
    <t>№УЛ-П/47/2025 от 31.03.2025</t>
  </si>
  <si>
    <t>Претензии  ООО "ПМХ-Транспорт"</t>
  </si>
  <si>
    <t>2023-2024</t>
  </si>
  <si>
    <t>№ГК002503013 от 25.03.2025</t>
  </si>
  <si>
    <t>№48-со от 31.03.2025</t>
  </si>
  <si>
    <t>с 21.09.2024-28.02.2025</t>
  </si>
  <si>
    <t>№ГК002503012 от 25.03.2025</t>
  </si>
  <si>
    <t>№49-со от 31.03.2025</t>
  </si>
  <si>
    <t>с 30.09.2024-08.03.2025</t>
  </si>
  <si>
    <t>№58 от 17.04.2025</t>
  </si>
  <si>
    <t>с 22.12.2024 - 20.03.2025</t>
  </si>
  <si>
    <t>№ ГК001704015 от 17.04.2025</t>
  </si>
  <si>
    <t>№59 от 17.04.2025</t>
  </si>
  <si>
    <t>С 18.02.2025 - 02.04.2025</t>
  </si>
  <si>
    <t>№283/25 от 30.04.2025</t>
  </si>
  <si>
    <t>№67-со от 06.05.2025</t>
  </si>
  <si>
    <t>март 2025</t>
  </si>
  <si>
    <t>№УЛ-П/54/2025 от 22.04.2025</t>
  </si>
  <si>
    <t>№64-со от 06.05.2025</t>
  </si>
  <si>
    <t>декабрь 2024-февраль 2025</t>
  </si>
  <si>
    <t>№12431 от 25.04.2025</t>
  </si>
  <si>
    <t>№66- со от 06.05.2025</t>
  </si>
  <si>
    <t>№1496ИП-НТС от 06.05.2025</t>
  </si>
  <si>
    <t>№69-со от 13.05.2025</t>
  </si>
  <si>
    <t>№1590ИП-НТС от 15.05.2025</t>
  </si>
  <si>
    <t>№73-со от 21.05.2025</t>
  </si>
  <si>
    <t>№1582/ИП-НТС от 15.05.2025</t>
  </si>
  <si>
    <t>№72-со от 21.05.2025</t>
  </si>
  <si>
    <t>№300/25 от 14.05.2025</t>
  </si>
  <si>
    <t>№70-со от 21.05.2025</t>
  </si>
  <si>
    <t>февраль 2025</t>
  </si>
  <si>
    <t>выгрузка/погрузка</t>
  </si>
  <si>
    <t>№05/25-2035 от 14.05.2025</t>
  </si>
  <si>
    <t>№74-со от 23.05.2025</t>
  </si>
  <si>
    <t>01.01.2025-31.03.2025</t>
  </si>
  <si>
    <t>№05/25-2036 от 14.05.2025</t>
  </si>
  <si>
    <t>№75-со от 23.05.2025</t>
  </si>
  <si>
    <t>№119 от 20.05.2025</t>
  </si>
  <si>
    <t>09.2024-03.2025</t>
  </si>
  <si>
    <t>№97 от 16.04.2025</t>
  </si>
  <si>
    <t>№69 от 01.04.2025</t>
  </si>
  <si>
    <t>12.2024-01.2025</t>
  </si>
  <si>
    <t>07.2024-11.2024</t>
  </si>
  <si>
    <t>№98 от 15.04.2025</t>
  </si>
  <si>
    <t>декабрь 2024-март 2025</t>
  </si>
  <si>
    <t>№68 от 01.04.2025</t>
  </si>
  <si>
    <t>№67 от 01.04.2025</t>
  </si>
  <si>
    <t>июнь 2024-декабрь 2024</t>
  </si>
  <si>
    <t>№118 от 20.05.2025</t>
  </si>
  <si>
    <t>№01/25-95 
(2024-2-В/корр/2) 
от 13.01.2025</t>
  </si>
  <si>
    <t>№УЛ-П/74/2025 от 21.05.2025</t>
  </si>
  <si>
    <t>№83-со от 06.06.2025</t>
  </si>
  <si>
    <t>февраль 2025-март 2025</t>
  </si>
  <si>
    <t>Штрафы получены от Вагонсервис, УЛ</t>
  </si>
  <si>
    <t>Штрафы от РТС-Транс</t>
  </si>
  <si>
    <t>Штрафы от БТС, ЭТГ</t>
  </si>
  <si>
    <t>перевыставление от Вагонсервис, УЛ</t>
  </si>
  <si>
    <t>пернвыставление от ПМХ-Транспорт</t>
  </si>
  <si>
    <t>перевыставление БТС, ЭТГ</t>
  </si>
  <si>
    <t>перевыставление от БТС</t>
  </si>
  <si>
    <t>№УЛ-П/105/2025 от 23.06.2025</t>
  </si>
  <si>
    <t>январь - апрель 2025</t>
  </si>
  <si>
    <t>выгрузка/ин.тер.</t>
  </si>
  <si>
    <t>№УЛ-П/106/2025 от 23.06.2025</t>
  </si>
  <si>
    <t>№94-со от 08.07.2025</t>
  </si>
  <si>
    <t>№93-со от 08.07.2025</t>
  </si>
  <si>
    <t>апрель-июнь 2025</t>
  </si>
  <si>
    <t>№ГК 001006017 от 10.06.2025</t>
  </si>
  <si>
    <t>№85-со от 16.06.2025</t>
  </si>
  <si>
    <t>24.04.2025-28.05.2025</t>
  </si>
  <si>
    <t>№84-со от 16.06.2025</t>
  </si>
  <si>
    <t>01.05.2025-30.05.2025</t>
  </si>
  <si>
    <t>№1239 от 02.06.2025</t>
  </si>
  <si>
    <t>№86-со от 17.06.2025</t>
  </si>
  <si>
    <t>март - апрель 2025</t>
  </si>
  <si>
    <t>№1241 от 02.06.2025</t>
  </si>
  <si>
    <t>№87-со от 17.06.2025</t>
  </si>
  <si>
    <t>февраль-апрель 2025</t>
  </si>
  <si>
    <t>№1244 от 03.06.2025</t>
  </si>
  <si>
    <t>№90-со от 24.06.2025</t>
  </si>
  <si>
    <t>март-апрель 2025</t>
  </si>
  <si>
    <t>ин.тер.</t>
  </si>
  <si>
    <t>07.2024-12.2024</t>
  </si>
  <si>
    <t>№23 от 31.01.2025</t>
  </si>
  <si>
    <t>№07/25-3253 от 23.07.2025</t>
  </si>
  <si>
    <t>№99-со от 29.07.2025</t>
  </si>
  <si>
    <t>01.04.2025-30.06.2025</t>
  </si>
  <si>
    <t>№98-со от 29.07.2025</t>
  </si>
  <si>
    <t xml:space="preserve">№ГК002605008 от 26.05.2025 </t>
  </si>
  <si>
    <t>27.02.2025-26.04.2025</t>
  </si>
  <si>
    <t>№ГК002605009 от 26.05.2025</t>
  </si>
  <si>
    <t>№77-со от 27.05.2025</t>
  </si>
  <si>
    <t>№78-со от 27.05.2025</t>
  </si>
  <si>
    <t>19.02.2025-23.04.2025</t>
  </si>
  <si>
    <t>№12597 от 17.06.2025</t>
  </si>
  <si>
    <t>№89-со от 24.06.2025</t>
  </si>
  <si>
    <t>№2016/ИП-НТС от 27.06.2025</t>
  </si>
  <si>
    <t>№92-со от 01.07.2025</t>
  </si>
  <si>
    <t>май 2025</t>
  </si>
  <si>
    <t>№174 от 24.07.2025</t>
  </si>
  <si>
    <t>неустойка</t>
  </si>
  <si>
    <t>июль 2024-ноябрь 2024</t>
  </si>
  <si>
    <t>перевыставлние от НТС</t>
  </si>
  <si>
    <t>№08/25-3720 от 20.08.2025</t>
  </si>
  <si>
    <t>№105-со от 26.08.2025</t>
  </si>
  <si>
    <t>ГК001308002 от 13.08.2025</t>
  </si>
  <si>
    <t>№103-со от 25.08.2025</t>
  </si>
  <si>
    <t>23.05.2025-14.06.2025</t>
  </si>
  <si>
    <t>№ГК001308001 от 13.08.2025</t>
  </si>
  <si>
    <t>№102-со от 25.08.2025</t>
  </si>
  <si>
    <t>14.05.2025-27.06.2025</t>
  </si>
  <si>
    <t>№08/25-3865 от 27.08.2025</t>
  </si>
  <si>
    <t>№106-со от 01.09.2025</t>
  </si>
  <si>
    <t>01.07.2025-31.07.2025</t>
  </si>
  <si>
    <t>выгузка</t>
  </si>
  <si>
    <t>№2459433/Укл от 14.07.2025</t>
  </si>
  <si>
    <t>№107-со от 03.09.2025</t>
  </si>
  <si>
    <t>13.10.2024</t>
  </si>
  <si>
    <t>№2459595/Укл от 14.07.2025</t>
  </si>
  <si>
    <t>№108-со от 03.09.2025</t>
  </si>
  <si>
    <t>05.11.2024</t>
  </si>
  <si>
    <t>УЛ</t>
  </si>
  <si>
    <t>№07/25-3252 от 23.07.2025</t>
  </si>
  <si>
    <t>БТС, УЛ</t>
  </si>
  <si>
    <t>№20230101-1 от 01.01.2024</t>
  </si>
  <si>
    <t>первыставление БТС, УЛ</t>
  </si>
  <si>
    <t>п/п №242 от 11.04.2025</t>
  </si>
  <si>
    <t>№ п/п 241 от 11.04.2025</t>
  </si>
  <si>
    <t>№511 от 12.09.2024, №528 от 26.09.2024, №668 ОТ 28.11.2024</t>
  </si>
  <si>
    <t>№573 от 18.10.2024</t>
  </si>
  <si>
    <t>№475 от 29.08.2024</t>
  </si>
  <si>
    <t>№628 ОТ 13.11.2024</t>
  </si>
  <si>
    <t>№172 от 02.04.2024 , №185 от 05.04.2024,  №460 от 20.08.2024, №441 от 09.08.2024, №399 от 16.07.2024, №421 от 31.07.2024</t>
  </si>
  <si>
    <t>№1 от 19.08.2024, №2 от 20.08.2024</t>
  </si>
  <si>
    <t>№02-24/830 от 07.08.2024</t>
  </si>
  <si>
    <t>февраль-май 2024</t>
  </si>
  <si>
    <t>№48 от 21.01.2025</t>
  </si>
  <si>
    <t>№594 от 29.10.2024</t>
  </si>
  <si>
    <t>№84-со от 09.08.2024</t>
  </si>
  <si>
    <t>сентябрь-ноябрь 2024</t>
  </si>
  <si>
    <t>декабрь -февраль 2025</t>
  </si>
  <si>
    <t>№3235/ИП-НТС от 03.09.2024, №706/ИП-НТС от 25.05.2025</t>
  </si>
  <si>
    <t>№103-со от 17.09.2024, №31-со от 28.02.2025</t>
  </si>
  <si>
    <t>№121-со от 11.10.2024</t>
  </si>
  <si>
    <t>с 16.08.2024 по 28.08.2024</t>
  </si>
  <si>
    <t>№ГК001509004 от 15.09.2024</t>
  </si>
  <si>
    <t>№122-со от 11.10.2024</t>
  </si>
  <si>
    <t>№ГК002309020 от 15.09.2024</t>
  </si>
  <si>
    <t>с 05.09.2024 по 16.09.2024</t>
  </si>
  <si>
    <t>№119-со от 09.10.2024</t>
  </si>
  <si>
    <t>№120-со от 09.10.2024</t>
  </si>
  <si>
    <t>№ГК000810035 от 08.10.2024</t>
  </si>
  <si>
    <t>с 07.09.2024 по 16.09.2024</t>
  </si>
  <si>
    <t>№ГК000810036 от 08.10.2024</t>
  </si>
  <si>
    <t>с 05.09.2024 по 21.09.2024</t>
  </si>
  <si>
    <t>№592 от 29.10.2024</t>
  </si>
  <si>
    <t>№ ГК000603013 от 06.03.2025</t>
  </si>
  <si>
    <t>№36-со от 07.03.2025</t>
  </si>
  <si>
    <t>С 18.01.2025 по 26.02.2025</t>
  </si>
  <si>
    <t>№ ГК000603012 от 06.03.2025</t>
  </si>
  <si>
    <t>№37-со от 07.03.2025</t>
  </si>
  <si>
    <t>С 28.01.2025 по 24.02.2025</t>
  </si>
  <si>
    <t>№ГК001102017 от 12.02.2025</t>
  </si>
  <si>
    <t>№21-со от 14.02.2025</t>
  </si>
  <si>
    <t>с 30.11.2024 по 28.01.205</t>
  </si>
  <si>
    <t>№ГК001102016 от 12.2.2025</t>
  </si>
  <si>
    <t>№22-со от 14.02.2025</t>
  </si>
  <si>
    <t>с 12.12.2024 по 30.01.2025</t>
  </si>
  <si>
    <t>№184 от 13.03.2025</t>
  </si>
  <si>
    <t>№721 от 17.12.2024</t>
  </si>
  <si>
    <t>№69 от 04.02.2024</t>
  </si>
  <si>
    <t>№419 от 30.07.2024</t>
  </si>
  <si>
    <t>№185 от 13.03.2025</t>
  </si>
  <si>
    <t>№52 от 24.01.2025</t>
  </si>
  <si>
    <t xml:space="preserve">№55 от 07.02.2024 </t>
  </si>
  <si>
    <t>№152/ЭТГ/24 от 14.03.2024</t>
  </si>
  <si>
    <t>ноябрь 2023-январь 2024</t>
  </si>
  <si>
    <t>№163/ЭТГ/24 от 20.03.2024</t>
  </si>
  <si>
    <t>ноябрь - декабрь 2023</t>
  </si>
  <si>
    <t>№257 от 14.04.2025</t>
  </si>
  <si>
    <t>Претензии ООО "КУЗБАСС-ЭНЕРГОТРАНС"</t>
  </si>
  <si>
    <t>сентябрь - ноябрь 2024</t>
  </si>
  <si>
    <t>№76 от 06.02.2025</t>
  </si>
  <si>
    <t>№540 от 02.09.2025</t>
  </si>
  <si>
    <t>№201 от 24.03.2025</t>
  </si>
  <si>
    <t>№199 от 24.03.2025</t>
  </si>
  <si>
    <t>№202 от 24.03.2025</t>
  </si>
  <si>
    <t>№200 от 24.03.2025</t>
  </si>
  <si>
    <t>№09/24-4353 от 30.09.2024</t>
  </si>
  <si>
    <t>№117-со от 02.10.2024</t>
  </si>
  <si>
    <t>01.04.2024 - 30.06.2024</t>
  </si>
  <si>
    <t>№95 от 07.02.2025</t>
  </si>
  <si>
    <t>№94 от 07.02.2024</t>
  </si>
  <si>
    <t>№09/24-4352 от 30.09.2024</t>
  </si>
  <si>
    <t>№116-со от 02.10.2024</t>
  </si>
  <si>
    <t>№734 от 23.12.2024</t>
  </si>
  <si>
    <t>№733 от 23.12.2024</t>
  </si>
  <si>
    <t>№735 от 23.12.2024</t>
  </si>
  <si>
    <t>№09/25-4032 от 09.09.2025</t>
  </si>
  <si>
    <t>№111-со от 18.09.2025</t>
  </si>
  <si>
    <t>01.08.2025-31.08.2025</t>
  </si>
  <si>
    <t>02.2024-05.2024</t>
  </si>
  <si>
    <t>Штрафы от РТС Оператор</t>
  </si>
  <si>
    <t>№167 от 29.05.2025</t>
  </si>
  <si>
    <t>02.2025-03.2025</t>
  </si>
  <si>
    <t>штрафы от РТС-Транс</t>
  </si>
  <si>
    <t>№1912 от 20.08.2025</t>
  </si>
  <si>
    <t>№112-со от 23.09.2025</t>
  </si>
  <si>
    <t>май - июнь 2025</t>
  </si>
  <si>
    <t>№113-со от 23.09.2025</t>
  </si>
  <si>
    <t>март - июнь 2025</t>
  </si>
  <si>
    <t>№220 от 12.09.2025</t>
  </si>
  <si>
    <t>Расходы</t>
  </si>
  <si>
    <t>02.2024 - 12.2024</t>
  </si>
  <si>
    <t>Штрафы от НТС</t>
  </si>
  <si>
    <t>№10/25-4527 от 07.10.2025</t>
  </si>
  <si>
    <t>№118-со от 10.10.2025</t>
  </si>
  <si>
    <t>24.05.2025-24.09.2025</t>
  </si>
  <si>
    <t>№12847 от 24.09.2025</t>
  </si>
  <si>
    <t>№117-со от 10.10.2025</t>
  </si>
  <si>
    <t>№610 от 08.10.2025</t>
  </si>
  <si>
    <t>№2459592/Укл от 25.09.2025</t>
  </si>
  <si>
    <t>№120-со от 15.10.2025</t>
  </si>
  <si>
    <t>№ГК001704015 от 17.04.2025</t>
  </si>
  <si>
    <t>№96-со от 22.07.2025</t>
  </si>
  <si>
    <r>
      <t xml:space="preserve">№04/24-1536 от 09.04.2024, </t>
    </r>
    <r>
      <rPr>
        <b/>
        <sz val="10"/>
        <color theme="1"/>
        <rFont val="Calibri"/>
        <family val="2"/>
      </rPr>
      <t>ЗАМЕНЕНА НА №10/24-1550 от 10.10.2024</t>
    </r>
  </si>
  <si>
    <t>Сумма требований предъявлено, руб.</t>
  </si>
  <si>
    <t>№55-со от 15.04.2025</t>
  </si>
  <si>
    <t>№2236 от 06.10.2025</t>
  </si>
  <si>
    <t>№121-со от 20.10.2025</t>
  </si>
  <si>
    <t>июнь-июль 2025</t>
  </si>
  <si>
    <t>№122-со от 20.10.2025</t>
  </si>
  <si>
    <t>август 2025</t>
  </si>
  <si>
    <t>№2233 от 03.10.2025</t>
  </si>
  <si>
    <t>№123-со от 20.10.2025</t>
  </si>
  <si>
    <t>июнь - август 2025</t>
  </si>
  <si>
    <t>№124-со от 20.10.2025</t>
  </si>
  <si>
    <t>июнь - июль 2025</t>
  </si>
  <si>
    <t>№2223 от 03.10.2025</t>
  </si>
  <si>
    <t>№125-со от 20.10.2025</t>
  </si>
  <si>
    <t>апрель-июль 2025</t>
  </si>
  <si>
    <t>№126-со от 20.10.2025</t>
  </si>
  <si>
    <t>№2232 от 03.10.2025</t>
  </si>
  <si>
    <t>Штрафы от Реилго</t>
  </si>
  <si>
    <t>№ 264 от 22.10.2025</t>
  </si>
  <si>
    <t>ООО «Нефтяная Компания «Новый Поток»</t>
  </si>
  <si>
    <t>№263 от 22.10.2025</t>
  </si>
  <si>
    <t>03.2025-04.2025</t>
  </si>
  <si>
    <t xml:space="preserve">№01/3 (2025) от 01.04.2025г. </t>
  </si>
  <si>
    <t>№228 от 26.09.2025</t>
  </si>
  <si>
    <t>04.2025-05.2025</t>
  </si>
  <si>
    <t>Штрафы от БТС</t>
  </si>
  <si>
    <t>№ 280 от 29.10.2025</t>
  </si>
  <si>
    <t>п/п №663 от 30.10.2025</t>
  </si>
  <si>
    <t>03.2025-06.2025</t>
  </si>
  <si>
    <t>№671 от 01.11.2025</t>
  </si>
  <si>
    <t>№672 от 01.11.2025</t>
  </si>
  <si>
    <t>№2234 от 03.10.2025, №2404 от 23.10.2025</t>
  </si>
  <si>
    <t>Претензия отозвана</t>
  </si>
  <si>
    <t>18.02.2025 - 02.04.2025</t>
  </si>
  <si>
    <t>№2510 от 10.11.2025</t>
  </si>
  <si>
    <t>№134-со от 25.11.2025</t>
  </si>
  <si>
    <t>июнь - октябрь 2025</t>
  </si>
  <si>
    <t>№2511 от 10.11.2025</t>
  </si>
  <si>
    <t>№135-со от 25.11.2025</t>
  </si>
  <si>
    <t>август -сентябрь 2025</t>
  </si>
  <si>
    <t>№13095 от 01.11.2025</t>
  </si>
  <si>
    <t>№137-со от 26.11.2025</t>
  </si>
  <si>
    <t>08.2024 - 09.2025</t>
  </si>
  <si>
    <t>под погрузкой</t>
  </si>
  <si>
    <t>повреждение вагона, 56709991</t>
  </si>
  <si>
    <t>повреждение вагона, 54246210</t>
  </si>
  <si>
    <t>повреждение вагона, 75023549</t>
  </si>
  <si>
    <t>№ГК001704016 от 17.04.2025</t>
  </si>
  <si>
    <t>№ГК001006018 от 10.06.2025</t>
  </si>
  <si>
    <t>№227 от 26.09.2025</t>
  </si>
  <si>
    <t>ноябрь 2024 - июнь 2025</t>
  </si>
  <si>
    <t>№229 от 26.09.2025</t>
  </si>
  <si>
    <t>март - июль 2025</t>
  </si>
  <si>
    <t>Перевыставление БТС</t>
  </si>
  <si>
    <t>№398 от 11.12.2025</t>
  </si>
  <si>
    <t>март - июнь 2024</t>
  </si>
  <si>
    <t>№396 от 11.12.2025</t>
  </si>
  <si>
    <t>№397 от 11.12.2025</t>
  </si>
  <si>
    <t>№246 от 15.10.2025</t>
  </si>
  <si>
    <t>май - сентябрь 2025</t>
  </si>
  <si>
    <t>Переделать на убытки, не выставлена</t>
  </si>
  <si>
    <t>№403 от 17.12.2025</t>
  </si>
  <si>
    <t>№404 от 17.12.2025</t>
  </si>
  <si>
    <t>Скорректировано до
 2 802 500,00 руб.</t>
  </si>
  <si>
    <t>№387 от 03.12.2025</t>
  </si>
  <si>
    <t>декабрь 2024 - июнь 2025</t>
  </si>
  <si>
    <t>№412 от 23.12.2025</t>
  </si>
  <si>
    <t>январь - июнь 2025</t>
  </si>
  <si>
    <t>№411 от 23.12.2025</t>
  </si>
  <si>
    <t>Штрафы от УЛ</t>
  </si>
  <si>
    <t>№410 от 23.12.2025</t>
  </si>
  <si>
    <t>июнь - сентябрь 2025</t>
  </si>
  <si>
    <t>апрель - июнь 2025</t>
  </si>
  <si>
    <t>№409 от 23.12.2025</t>
  </si>
  <si>
    <t>№416 от 25.12.2025</t>
  </si>
  <si>
    <t>убытки/штраф</t>
  </si>
  <si>
    <t>январь - февраль 2025</t>
  </si>
  <si>
    <t>№415 от 25.12.2025</t>
  </si>
  <si>
    <t>№414 от 25.12.2025</t>
  </si>
  <si>
    <t>Перевыставление от УЛ</t>
  </si>
  <si>
    <t>№417 от 26.12.2025</t>
  </si>
  <si>
    <t>№418 от 26.12.2025</t>
  </si>
  <si>
    <t>№1 от 01.10.2022</t>
  </si>
  <si>
    <t>п/п №790 от 25.12.2025</t>
  </si>
  <si>
    <t>п/п №791 от 25.12.2025</t>
  </si>
  <si>
    <t>п/п №788 от 25.12.2025</t>
  </si>
  <si>
    <t>п/п №786 от 25.12.2025</t>
  </si>
  <si>
    <t>п/п №787 от 25.12.2025</t>
  </si>
  <si>
    <t>п/п №789 от 25.12.2025</t>
  </si>
  <si>
    <t>№1 от 12.01.2026</t>
  </si>
  <si>
    <t>январь - март 2025</t>
  </si>
  <si>
    <t>№4 от 12.01.2026</t>
  </si>
  <si>
    <t>№3 от 12.01.2026</t>
  </si>
  <si>
    <t>№2 от 12.01.2026</t>
  </si>
  <si>
    <t>убытки</t>
  </si>
  <si>
    <t>04.2025-06.2025</t>
  </si>
  <si>
    <r>
      <t>штрафы получены от  АО "НТС"</t>
    </r>
    <r>
      <rPr>
        <sz val="9"/>
        <color theme="1"/>
        <rFont val="Calibri"/>
        <family val="2"/>
        <charset val="204"/>
        <scheme val="minor"/>
      </rPr>
      <t xml:space="preserve">
11723 от 29.10.2024
12075 от 14.02.2025
12431 от 25.04.2025</t>
    </r>
  </si>
  <si>
    <t>февраль - апрель 2025</t>
  </si>
  <si>
    <t>№5 от 12.01.2026</t>
  </si>
  <si>
    <t>№6 от 12.01.2026</t>
  </si>
  <si>
    <t>штраф (выгрузка)</t>
  </si>
  <si>
    <t>март-июнь 2025</t>
  </si>
  <si>
    <t xml:space="preserve">№223 от 17.09.2025 - ОТОЗВАНО исх. 9 от 13.01.2026 г. перевыставлено по №416 от 25.12.2025, 1 от 12.01.2026  </t>
  </si>
  <si>
    <t xml:space="preserve">№182 от 17.09.2025
ОТОЗВАНО исх. 10 от 13.01.2026 г. </t>
  </si>
  <si>
    <t>№2974 от 26.12.2025</t>
  </si>
  <si>
    <t>апрель-октябрь 2025</t>
  </si>
  <si>
    <t>№2968 от 26.12.2025</t>
  </si>
  <si>
    <t>сентябрь -октябрь 2025</t>
  </si>
  <si>
    <t>№2977 от 26.12.2025</t>
  </si>
  <si>
    <t>сентябрь 2025</t>
  </si>
  <si>
    <t>ин. тер.</t>
  </si>
  <si>
    <t>№2548577/Укл от 23.12.2025</t>
  </si>
  <si>
    <t>повреждение вагона №51586998</t>
  </si>
  <si>
    <t>№ 196 от25.09.2025</t>
  </si>
  <si>
    <t>п/п № 485 от 20.01.2026</t>
  </si>
  <si>
    <t>п/п № 486 от 20.01.2026</t>
  </si>
  <si>
    <t>п/п № 473 от 20.01.2026</t>
  </si>
  <si>
    <t>п/п № 475 от 20.01.2026</t>
  </si>
  <si>
    <t>п/п № 477 от 20.01.2026</t>
  </si>
  <si>
    <t>п/п № 478 от 20.01.2026</t>
  </si>
  <si>
    <t>п/п № 480 от 20.01.2026</t>
  </si>
  <si>
    <t>п/п № 483 от 20.01.2026</t>
  </si>
  <si>
    <t>п/п № 482 от 20.01.2026</t>
  </si>
  <si>
    <t>п/п № 484 от 20.01.2026</t>
  </si>
  <si>
    <t>№24 от 19.01.2026</t>
  </si>
  <si>
    <t>№25 от 19.01.2026</t>
  </si>
  <si>
    <t>№26 от 19.01.2026</t>
  </si>
  <si>
    <t>сентябрт - октябрь 2024</t>
  </si>
  <si>
    <t>март 2024, ноябрь 2024</t>
  </si>
  <si>
    <t>июнь, июль 2024</t>
  </si>
  <si>
    <t>№27 от 12.01.2027</t>
  </si>
  <si>
    <t>№4-со от 22.01.2026</t>
  </si>
  <si>
    <t>№3-со от 22.01.2026</t>
  </si>
  <si>
    <t>№2-со от 22.01.2026</t>
  </si>
  <si>
    <t>№1-со от 22.01.2026</t>
  </si>
  <si>
    <t>№01/26-253 от 23.01.2026</t>
  </si>
  <si>
    <t>№8-со от 27.01.2026</t>
  </si>
  <si>
    <t>№56 от 30.01.2026</t>
  </si>
  <si>
    <t>сентябрь - октябрь 2025</t>
  </si>
  <si>
    <t>№54 от 30.01.2026</t>
  </si>
  <si>
    <t>апрель - октябрь 2025</t>
  </si>
  <si>
    <t>№55 от 30.01.2026</t>
  </si>
  <si>
    <t>№1908 от 20.08.2025, №2399 от 22.10.2025 корр</t>
  </si>
  <si>
    <t>№2222 от 03.10.2025, №2400 от 22.10.2025 корр</t>
  </si>
  <si>
    <t>12070899,00 с г/п</t>
  </si>
  <si>
    <t>№98 от 12.02.2026</t>
  </si>
  <si>
    <t>№627 от 12.02.2026</t>
  </si>
  <si>
    <t>№ГКВС-2982 от 20.11.2025</t>
  </si>
  <si>
    <t>№139-со от 05.12.2025</t>
  </si>
  <si>
    <t>повреждение вагона</t>
  </si>
  <si>
    <t>№85 от 18.02.2026</t>
  </si>
  <si>
    <t>октябрь 2025 - февраль 2026</t>
  </si>
  <si>
    <t>штраф по ст. Никель</t>
  </si>
  <si>
    <t>п/п №121 от 17.02.2026</t>
  </si>
  <si>
    <t>п/п №120 от 17.02.2026</t>
  </si>
  <si>
    <t>п/п №118 от 17.02.2026</t>
  </si>
  <si>
    <t>п/п №117 от 17.02.2026</t>
  </si>
  <si>
    <t>п/п №119 от 17.02.2026</t>
  </si>
  <si>
    <t>п/п №116 от 17.02.2026</t>
  </si>
  <si>
    <t>п/п №124 от 17.02.2026</t>
  </si>
  <si>
    <t>№ГК002702001 от 27.02.2026</t>
  </si>
  <si>
    <t>№14-со от 27.02.2026</t>
  </si>
  <si>
    <t>23.11.2024-30.12.2024</t>
  </si>
  <si>
    <t>№345 от 12.02.2026</t>
  </si>
  <si>
    <t>№15-со от 27.02.2026</t>
  </si>
  <si>
    <t>декабрь 2025</t>
  </si>
  <si>
    <t>переадресовка в пути следования</t>
  </si>
  <si>
    <t>№93 от 03.03.2026</t>
  </si>
  <si>
    <t>расходы</t>
  </si>
  <si>
    <t>ноябрь-декабрь 2025, переадресация</t>
  </si>
  <si>
    <t>№452 от 25.02.2026</t>
  </si>
  <si>
    <t>№18-со от 11.03.2026</t>
  </si>
  <si>
    <t>октябрь-декабрь 2025</t>
  </si>
  <si>
    <t>№460 от 25.02.2026</t>
  </si>
  <si>
    <t>№19-со от 11.03.2026</t>
  </si>
  <si>
    <t>№100 от 11.03.2026</t>
  </si>
  <si>
    <t>ноябрь - декабрь 2025, ин.тер.</t>
  </si>
  <si>
    <t>№104 от 13.03.2026</t>
  </si>
  <si>
    <t>№105 от 13.03.2026</t>
  </si>
  <si>
    <t>ноябрь - декабрь 2025, выгрузка</t>
  </si>
  <si>
    <t>октябрь - декабрь 2025, погрузка</t>
  </si>
  <si>
    <t>№215 от 24.03.2026</t>
  </si>
  <si>
    <t>январь 2026</t>
  </si>
  <si>
    <t>Штрафы от Реилго (не выставлны)</t>
  </si>
  <si>
    <t>№118 от 27.03.2026</t>
  </si>
  <si>
    <t>ноябрь 2025 - январь 2026</t>
  </si>
  <si>
    <t>п/п №781 от 17.03.2026</t>
  </si>
  <si>
    <t>п/п №73 от 17.03.2026</t>
  </si>
  <si>
    <t>№250 от 08.10.2024</t>
  </si>
  <si>
    <t>№453 от 25.02.2026, №638 от 19.03.2026 КОРР</t>
  </si>
  <si>
    <t>№20-со от 11.03.2026, №25-со от 08.04.2026</t>
  </si>
  <si>
    <t>№1910 от 20.08.2025, №2861 от 15.12.2025 корр, №635 от 18.03.2026г. КОРР</t>
  </si>
  <si>
    <t>№114-со от 24.09.2025, №142-со от 29.12.2025, №26-со от 08.04.2026</t>
  </si>
  <si>
    <t>Претензии и письма от ООО "Балчуг-Петролеум" №9/01/341 (2023) от 01.05.2023</t>
  </si>
  <si>
    <t>Претензии ООО "РЕИЛГО" №01/1 (2025) от 21.02.2025</t>
  </si>
  <si>
    <t>Адресат</t>
  </si>
  <si>
    <t>Корреспондент</t>
  </si>
  <si>
    <t>РИ-ТРАНС</t>
  </si>
  <si>
    <t>№9/01/341/2023 от 01.05.2023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</si>
</sst>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\ &quot;₽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16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8" fillId="0" borderId="1" xfId="0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9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164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4" fontId="17" fillId="2" borderId="1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14" fontId="9" fillId="2" borderId="11" xfId="0" applyNumberFormat="1" applyFont="1" applyFill="1" applyBorder="1" applyAlignment="1">
      <alignment horizontal="center" vertical="center" wrapText="1"/>
    </xf>
    <xf numFmtId="17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17" fontId="18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4" fontId="10" fillId="0" borderId="1" xfId="0" applyNumberFormat="1" applyFont="1" applyBorder="1"/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20" fillId="4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2" borderId="0" xfId="0" applyFont="1" applyFill="1"/>
    <xf numFmtId="0" fontId="19" fillId="0" borderId="1" xfId="0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" fontId="19" fillId="2" borderId="1" xfId="0" applyNumberFormat="1" applyFont="1" applyFill="1" applyBorder="1" applyAlignment="1">
      <alignment horizontal="center" vertical="center" wrapText="1"/>
    </xf>
    <xf numFmtId="17" fontId="19" fillId="0" borderId="1" xfId="0" applyNumberFormat="1" applyFont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17" fillId="2" borderId="6" xfId="0" applyNumberFormat="1" applyFont="1" applyFill="1" applyBorder="1" applyAlignment="1">
      <alignment horizontal="center" vertical="center" wrapText="1"/>
    </xf>
    <xf numFmtId="164" fontId="17" fillId="2" borderId="7" xfId="0" applyNumberFormat="1" applyFont="1" applyFill="1" applyBorder="1" applyAlignment="1">
      <alignment horizontal="center" vertical="center" wrapText="1"/>
    </xf>
    <xf numFmtId="164" fontId="17" fillId="2" borderId="2" xfId="0" applyNumberFormat="1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" fontId="9" fillId="2" borderId="6" xfId="0" applyNumberFormat="1" applyFont="1" applyFill="1" applyBorder="1" applyAlignment="1">
      <alignment horizontal="center" vertical="center" wrapText="1"/>
    </xf>
    <xf numFmtId="4" fontId="10" fillId="0" borderId="7" xfId="0" applyNumberFormat="1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14" fontId="17" fillId="2" borderId="3" xfId="0" applyNumberFormat="1" applyFont="1" applyFill="1" applyBorder="1" applyAlignment="1">
      <alignment horizontal="center" vertical="center" wrapText="1"/>
    </xf>
    <xf numFmtId="14" fontId="17" fillId="2" borderId="4" xfId="0" applyNumberFormat="1" applyFont="1" applyFill="1" applyBorder="1" applyAlignment="1">
      <alignment horizontal="center" vertical="center" wrapText="1"/>
    </xf>
    <xf numFmtId="14" fontId="17" fillId="2" borderId="5" xfId="0" applyNumberFormat="1" applyFont="1" applyFill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center" vertical="center" wrapText="1"/>
    </xf>
    <xf numFmtId="4" fontId="10" fillId="2" borderId="2" xfId="0" applyNumberFormat="1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17" fontId="18" fillId="2" borderId="1" xfId="0" applyNumberFormat="1" applyFont="1" applyFill="1" applyBorder="1" applyAlignment="1">
      <alignment horizontal="center" vertical="center" wrapText="1"/>
    </xf>
    <xf numFmtId="49" fontId="19" fillId="2" borderId="8" xfId="0" applyNumberFormat="1" applyFont="1" applyFill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 wrapText="1"/>
    </xf>
    <xf numFmtId="49" fontId="19" fillId="2" borderId="10" xfId="0" applyNumberFormat="1" applyFont="1" applyFill="1" applyBorder="1" applyAlignment="1">
      <alignment horizontal="center" vertical="center" wrapText="1"/>
    </xf>
    <xf numFmtId="49" fontId="19" fillId="2" borderId="6" xfId="0" applyNumberFormat="1" applyFont="1" applyFill="1" applyBorder="1" applyAlignment="1">
      <alignment horizontal="center" vertical="center" wrapText="1"/>
    </xf>
    <xf numFmtId="49" fontId="19" fillId="2" borderId="7" xfId="0" applyNumberFormat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2">
    <cellStyle name="Normal" xfId="1" xr:uid="{D48084E0-FDAA-4685-9F09-DB0B67AAAC4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X304"/>
  <sheetViews>
    <sheetView zoomScale="85" zoomScaleNormal="85" workbookViewId="0">
      <pane ySplit="1" topLeftCell="A2" activePane="bottomLeft" state="frozen"/>
      <selection pane="bottomLeft" activeCell="D205" sqref="D205"/>
    </sheetView>
  </sheetViews>
  <sheetFormatPr defaultRowHeight="15" x14ac:dyDescent="0.25"/>
  <cols>
    <col min="1" max="1" width="6.140625" style="1" customWidth="1"/>
    <col min="2" max="2" width="26.7109375" customWidth="1"/>
    <col min="3" max="3" width="27.7109375" customWidth="1"/>
    <col min="4" max="4" width="27" customWidth="1"/>
    <col min="5" max="5" width="25.28515625" style="1" customWidth="1"/>
    <col min="6" max="6" width="20" style="1" customWidth="1"/>
    <col min="7" max="7" width="26.85546875" customWidth="1"/>
    <col min="8" max="8" width="19.42578125" customWidth="1"/>
    <col min="9" max="1454" width="9.140625" style="2"/>
  </cols>
  <sheetData>
    <row r="1" spans="1:33 1454:1454" ht="90" customHeight="1" x14ac:dyDescent="0.25">
      <c r="A1" s="67" t="s">
        <v>0</v>
      </c>
      <c r="B1" s="67" t="s">
        <v>28</v>
      </c>
      <c r="C1" s="67" t="s">
        <v>29</v>
      </c>
      <c r="D1" s="67" t="s">
        <v>600</v>
      </c>
      <c r="E1" s="67" t="s">
        <v>2</v>
      </c>
      <c r="F1" s="67" t="s">
        <v>54</v>
      </c>
      <c r="G1" s="67" t="s">
        <v>3</v>
      </c>
      <c r="H1" s="68" t="s">
        <v>1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BCX1"/>
    </row>
    <row r="2" spans="1:33 1454:1454" ht="21" hidden="1" customHeight="1" x14ac:dyDescent="0.25">
      <c r="A2" s="108" t="s">
        <v>85</v>
      </c>
      <c r="B2" s="109"/>
      <c r="C2" s="109"/>
      <c r="D2" s="109"/>
      <c r="E2" s="109"/>
      <c r="F2" s="109"/>
      <c r="G2" s="109"/>
      <c r="H2" s="109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BCX2"/>
    </row>
    <row r="3" spans="1:33 1454:1454" s="2" customFormat="1" ht="21" hidden="1" customHeight="1" x14ac:dyDescent="0.25">
      <c r="A3" s="7">
        <v>1</v>
      </c>
      <c r="B3" s="7" t="s">
        <v>37</v>
      </c>
      <c r="C3" s="40">
        <v>45391</v>
      </c>
      <c r="D3" s="8">
        <v>844200</v>
      </c>
      <c r="E3" s="7" t="s">
        <v>552</v>
      </c>
      <c r="F3" s="7"/>
      <c r="G3" s="7" t="s">
        <v>553</v>
      </c>
      <c r="H3" s="113">
        <v>11638300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 1454:1454" s="2" customFormat="1" ht="21" hidden="1" customHeight="1" x14ac:dyDescent="0.25">
      <c r="A4" s="7">
        <v>2</v>
      </c>
      <c r="B4" s="7" t="s">
        <v>38</v>
      </c>
      <c r="C4" s="40">
        <v>45348</v>
      </c>
      <c r="D4" s="8">
        <v>268800</v>
      </c>
      <c r="E4" s="43" t="s">
        <v>10</v>
      </c>
      <c r="F4" s="7"/>
      <c r="G4" s="7" t="s">
        <v>553</v>
      </c>
      <c r="H4" s="11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 1454:1454" s="2" customFormat="1" ht="21" hidden="1" customHeight="1" x14ac:dyDescent="0.25">
      <c r="A5" s="7">
        <v>3</v>
      </c>
      <c r="B5" s="7" t="s">
        <v>39</v>
      </c>
      <c r="C5" s="40">
        <v>45391</v>
      </c>
      <c r="D5" s="8">
        <v>58800</v>
      </c>
      <c r="E5" s="43" t="s">
        <v>32</v>
      </c>
      <c r="F5" s="43"/>
      <c r="G5" s="7" t="s">
        <v>553</v>
      </c>
      <c r="H5" s="114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 1454:1454" s="2" customFormat="1" ht="21" hidden="1" customHeight="1" x14ac:dyDescent="0.25">
      <c r="A6" s="7">
        <v>4</v>
      </c>
      <c r="B6" s="7" t="s">
        <v>549</v>
      </c>
      <c r="C6" s="40"/>
      <c r="D6" s="8">
        <v>1843800</v>
      </c>
      <c r="E6" s="43" t="s">
        <v>550</v>
      </c>
      <c r="F6" s="43"/>
      <c r="G6" s="7" t="s">
        <v>553</v>
      </c>
      <c r="H6" s="114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 1454:1454" s="2" customFormat="1" ht="21" hidden="1" customHeight="1" x14ac:dyDescent="0.25">
      <c r="A7" s="7">
        <v>5</v>
      </c>
      <c r="B7" s="7" t="s">
        <v>40</v>
      </c>
      <c r="C7" s="40" t="s">
        <v>11</v>
      </c>
      <c r="D7" s="8">
        <v>147000</v>
      </c>
      <c r="E7" s="43" t="s">
        <v>33</v>
      </c>
      <c r="F7" s="43" t="s">
        <v>68</v>
      </c>
      <c r="G7" s="7" t="s">
        <v>553</v>
      </c>
      <c r="H7" s="11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 1454:1454" s="2" customFormat="1" ht="21" hidden="1" customHeight="1" x14ac:dyDescent="0.25">
      <c r="A8" s="7">
        <v>6</v>
      </c>
      <c r="B8" s="7" t="s">
        <v>551</v>
      </c>
      <c r="C8" s="40"/>
      <c r="D8" s="8">
        <v>1423800</v>
      </c>
      <c r="E8" s="43" t="s">
        <v>34</v>
      </c>
      <c r="F8" s="43"/>
      <c r="G8" s="7" t="s">
        <v>553</v>
      </c>
      <c r="H8" s="11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 1454:1454" s="2" customFormat="1" ht="21" hidden="1" customHeight="1" x14ac:dyDescent="0.25">
      <c r="A9" s="7">
        <v>7</v>
      </c>
      <c r="B9" s="7" t="s">
        <v>41</v>
      </c>
      <c r="C9" s="40" t="s">
        <v>12</v>
      </c>
      <c r="D9" s="8">
        <v>98700</v>
      </c>
      <c r="E9" s="43" t="s">
        <v>34</v>
      </c>
      <c r="F9" s="43"/>
      <c r="G9" s="7" t="s">
        <v>553</v>
      </c>
      <c r="H9" s="1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 1454:1454" s="2" customFormat="1" ht="21" hidden="1" customHeight="1" x14ac:dyDescent="0.25">
      <c r="A10" s="7">
        <v>8</v>
      </c>
      <c r="B10" s="7" t="s">
        <v>42</v>
      </c>
      <c r="C10" s="40" t="s">
        <v>17</v>
      </c>
      <c r="D10" s="8">
        <v>2144100</v>
      </c>
      <c r="E10" s="9" t="s">
        <v>30</v>
      </c>
      <c r="F10" s="9" t="s">
        <v>106</v>
      </c>
      <c r="G10" s="7" t="s">
        <v>553</v>
      </c>
      <c r="H10" s="1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 1454:1454" s="2" customFormat="1" ht="21" hidden="1" customHeight="1" x14ac:dyDescent="0.25">
      <c r="A11" s="7">
        <v>9</v>
      </c>
      <c r="B11" s="7" t="s">
        <v>43</v>
      </c>
      <c r="C11" s="7" t="s">
        <v>16</v>
      </c>
      <c r="D11" s="8">
        <v>16800</v>
      </c>
      <c r="E11" s="43" t="s">
        <v>10</v>
      </c>
      <c r="F11" s="43"/>
      <c r="G11" s="7" t="s">
        <v>553</v>
      </c>
      <c r="H11" s="1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 1454:1454" s="2" customFormat="1" ht="21" hidden="1" customHeight="1" x14ac:dyDescent="0.25">
      <c r="A12" s="7">
        <v>10</v>
      </c>
      <c r="B12" s="7" t="s">
        <v>44</v>
      </c>
      <c r="C12" s="40" t="s">
        <v>15</v>
      </c>
      <c r="D12" s="8">
        <v>150000</v>
      </c>
      <c r="E12" s="9" t="s">
        <v>95</v>
      </c>
      <c r="F12" s="9"/>
      <c r="G12" s="7" t="s">
        <v>553</v>
      </c>
      <c r="H12" s="1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33 1454:1454" s="2" customFormat="1" ht="21" hidden="1" customHeight="1" x14ac:dyDescent="0.25">
      <c r="A13" s="7">
        <v>11</v>
      </c>
      <c r="B13" s="7" t="s">
        <v>45</v>
      </c>
      <c r="C13" s="40" t="s">
        <v>14</v>
      </c>
      <c r="D13" s="8">
        <v>366000</v>
      </c>
      <c r="E13" s="9" t="s">
        <v>5</v>
      </c>
      <c r="F13" s="9"/>
      <c r="G13" s="42" t="s">
        <v>548</v>
      </c>
      <c r="H13" s="8">
        <v>366000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 1454:1454" s="2" customFormat="1" ht="21" hidden="1" customHeight="1" x14ac:dyDescent="0.25">
      <c r="A14" s="7">
        <v>12</v>
      </c>
      <c r="B14" s="7" t="s">
        <v>46</v>
      </c>
      <c r="C14" s="40" t="s">
        <v>13</v>
      </c>
      <c r="D14" s="8">
        <v>1016400</v>
      </c>
      <c r="E14" s="43" t="s">
        <v>33</v>
      </c>
      <c r="F14" s="43"/>
      <c r="G14" s="7" t="s">
        <v>553</v>
      </c>
      <c r="H14" s="1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 1454:1454" s="2" customFormat="1" ht="32.25" hidden="1" customHeight="1" x14ac:dyDescent="0.25">
      <c r="A15" s="7">
        <v>13</v>
      </c>
      <c r="B15" s="7" t="s">
        <v>47</v>
      </c>
      <c r="C15" s="40" t="s">
        <v>61</v>
      </c>
      <c r="D15" s="8">
        <v>23100</v>
      </c>
      <c r="E15" s="43" t="s">
        <v>31</v>
      </c>
      <c r="F15" s="43" t="s">
        <v>68</v>
      </c>
      <c r="G15" s="7" t="s">
        <v>553</v>
      </c>
      <c r="H15" s="1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 1454:1454" s="2" customFormat="1" ht="34.5" hidden="1" customHeight="1" x14ac:dyDescent="0.25">
      <c r="A16" s="7">
        <v>14</v>
      </c>
      <c r="B16" s="7" t="s">
        <v>48</v>
      </c>
      <c r="C16" s="40" t="s">
        <v>60</v>
      </c>
      <c r="D16" s="8">
        <v>165900</v>
      </c>
      <c r="E16" s="9" t="s">
        <v>6</v>
      </c>
      <c r="F16" s="9" t="s">
        <v>68</v>
      </c>
      <c r="G16" s="7" t="s">
        <v>553</v>
      </c>
      <c r="H16" s="1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 1454:1454" s="2" customFormat="1" ht="21" hidden="1" customHeight="1" x14ac:dyDescent="0.25">
      <c r="A17" s="7">
        <v>15</v>
      </c>
      <c r="B17" s="7" t="s">
        <v>49</v>
      </c>
      <c r="C17" s="40" t="s">
        <v>59</v>
      </c>
      <c r="D17" s="8">
        <v>830600</v>
      </c>
      <c r="E17" s="43" t="s">
        <v>31</v>
      </c>
      <c r="F17" s="43" t="s">
        <v>55</v>
      </c>
      <c r="G17" s="7" t="s">
        <v>553</v>
      </c>
      <c r="H17" s="1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 1454:1454" s="2" customFormat="1" ht="21" hidden="1" customHeight="1" x14ac:dyDescent="0.25">
      <c r="A18" s="7">
        <v>16</v>
      </c>
      <c r="B18" s="7" t="s">
        <v>50</v>
      </c>
      <c r="C18" s="40" t="s">
        <v>58</v>
      </c>
      <c r="D18" s="8">
        <v>932400</v>
      </c>
      <c r="E18" s="9" t="s">
        <v>7</v>
      </c>
      <c r="F18" s="9"/>
      <c r="G18" s="7" t="s">
        <v>553</v>
      </c>
      <c r="H18" s="1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 1454:1454" s="2" customFormat="1" ht="83.25" hidden="1" customHeight="1" x14ac:dyDescent="0.25">
      <c r="A19" s="7">
        <v>17</v>
      </c>
      <c r="B19" s="7" t="s">
        <v>51</v>
      </c>
      <c r="C19" s="40" t="s">
        <v>61</v>
      </c>
      <c r="D19" s="8">
        <v>76800</v>
      </c>
      <c r="E19" s="43" t="s">
        <v>32</v>
      </c>
      <c r="F19" s="43" t="s">
        <v>68</v>
      </c>
      <c r="G19" s="7" t="s">
        <v>553</v>
      </c>
      <c r="H19" s="1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 1454:1454" s="2" customFormat="1" ht="29.25" hidden="1" customHeight="1" x14ac:dyDescent="0.25">
      <c r="A20" s="7">
        <v>18</v>
      </c>
      <c r="B20" s="7" t="s">
        <v>52</v>
      </c>
      <c r="C20" s="40" t="s">
        <v>103</v>
      </c>
      <c r="D20" s="8">
        <v>289800</v>
      </c>
      <c r="E20" s="9" t="s">
        <v>9</v>
      </c>
      <c r="F20" s="9" t="s">
        <v>104</v>
      </c>
      <c r="G20" s="7" t="s">
        <v>553</v>
      </c>
      <c r="H20" s="1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 1454:1454" s="2" customFormat="1" ht="21" hidden="1" customHeight="1" x14ac:dyDescent="0.25">
      <c r="A21" s="7">
        <v>19</v>
      </c>
      <c r="B21" s="7" t="s">
        <v>53</v>
      </c>
      <c r="C21" s="40" t="s">
        <v>105</v>
      </c>
      <c r="D21" s="8">
        <v>8305500</v>
      </c>
      <c r="E21" s="9" t="s">
        <v>124</v>
      </c>
      <c r="F21" s="9" t="s">
        <v>106</v>
      </c>
      <c r="G21" s="7" t="s">
        <v>553</v>
      </c>
      <c r="H21" s="1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33 1454:1454" s="2" customFormat="1" ht="21" hidden="1" customHeight="1" x14ac:dyDescent="0.25">
      <c r="A22" s="7">
        <v>20</v>
      </c>
      <c r="B22" s="7" t="s">
        <v>62</v>
      </c>
      <c r="C22" s="40" t="s">
        <v>57</v>
      </c>
      <c r="D22" s="8">
        <v>333900</v>
      </c>
      <c r="E22" s="43" t="s">
        <v>56</v>
      </c>
      <c r="F22" s="9" t="s">
        <v>55</v>
      </c>
      <c r="G22" s="7" t="s">
        <v>553</v>
      </c>
      <c r="H22" s="1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1:33 1454:1454" s="2" customFormat="1" ht="21" hidden="1" customHeight="1" x14ac:dyDescent="0.25">
      <c r="A23" s="7">
        <v>21</v>
      </c>
      <c r="B23" s="7" t="s">
        <v>63</v>
      </c>
      <c r="C23" s="40" t="s">
        <v>64</v>
      </c>
      <c r="D23" s="8">
        <v>115500</v>
      </c>
      <c r="E23" s="43" t="s">
        <v>56</v>
      </c>
      <c r="F23" s="9" t="s">
        <v>55</v>
      </c>
      <c r="G23" s="7" t="s">
        <v>553</v>
      </c>
      <c r="H23" s="1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 1454:1454" s="2" customFormat="1" ht="21" hidden="1" customHeight="1" x14ac:dyDescent="0.25">
      <c r="A24" s="7">
        <v>22</v>
      </c>
      <c r="B24" s="7" t="s">
        <v>122</v>
      </c>
      <c r="C24" s="40" t="s">
        <v>123</v>
      </c>
      <c r="D24" s="8">
        <v>25200</v>
      </c>
      <c r="E24" s="43" t="s">
        <v>56</v>
      </c>
      <c r="F24" s="9" t="s">
        <v>104</v>
      </c>
      <c r="G24" s="7" t="s">
        <v>553</v>
      </c>
      <c r="H24" s="1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1:33 1454:1454" s="2" customFormat="1" ht="21" hidden="1" customHeight="1" x14ac:dyDescent="0.25">
      <c r="A25" s="7">
        <v>23</v>
      </c>
      <c r="B25" s="7" t="s">
        <v>118</v>
      </c>
      <c r="C25" s="40" t="s">
        <v>119</v>
      </c>
      <c r="D25" s="8">
        <v>4256700</v>
      </c>
      <c r="E25" s="43" t="s">
        <v>120</v>
      </c>
      <c r="F25" s="9" t="s">
        <v>121</v>
      </c>
      <c r="G25" s="7" t="s">
        <v>553</v>
      </c>
      <c r="H25" s="1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33 1454:1454" s="2" customFormat="1" ht="30" hidden="1" customHeight="1" x14ac:dyDescent="0.25">
      <c r="A26" s="7">
        <v>24</v>
      </c>
      <c r="B26" s="7" t="s">
        <v>138</v>
      </c>
      <c r="C26" s="40" t="s">
        <v>155</v>
      </c>
      <c r="D26" s="8">
        <v>56700</v>
      </c>
      <c r="E26" s="43" t="s">
        <v>56</v>
      </c>
      <c r="F26" s="9" t="s">
        <v>104</v>
      </c>
      <c r="G26" s="7" t="s">
        <v>553</v>
      </c>
      <c r="H26" s="1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 spans="1:33 1454:1454" s="2" customFormat="1" ht="67.5" hidden="1" customHeight="1" x14ac:dyDescent="0.25">
      <c r="A27" s="7">
        <v>25</v>
      </c>
      <c r="B27" s="7" t="s">
        <v>136</v>
      </c>
      <c r="C27" s="40" t="s">
        <v>156</v>
      </c>
      <c r="D27" s="8">
        <v>2100</v>
      </c>
      <c r="E27" s="43" t="s">
        <v>131</v>
      </c>
      <c r="F27" s="9" t="s">
        <v>137</v>
      </c>
      <c r="G27" s="7" t="s">
        <v>553</v>
      </c>
      <c r="H27" s="1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 spans="1:33 1454:1454" s="2" customFormat="1" ht="14.25" hidden="1" customHeight="1" x14ac:dyDescent="0.25">
      <c r="A28" s="129"/>
      <c r="B28" s="130"/>
      <c r="C28" s="131"/>
      <c r="D28" s="45">
        <f>SUM(D3:D27)</f>
        <v>23792600</v>
      </c>
      <c r="E28" s="40"/>
      <c r="F28" s="40"/>
      <c r="G28" s="40"/>
      <c r="H28" s="45">
        <f>366000+11638300</f>
        <v>12004300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 1454:1454" ht="18" customHeight="1" x14ac:dyDescent="0.25">
      <c r="A29" s="108" t="s">
        <v>84</v>
      </c>
      <c r="B29" s="109"/>
      <c r="C29" s="109"/>
      <c r="D29" s="109"/>
      <c r="E29" s="109"/>
      <c r="F29" s="109"/>
      <c r="G29" s="109"/>
      <c r="H29" s="10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BCX29"/>
    </row>
    <row r="30" spans="1:33 1454:1454" ht="39.950000000000003" customHeight="1" x14ac:dyDescent="0.25">
      <c r="A30" s="7">
        <v>1</v>
      </c>
      <c r="B30" s="7" t="s">
        <v>18</v>
      </c>
      <c r="C30" s="40" t="s">
        <v>19</v>
      </c>
      <c r="D30" s="8">
        <v>1100000</v>
      </c>
      <c r="E30" s="9" t="s">
        <v>4</v>
      </c>
      <c r="F30" s="9" t="s">
        <v>106</v>
      </c>
      <c r="G30" s="7" t="s">
        <v>566</v>
      </c>
      <c r="H30" s="42">
        <v>1100000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BCX30"/>
    </row>
    <row r="31" spans="1:33 1454:1454" ht="63" customHeight="1" x14ac:dyDescent="0.25">
      <c r="A31" s="7">
        <v>2</v>
      </c>
      <c r="B31" s="7" t="s">
        <v>599</v>
      </c>
      <c r="C31" s="40" t="s">
        <v>20</v>
      </c>
      <c r="D31" s="8">
        <v>5512000</v>
      </c>
      <c r="E31" s="9" t="s">
        <v>4</v>
      </c>
      <c r="F31" s="9" t="s">
        <v>128</v>
      </c>
      <c r="G31" s="7"/>
      <c r="H31" s="4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BCX31"/>
    </row>
    <row r="32" spans="1:33 1454:1454" ht="39.950000000000003" customHeight="1" x14ac:dyDescent="0.25">
      <c r="A32" s="7">
        <v>3</v>
      </c>
      <c r="B32" s="7" t="s">
        <v>22</v>
      </c>
      <c r="C32" s="46" t="s">
        <v>21</v>
      </c>
      <c r="D32" s="8">
        <v>2605000</v>
      </c>
      <c r="E32" s="9" t="s">
        <v>4</v>
      </c>
      <c r="F32" s="9" t="s">
        <v>127</v>
      </c>
      <c r="G32" s="7" t="s">
        <v>570</v>
      </c>
      <c r="H32" s="42">
        <v>2605000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BCX32"/>
    </row>
    <row r="33" spans="1:33 1454:1454" ht="39.950000000000003" customHeight="1" x14ac:dyDescent="0.25">
      <c r="A33" s="39"/>
      <c r="B33" s="39" t="s">
        <v>562</v>
      </c>
      <c r="C33" s="47" t="s">
        <v>563</v>
      </c>
      <c r="D33" s="38">
        <v>5718000</v>
      </c>
      <c r="E33" s="48" t="s">
        <v>564</v>
      </c>
      <c r="F33" s="48"/>
      <c r="G33" s="39" t="s">
        <v>565</v>
      </c>
      <c r="H33" s="49">
        <v>5718000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BCX33"/>
    </row>
    <row r="34" spans="1:33 1454:1454" ht="39.950000000000003" customHeight="1" x14ac:dyDescent="0.25">
      <c r="A34" s="110">
        <v>4</v>
      </c>
      <c r="B34" s="110" t="s">
        <v>249</v>
      </c>
      <c r="C34" s="110" t="s">
        <v>250</v>
      </c>
      <c r="D34" s="126">
        <v>4090000</v>
      </c>
      <c r="E34" s="110" t="s">
        <v>251</v>
      </c>
      <c r="F34" s="110" t="s">
        <v>128</v>
      </c>
      <c r="G34" s="110" t="s">
        <v>557</v>
      </c>
      <c r="H34" s="113">
        <v>4090000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BCX34"/>
    </row>
    <row r="35" spans="1:33 1454:1454" ht="39.950000000000003" customHeight="1" x14ac:dyDescent="0.25">
      <c r="A35" s="120"/>
      <c r="B35" s="120"/>
      <c r="C35" s="120"/>
      <c r="D35" s="127"/>
      <c r="E35" s="120"/>
      <c r="F35" s="120"/>
      <c r="G35" s="111"/>
      <c r="H35" s="11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BCX35"/>
    </row>
    <row r="36" spans="1:33 1454:1454" ht="39.950000000000003" customHeight="1" x14ac:dyDescent="0.25">
      <c r="A36" s="121"/>
      <c r="B36" s="121"/>
      <c r="C36" s="121"/>
      <c r="D36" s="128"/>
      <c r="E36" s="121"/>
      <c r="F36" s="121"/>
      <c r="G36" s="112"/>
      <c r="H36" s="115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BCX36"/>
    </row>
    <row r="37" spans="1:33 1454:1454" ht="39.950000000000003" customHeight="1" x14ac:dyDescent="0.25">
      <c r="A37" s="7">
        <v>5</v>
      </c>
      <c r="B37" s="7" t="s">
        <v>252</v>
      </c>
      <c r="C37" s="46" t="s">
        <v>253</v>
      </c>
      <c r="D37" s="8">
        <v>4838000</v>
      </c>
      <c r="E37" s="9" t="s">
        <v>254</v>
      </c>
      <c r="F37" s="9" t="s">
        <v>128</v>
      </c>
      <c r="G37" s="7"/>
      <c r="H37" s="42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BCX37"/>
    </row>
    <row r="38" spans="1:33 1454:1454" ht="39.950000000000003" customHeight="1" x14ac:dyDescent="0.25">
      <c r="A38" s="7">
        <v>6</v>
      </c>
      <c r="B38" s="7" t="s">
        <v>567</v>
      </c>
      <c r="C38" s="46" t="s">
        <v>568</v>
      </c>
      <c r="D38" s="8">
        <v>6107000</v>
      </c>
      <c r="E38" s="9" t="s">
        <v>254</v>
      </c>
      <c r="F38" s="9" t="s">
        <v>643</v>
      </c>
      <c r="G38" s="7" t="s">
        <v>569</v>
      </c>
      <c r="H38" s="42">
        <v>6107000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BCX38"/>
    </row>
    <row r="39" spans="1:33 1454:1454" ht="39.950000000000003" customHeight="1" x14ac:dyDescent="0.25">
      <c r="A39" s="7">
        <v>7</v>
      </c>
      <c r="B39" s="7" t="s">
        <v>256</v>
      </c>
      <c r="C39" s="46" t="s">
        <v>255</v>
      </c>
      <c r="D39" s="8">
        <v>4580000</v>
      </c>
      <c r="E39" s="9" t="s">
        <v>4</v>
      </c>
      <c r="F39" s="9" t="s">
        <v>128</v>
      </c>
      <c r="G39" s="7" t="s">
        <v>558</v>
      </c>
      <c r="H39" s="42">
        <v>4580000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BCX39"/>
    </row>
    <row r="40" spans="1:33 1454:1454" ht="39.950000000000003" customHeight="1" x14ac:dyDescent="0.25">
      <c r="A40" s="50">
        <v>8</v>
      </c>
      <c r="B40" s="50" t="s">
        <v>257</v>
      </c>
      <c r="C40" s="51" t="s">
        <v>258</v>
      </c>
      <c r="D40" s="52">
        <v>1591000</v>
      </c>
      <c r="E40" s="53" t="s">
        <v>251</v>
      </c>
      <c r="F40" s="53" t="s">
        <v>127</v>
      </c>
      <c r="G40" s="7"/>
      <c r="H40" s="42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BCX40"/>
    </row>
    <row r="41" spans="1:33 1454:1454" ht="39.950000000000003" customHeight="1" x14ac:dyDescent="0.25">
      <c r="A41" s="110">
        <v>9</v>
      </c>
      <c r="B41" s="110" t="s">
        <v>259</v>
      </c>
      <c r="C41" s="110" t="s">
        <v>358</v>
      </c>
      <c r="D41" s="126">
        <v>261000</v>
      </c>
      <c r="E41" s="110" t="s">
        <v>251</v>
      </c>
      <c r="F41" s="110" t="s">
        <v>127</v>
      </c>
      <c r="G41" s="110" t="s">
        <v>571</v>
      </c>
      <c r="H41" s="113">
        <v>261000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BCX41"/>
    </row>
    <row r="42" spans="1:33 1454:1454" ht="39.950000000000003" customHeight="1" x14ac:dyDescent="0.25">
      <c r="A42" s="120"/>
      <c r="B42" s="120"/>
      <c r="C42" s="120"/>
      <c r="D42" s="127"/>
      <c r="E42" s="120"/>
      <c r="F42" s="120"/>
      <c r="G42" s="111"/>
      <c r="H42" s="114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BCX42"/>
    </row>
    <row r="43" spans="1:33 1454:1454" ht="39.950000000000003" customHeight="1" x14ac:dyDescent="0.25">
      <c r="A43" s="121"/>
      <c r="B43" s="121"/>
      <c r="C43" s="121"/>
      <c r="D43" s="128"/>
      <c r="E43" s="121"/>
      <c r="F43" s="121"/>
      <c r="G43" s="112"/>
      <c r="H43" s="115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BCX43"/>
    </row>
    <row r="44" spans="1:33 1454:1454" ht="39.950000000000003" customHeight="1" x14ac:dyDescent="0.25">
      <c r="A44" s="110">
        <v>10</v>
      </c>
      <c r="B44" s="110" t="s">
        <v>423</v>
      </c>
      <c r="C44" s="110" t="s">
        <v>290</v>
      </c>
      <c r="D44" s="126">
        <v>4832000</v>
      </c>
      <c r="E44" s="110" t="s">
        <v>291</v>
      </c>
      <c r="F44" s="110" t="s">
        <v>128</v>
      </c>
      <c r="G44" s="110" t="s">
        <v>560</v>
      </c>
      <c r="H44" s="113">
        <v>4832000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BCX44"/>
    </row>
    <row r="45" spans="1:33 1454:1454" ht="39.950000000000003" customHeight="1" x14ac:dyDescent="0.25">
      <c r="A45" s="120"/>
      <c r="B45" s="120"/>
      <c r="C45" s="120"/>
      <c r="D45" s="127"/>
      <c r="E45" s="120"/>
      <c r="F45" s="120"/>
      <c r="G45" s="111"/>
      <c r="H45" s="114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BCX45"/>
    </row>
    <row r="46" spans="1:33 1454:1454" ht="39.950000000000003" customHeight="1" x14ac:dyDescent="0.25">
      <c r="A46" s="121"/>
      <c r="B46" s="121"/>
      <c r="C46" s="121"/>
      <c r="D46" s="128"/>
      <c r="E46" s="121"/>
      <c r="F46" s="121"/>
      <c r="G46" s="112"/>
      <c r="H46" s="115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BCX46"/>
    </row>
    <row r="47" spans="1:33 1454:1454" ht="39.950000000000003" customHeight="1" x14ac:dyDescent="0.25">
      <c r="A47" s="110">
        <v>11</v>
      </c>
      <c r="B47" s="110" t="s">
        <v>351</v>
      </c>
      <c r="C47" s="110" t="s">
        <v>352</v>
      </c>
      <c r="D47" s="126">
        <v>5529000</v>
      </c>
      <c r="E47" s="110" t="s">
        <v>353</v>
      </c>
      <c r="F47" s="110" t="s">
        <v>128</v>
      </c>
      <c r="G47" s="110" t="s">
        <v>594</v>
      </c>
      <c r="H47" s="113">
        <v>5529000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BCX47"/>
    </row>
    <row r="48" spans="1:33 1454:1454" ht="39.950000000000003" customHeight="1" x14ac:dyDescent="0.25">
      <c r="A48" s="120"/>
      <c r="B48" s="120"/>
      <c r="C48" s="120"/>
      <c r="D48" s="132"/>
      <c r="E48" s="120"/>
      <c r="F48" s="120"/>
      <c r="G48" s="111"/>
      <c r="H48" s="114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BCX48"/>
    </row>
    <row r="49" spans="1:33 1454:1454" ht="39.950000000000003" customHeight="1" x14ac:dyDescent="0.25">
      <c r="A49" s="121"/>
      <c r="B49" s="121"/>
      <c r="C49" s="121"/>
      <c r="D49" s="133"/>
      <c r="E49" s="121"/>
      <c r="F49" s="121"/>
      <c r="G49" s="112"/>
      <c r="H49" s="115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BCX49"/>
    </row>
    <row r="50" spans="1:33 1454:1454" ht="39.950000000000003" customHeight="1" x14ac:dyDescent="0.25">
      <c r="A50" s="110">
        <v>12</v>
      </c>
      <c r="B50" s="110" t="s">
        <v>349</v>
      </c>
      <c r="C50" s="110" t="s">
        <v>350</v>
      </c>
      <c r="D50" s="126">
        <v>535000</v>
      </c>
      <c r="E50" s="110" t="s">
        <v>347</v>
      </c>
      <c r="F50" s="110" t="s">
        <v>127</v>
      </c>
      <c r="G50" s="110" t="s">
        <v>561</v>
      </c>
      <c r="H50" s="113">
        <v>535000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BCX50"/>
    </row>
    <row r="51" spans="1:33 1454:1454" ht="39.950000000000003" customHeight="1" x14ac:dyDescent="0.25">
      <c r="A51" s="120"/>
      <c r="B51" s="120"/>
      <c r="C51" s="120"/>
      <c r="D51" s="127"/>
      <c r="E51" s="120"/>
      <c r="F51" s="120"/>
      <c r="G51" s="111"/>
      <c r="H51" s="114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BCX51"/>
    </row>
    <row r="52" spans="1:33 1454:1454" ht="39.950000000000003" customHeight="1" x14ac:dyDescent="0.25">
      <c r="A52" s="121"/>
      <c r="B52" s="121"/>
      <c r="C52" s="121"/>
      <c r="D52" s="128"/>
      <c r="E52" s="121"/>
      <c r="F52" s="121"/>
      <c r="G52" s="112"/>
      <c r="H52" s="115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BCX52"/>
    </row>
    <row r="53" spans="1:33 1454:1454" ht="39.950000000000003" customHeight="1" x14ac:dyDescent="0.25">
      <c r="A53" s="7">
        <v>13</v>
      </c>
      <c r="B53" s="7" t="s">
        <v>345</v>
      </c>
      <c r="C53" s="40" t="s">
        <v>346</v>
      </c>
      <c r="D53" s="8">
        <v>1232000</v>
      </c>
      <c r="E53" s="9" t="s">
        <v>347</v>
      </c>
      <c r="F53" s="9" t="s">
        <v>348</v>
      </c>
      <c r="G53" s="7" t="s">
        <v>559</v>
      </c>
      <c r="H53" s="42">
        <v>1232000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BCX53"/>
    </row>
    <row r="54" spans="1:33 1454:1454" ht="39.950000000000003" customHeight="1" x14ac:dyDescent="0.25">
      <c r="A54" s="7">
        <v>14</v>
      </c>
      <c r="B54" s="7" t="s">
        <v>406</v>
      </c>
      <c r="C54" s="7" t="s">
        <v>407</v>
      </c>
      <c r="D54" s="8">
        <v>12000</v>
      </c>
      <c r="E54" s="9" t="s">
        <v>408</v>
      </c>
      <c r="F54" s="9" t="s">
        <v>348</v>
      </c>
      <c r="G54" s="54"/>
      <c r="H54" s="4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BCX54"/>
    </row>
    <row r="55" spans="1:33 1454:1454" ht="39.950000000000003" customHeight="1" x14ac:dyDescent="0.25">
      <c r="A55" s="7">
        <v>15</v>
      </c>
      <c r="B55" s="7" t="s">
        <v>409</v>
      </c>
      <c r="C55" s="7" t="s">
        <v>410</v>
      </c>
      <c r="D55" s="8">
        <v>13356000</v>
      </c>
      <c r="E55" s="9" t="s">
        <v>408</v>
      </c>
      <c r="F55" s="9" t="s">
        <v>68</v>
      </c>
      <c r="G55" s="54"/>
      <c r="H55" s="44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BCX55"/>
    </row>
    <row r="56" spans="1:33 1454:1454" ht="39.950000000000003" customHeight="1" x14ac:dyDescent="0.25">
      <c r="A56" s="7">
        <v>16</v>
      </c>
      <c r="B56" s="7" t="s">
        <v>458</v>
      </c>
      <c r="C56" s="7" t="s">
        <v>459</v>
      </c>
      <c r="D56" s="8">
        <v>7321500</v>
      </c>
      <c r="E56" s="9" t="s">
        <v>460</v>
      </c>
      <c r="F56" s="9" t="s">
        <v>127</v>
      </c>
      <c r="G56" s="54"/>
      <c r="H56" s="44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BCX56"/>
    </row>
    <row r="57" spans="1:33 1454:1454" ht="39.950000000000003" customHeight="1" x14ac:dyDescent="0.25">
      <c r="A57" s="7">
        <v>17</v>
      </c>
      <c r="B57" s="7" t="s">
        <v>496</v>
      </c>
      <c r="C57" s="7" t="s">
        <v>461</v>
      </c>
      <c r="D57" s="8">
        <v>7310250</v>
      </c>
      <c r="E57" s="9" t="s">
        <v>408</v>
      </c>
      <c r="F57" s="9" t="s">
        <v>127</v>
      </c>
      <c r="G57" s="54"/>
      <c r="H57" s="44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BCX57"/>
    </row>
    <row r="58" spans="1:33 1454:1454" ht="39.950000000000003" customHeight="1" x14ac:dyDescent="0.25">
      <c r="A58" s="110">
        <v>18</v>
      </c>
      <c r="B58" s="7" t="s">
        <v>477</v>
      </c>
      <c r="C58" s="7" t="s">
        <v>478</v>
      </c>
      <c r="D58" s="8">
        <v>8865000</v>
      </c>
      <c r="E58" s="9" t="s">
        <v>460</v>
      </c>
      <c r="F58" s="9" t="s">
        <v>68</v>
      </c>
      <c r="G58" s="54"/>
      <c r="H58" s="44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BCX58"/>
    </row>
    <row r="59" spans="1:33 1454:1454" ht="39.950000000000003" customHeight="1" x14ac:dyDescent="0.25">
      <c r="A59" s="112"/>
      <c r="B59" s="7" t="s">
        <v>735</v>
      </c>
      <c r="C59" s="7" t="s">
        <v>736</v>
      </c>
      <c r="D59" s="8">
        <v>8815500</v>
      </c>
      <c r="E59" s="9"/>
      <c r="F59" s="9"/>
      <c r="G59" s="54"/>
      <c r="H59" s="44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BCX59"/>
    </row>
    <row r="60" spans="1:33 1454:1454" ht="39.950000000000003" customHeight="1" x14ac:dyDescent="0.25">
      <c r="A60" s="7">
        <v>19</v>
      </c>
      <c r="B60" s="7" t="s">
        <v>485</v>
      </c>
      <c r="C60" s="7" t="s">
        <v>486</v>
      </c>
      <c r="D60" s="8">
        <v>1192500</v>
      </c>
      <c r="E60" s="9" t="s">
        <v>487</v>
      </c>
      <c r="F60" s="9" t="s">
        <v>488</v>
      </c>
      <c r="G60" s="54"/>
      <c r="H60" s="44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BCX60"/>
    </row>
    <row r="61" spans="1:33 1454:1454" ht="39.950000000000003" customHeight="1" x14ac:dyDescent="0.25">
      <c r="A61" s="7">
        <v>20</v>
      </c>
      <c r="B61" s="7" t="s">
        <v>572</v>
      </c>
      <c r="C61" s="7" t="s">
        <v>573</v>
      </c>
      <c r="D61" s="8">
        <v>132750</v>
      </c>
      <c r="E61" s="9" t="s">
        <v>574</v>
      </c>
      <c r="F61" s="9" t="s">
        <v>68</v>
      </c>
      <c r="G61" s="54"/>
      <c r="H61" s="44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BCX61"/>
    </row>
    <row r="62" spans="1:33 1454:1454" ht="39.950000000000003" customHeight="1" x14ac:dyDescent="0.25">
      <c r="A62" s="7">
        <v>21</v>
      </c>
      <c r="B62" s="7" t="s">
        <v>589</v>
      </c>
      <c r="C62" s="7" t="s">
        <v>590</v>
      </c>
      <c r="D62" s="8">
        <v>515250</v>
      </c>
      <c r="E62" s="9" t="s">
        <v>591</v>
      </c>
      <c r="F62" s="9" t="s">
        <v>68</v>
      </c>
      <c r="G62" s="54"/>
      <c r="H62" s="44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BCX62"/>
    </row>
    <row r="63" spans="1:33 1454:1454" ht="18.75" hidden="1" customHeight="1" x14ac:dyDescent="0.25">
      <c r="A63" s="108" t="s">
        <v>83</v>
      </c>
      <c r="B63" s="109"/>
      <c r="C63" s="109"/>
      <c r="D63" s="109"/>
      <c r="E63" s="109"/>
      <c r="F63" s="109"/>
      <c r="G63" s="109"/>
      <c r="H63" s="109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BCX63"/>
    </row>
    <row r="64" spans="1:33 1454:1454" ht="23.25" hidden="1" customHeight="1" x14ac:dyDescent="0.25">
      <c r="A64" s="7">
        <v>1</v>
      </c>
      <c r="B64" s="28" t="s">
        <v>508</v>
      </c>
      <c r="C64" s="28"/>
      <c r="D64" s="55">
        <v>3651371.78</v>
      </c>
      <c r="E64" s="28" t="s">
        <v>509</v>
      </c>
      <c r="F64" s="28"/>
      <c r="G64" s="28" t="s">
        <v>507</v>
      </c>
      <c r="H64" s="55">
        <f>1078000+2573371.78</f>
        <v>3651371.78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BCX64"/>
    </row>
    <row r="65" spans="1:33 1454:1454" ht="16.5" hidden="1" customHeight="1" x14ac:dyDescent="0.25">
      <c r="A65" s="125"/>
      <c r="B65" s="125"/>
      <c r="C65" s="125"/>
      <c r="D65" s="45">
        <f>D64</f>
        <v>3651371.78</v>
      </c>
      <c r="E65" s="28"/>
      <c r="F65" s="28"/>
      <c r="G65" s="26"/>
      <c r="H65" s="56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BCX65"/>
    </row>
    <row r="66" spans="1:33 1454:1454" ht="19.5" customHeight="1" x14ac:dyDescent="0.25">
      <c r="A66" s="108" t="s">
        <v>159</v>
      </c>
      <c r="B66" s="109"/>
      <c r="C66" s="109"/>
      <c r="D66" s="109"/>
      <c r="E66" s="109"/>
      <c r="F66" s="109"/>
      <c r="G66" s="109"/>
      <c r="H66" s="109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BCX66"/>
    </row>
    <row r="67" spans="1:33 1454:1454" ht="25.5" customHeight="1" x14ac:dyDescent="0.25">
      <c r="A67" s="7">
        <v>1</v>
      </c>
      <c r="B67" s="26" t="s">
        <v>294</v>
      </c>
      <c r="C67" s="27" t="s">
        <v>295</v>
      </c>
      <c r="D67" s="8">
        <v>200200</v>
      </c>
      <c r="E67" s="57" t="s">
        <v>296</v>
      </c>
      <c r="F67" s="57" t="s">
        <v>68</v>
      </c>
      <c r="G67" s="26" t="s">
        <v>546</v>
      </c>
      <c r="H67" s="56">
        <v>200200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BCX67"/>
    </row>
    <row r="68" spans="1:33 1454:1454" ht="25.5" customHeight="1" x14ac:dyDescent="0.25">
      <c r="A68" s="25">
        <v>2</v>
      </c>
      <c r="B68" s="26" t="s">
        <v>313</v>
      </c>
      <c r="C68" s="27" t="s">
        <v>314</v>
      </c>
      <c r="D68" s="8">
        <v>6600</v>
      </c>
      <c r="E68" s="57" t="s">
        <v>315</v>
      </c>
      <c r="F68" s="57" t="s">
        <v>68</v>
      </c>
      <c r="G68" s="26" t="s">
        <v>547</v>
      </c>
      <c r="H68" s="56">
        <v>6600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BCX68"/>
    </row>
    <row r="69" spans="1:33 1454:1454" ht="33.75" customHeight="1" x14ac:dyDescent="0.25">
      <c r="A69" s="25">
        <v>3</v>
      </c>
      <c r="B69" s="26" t="s">
        <v>374</v>
      </c>
      <c r="C69" s="27" t="s">
        <v>601</v>
      </c>
      <c r="D69" s="8">
        <v>606250</v>
      </c>
      <c r="E69" s="57" t="s">
        <v>344</v>
      </c>
      <c r="F69" s="57" t="s">
        <v>213</v>
      </c>
      <c r="G69" s="3" t="s">
        <v>629</v>
      </c>
      <c r="H69" s="56">
        <v>606250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BCX69"/>
    </row>
    <row r="70" spans="1:33 1454:1454" ht="25.5" customHeight="1" x14ac:dyDescent="0.25">
      <c r="A70" s="60">
        <v>5</v>
      </c>
      <c r="B70" s="7" t="s">
        <v>391</v>
      </c>
      <c r="C70" s="40" t="s">
        <v>392</v>
      </c>
      <c r="D70" s="8">
        <v>6632500</v>
      </c>
      <c r="E70" s="43" t="s">
        <v>393</v>
      </c>
      <c r="F70" s="43" t="s">
        <v>335</v>
      </c>
      <c r="G70" s="3" t="s">
        <v>630</v>
      </c>
      <c r="H70" s="56">
        <v>6632500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BCX70"/>
    </row>
    <row r="71" spans="1:33 1454:1454" ht="55.5" customHeight="1" x14ac:dyDescent="0.25">
      <c r="A71" s="60">
        <v>6</v>
      </c>
      <c r="B71" s="7" t="s">
        <v>424</v>
      </c>
      <c r="C71" s="40" t="s">
        <v>425</v>
      </c>
      <c r="D71" s="8">
        <v>3604000</v>
      </c>
      <c r="E71" s="43" t="s">
        <v>426</v>
      </c>
      <c r="F71" s="43" t="s">
        <v>213</v>
      </c>
      <c r="G71" s="3" t="s">
        <v>686</v>
      </c>
      <c r="H71" s="94">
        <v>3604000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BCX71"/>
    </row>
    <row r="72" spans="1:33 1454:1454" ht="63" customHeight="1" x14ac:dyDescent="0.25">
      <c r="A72" s="60">
        <v>7</v>
      </c>
      <c r="B72" s="7" t="s">
        <v>434</v>
      </c>
      <c r="C72" s="40" t="s">
        <v>439</v>
      </c>
      <c r="D72" s="8">
        <v>4706400</v>
      </c>
      <c r="E72" s="43" t="s">
        <v>435</v>
      </c>
      <c r="F72" s="43" t="s">
        <v>436</v>
      </c>
      <c r="G72" s="3" t="s">
        <v>687</v>
      </c>
      <c r="H72" s="94">
        <v>4706400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BCX72"/>
    </row>
    <row r="73" spans="1:33 1454:1454" ht="63" customHeight="1" x14ac:dyDescent="0.25">
      <c r="A73" s="60">
        <v>8</v>
      </c>
      <c r="B73" s="7" t="s">
        <v>437</v>
      </c>
      <c r="C73" s="40" t="s">
        <v>438</v>
      </c>
      <c r="D73" s="8">
        <v>1693350</v>
      </c>
      <c r="E73" s="43" t="s">
        <v>440</v>
      </c>
      <c r="F73" s="43" t="s">
        <v>436</v>
      </c>
      <c r="G73" s="3" t="s">
        <v>685</v>
      </c>
      <c r="H73" s="94">
        <v>1693350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BCX73"/>
    </row>
    <row r="74" spans="1:33 1454:1454" ht="21.75" customHeight="1" x14ac:dyDescent="0.25">
      <c r="A74" s="108" t="s">
        <v>81</v>
      </c>
      <c r="B74" s="109"/>
      <c r="C74" s="109"/>
      <c r="D74" s="109"/>
      <c r="E74" s="109"/>
      <c r="F74" s="109"/>
      <c r="G74" s="109"/>
      <c r="H74" s="109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BCX74"/>
    </row>
    <row r="75" spans="1:33 1454:1454" ht="44.25" customHeight="1" x14ac:dyDescent="0.25">
      <c r="A75" s="7">
        <v>1</v>
      </c>
      <c r="B75" s="26" t="s">
        <v>27</v>
      </c>
      <c r="C75" s="27" t="s">
        <v>23</v>
      </c>
      <c r="D75" s="8">
        <v>48000</v>
      </c>
      <c r="E75" s="28" t="s">
        <v>24</v>
      </c>
      <c r="F75" s="28" t="s">
        <v>73</v>
      </c>
      <c r="G75" s="26" t="s">
        <v>111</v>
      </c>
      <c r="H75" s="56">
        <v>48000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BCX75"/>
    </row>
    <row r="76" spans="1:33 1454:1454" ht="22.5" customHeight="1" x14ac:dyDescent="0.25">
      <c r="A76" s="7">
        <v>2</v>
      </c>
      <c r="B76" s="26" t="s">
        <v>65</v>
      </c>
      <c r="C76" s="27" t="s">
        <v>66</v>
      </c>
      <c r="D76" s="8">
        <v>159000</v>
      </c>
      <c r="E76" s="28" t="s">
        <v>67</v>
      </c>
      <c r="F76" s="28" t="s">
        <v>72</v>
      </c>
      <c r="G76" s="26" t="s">
        <v>114</v>
      </c>
      <c r="H76" s="56">
        <v>159000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BCX76"/>
    </row>
    <row r="77" spans="1:33 1454:1454" ht="22.5" customHeight="1" x14ac:dyDescent="0.25">
      <c r="A77" s="7">
        <v>3</v>
      </c>
      <c r="B77" s="26" t="s">
        <v>69</v>
      </c>
      <c r="C77" s="27" t="s">
        <v>70</v>
      </c>
      <c r="D77" s="8">
        <v>480000</v>
      </c>
      <c r="E77" s="28" t="s">
        <v>71</v>
      </c>
      <c r="F77" s="28" t="s">
        <v>73</v>
      </c>
      <c r="G77" s="26" t="s">
        <v>117</v>
      </c>
      <c r="H77" s="56">
        <v>480000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BCX77"/>
    </row>
    <row r="78" spans="1:33 1454:1454" ht="22.5" customHeight="1" x14ac:dyDescent="0.25">
      <c r="A78" s="7">
        <v>4</v>
      </c>
      <c r="B78" s="26" t="s">
        <v>79</v>
      </c>
      <c r="C78" s="27" t="s">
        <v>94</v>
      </c>
      <c r="D78" s="8">
        <v>369000</v>
      </c>
      <c r="E78" s="28" t="s">
        <v>80</v>
      </c>
      <c r="F78" s="28" t="s">
        <v>73</v>
      </c>
      <c r="G78" s="26" t="s">
        <v>116</v>
      </c>
      <c r="H78" s="56">
        <v>369000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BCX78"/>
    </row>
    <row r="79" spans="1:33 1454:1454" ht="22.5" customHeight="1" x14ac:dyDescent="0.25">
      <c r="A79" s="7">
        <v>5</v>
      </c>
      <c r="B79" s="26" t="s">
        <v>100</v>
      </c>
      <c r="C79" s="27" t="s">
        <v>102</v>
      </c>
      <c r="D79" s="8">
        <v>60000</v>
      </c>
      <c r="E79" s="28" t="s">
        <v>101</v>
      </c>
      <c r="F79" s="28" t="s">
        <v>73</v>
      </c>
      <c r="G79" s="26" t="s">
        <v>112</v>
      </c>
      <c r="H79" s="56">
        <v>60000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BCX79"/>
    </row>
    <row r="80" spans="1:33 1454:1454" ht="22.5" customHeight="1" x14ac:dyDescent="0.25">
      <c r="A80" s="7">
        <v>6</v>
      </c>
      <c r="B80" s="26" t="s">
        <v>129</v>
      </c>
      <c r="C80" s="27" t="s">
        <v>130</v>
      </c>
      <c r="D80" s="8">
        <v>132000</v>
      </c>
      <c r="E80" s="57" t="s">
        <v>131</v>
      </c>
      <c r="F80" s="28" t="s">
        <v>135</v>
      </c>
      <c r="G80" s="27" t="s">
        <v>545</v>
      </c>
      <c r="H80" s="56">
        <v>132000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BCX80"/>
    </row>
    <row r="81" spans="1:33 1454:1454" ht="22.5" customHeight="1" x14ac:dyDescent="0.25">
      <c r="A81" s="7">
        <v>7</v>
      </c>
      <c r="B81" s="26" t="s">
        <v>132</v>
      </c>
      <c r="C81" s="27" t="s">
        <v>133</v>
      </c>
      <c r="D81" s="8">
        <v>93000</v>
      </c>
      <c r="E81" s="57" t="s">
        <v>134</v>
      </c>
      <c r="F81" s="28" t="s">
        <v>135</v>
      </c>
      <c r="G81" s="123" t="s">
        <v>235</v>
      </c>
      <c r="H81" s="124">
        <v>198000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BCX81"/>
    </row>
    <row r="82" spans="1:33 1454:1454" ht="22.5" customHeight="1" x14ac:dyDescent="0.25">
      <c r="A82" s="7">
        <v>8</v>
      </c>
      <c r="B82" s="26" t="s">
        <v>145</v>
      </c>
      <c r="C82" s="27" t="s">
        <v>146</v>
      </c>
      <c r="D82" s="8">
        <v>90000</v>
      </c>
      <c r="E82" s="57" t="s">
        <v>147</v>
      </c>
      <c r="F82" s="28" t="s">
        <v>151</v>
      </c>
      <c r="G82" s="123"/>
      <c r="H82" s="124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BCX82"/>
    </row>
    <row r="83" spans="1:33 1454:1454" ht="22.5" customHeight="1" x14ac:dyDescent="0.25">
      <c r="A83" s="7">
        <v>9</v>
      </c>
      <c r="B83" s="26" t="s">
        <v>148</v>
      </c>
      <c r="C83" s="27" t="s">
        <v>149</v>
      </c>
      <c r="D83" s="8">
        <v>15000</v>
      </c>
      <c r="E83" s="28" t="s">
        <v>150</v>
      </c>
      <c r="F83" s="28" t="s">
        <v>157</v>
      </c>
      <c r="G83" s="123"/>
      <c r="H83" s="124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BCX83"/>
    </row>
    <row r="84" spans="1:33 1454:1454" ht="22.5" customHeight="1" x14ac:dyDescent="0.25">
      <c r="A84" s="7">
        <v>10</v>
      </c>
      <c r="B84" s="26" t="s">
        <v>152</v>
      </c>
      <c r="C84" s="27" t="s">
        <v>153</v>
      </c>
      <c r="D84" s="8">
        <v>18000</v>
      </c>
      <c r="E84" s="28" t="s">
        <v>154</v>
      </c>
      <c r="F84" s="28" t="s">
        <v>158</v>
      </c>
      <c r="G84" s="58"/>
      <c r="H84" s="59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BCX84"/>
    </row>
    <row r="85" spans="1:33 1454:1454" ht="22.5" customHeight="1" x14ac:dyDescent="0.25">
      <c r="A85" s="7">
        <v>11</v>
      </c>
      <c r="B85" s="26" t="s">
        <v>203</v>
      </c>
      <c r="C85" s="40" t="s">
        <v>371</v>
      </c>
      <c r="D85" s="8">
        <v>54000</v>
      </c>
      <c r="E85" s="28" t="s">
        <v>204</v>
      </c>
      <c r="F85" s="28" t="s">
        <v>55</v>
      </c>
      <c r="G85" s="123" t="s">
        <v>529</v>
      </c>
      <c r="H85" s="124">
        <v>829000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BCX85"/>
    </row>
    <row r="86" spans="1:33 1454:1454" ht="22.5" customHeight="1" x14ac:dyDescent="0.25">
      <c r="A86" s="7">
        <v>12</v>
      </c>
      <c r="B86" s="26" t="s">
        <v>209</v>
      </c>
      <c r="C86" s="40" t="s">
        <v>205</v>
      </c>
      <c r="D86" s="8">
        <v>72000</v>
      </c>
      <c r="E86" s="28" t="s">
        <v>206</v>
      </c>
      <c r="F86" s="28" t="s">
        <v>242</v>
      </c>
      <c r="G86" s="123"/>
      <c r="H86" s="124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BCX86"/>
    </row>
    <row r="87" spans="1:33 1454:1454" ht="22.5" customHeight="1" x14ac:dyDescent="0.25">
      <c r="A87" s="7">
        <v>13</v>
      </c>
      <c r="B87" s="26" t="s">
        <v>210</v>
      </c>
      <c r="C87" s="40" t="s">
        <v>208</v>
      </c>
      <c r="D87" s="8">
        <v>78000</v>
      </c>
      <c r="E87" s="28" t="s">
        <v>207</v>
      </c>
      <c r="F87" s="28" t="s">
        <v>68</v>
      </c>
      <c r="G87" s="123"/>
      <c r="H87" s="124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BCX87"/>
    </row>
    <row r="88" spans="1:33 1454:1454" ht="22.5" customHeight="1" x14ac:dyDescent="0.25">
      <c r="A88" s="7">
        <v>14</v>
      </c>
      <c r="B88" s="26" t="s">
        <v>239</v>
      </c>
      <c r="C88" s="40" t="s">
        <v>240</v>
      </c>
      <c r="D88" s="8">
        <v>328000</v>
      </c>
      <c r="E88" s="28" t="s">
        <v>241</v>
      </c>
      <c r="F88" s="28" t="s">
        <v>104</v>
      </c>
      <c r="G88" s="123"/>
      <c r="H88" s="124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BCX88"/>
    </row>
    <row r="89" spans="1:33 1454:1454" ht="22.5" customHeight="1" x14ac:dyDescent="0.25">
      <c r="A89" s="7">
        <v>15</v>
      </c>
      <c r="B89" s="26" t="s">
        <v>236</v>
      </c>
      <c r="C89" s="40" t="s">
        <v>237</v>
      </c>
      <c r="D89" s="8">
        <v>57000</v>
      </c>
      <c r="E89" s="28" t="s">
        <v>238</v>
      </c>
      <c r="F89" s="28" t="s">
        <v>68</v>
      </c>
      <c r="G89" s="123"/>
      <c r="H89" s="124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BCX89"/>
    </row>
    <row r="90" spans="1:33 1454:1454" ht="22.5" customHeight="1" x14ac:dyDescent="0.25">
      <c r="A90" s="7">
        <v>16</v>
      </c>
      <c r="B90" s="26" t="s">
        <v>519</v>
      </c>
      <c r="C90" s="40" t="s">
        <v>517</v>
      </c>
      <c r="D90" s="8">
        <v>21000</v>
      </c>
      <c r="E90" s="28" t="s">
        <v>518</v>
      </c>
      <c r="F90" s="28" t="s">
        <v>68</v>
      </c>
      <c r="G90" s="123"/>
      <c r="H90" s="124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BCX90"/>
    </row>
    <row r="91" spans="1:33 1454:1454" ht="22.5" customHeight="1" x14ac:dyDescent="0.25">
      <c r="A91" s="7">
        <v>17</v>
      </c>
      <c r="B91" s="26" t="s">
        <v>521</v>
      </c>
      <c r="C91" s="40" t="s">
        <v>520</v>
      </c>
      <c r="D91" s="8">
        <v>21000</v>
      </c>
      <c r="E91" s="28" t="s">
        <v>522</v>
      </c>
      <c r="F91" s="28" t="s">
        <v>68</v>
      </c>
      <c r="G91" s="123"/>
      <c r="H91" s="124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BCX91"/>
    </row>
    <row r="92" spans="1:33 1454:1454" ht="22.5" customHeight="1" x14ac:dyDescent="0.25">
      <c r="A92" s="7">
        <v>18</v>
      </c>
      <c r="B92" s="26" t="s">
        <v>527</v>
      </c>
      <c r="C92" s="40" t="s">
        <v>523</v>
      </c>
      <c r="D92" s="8">
        <v>165000</v>
      </c>
      <c r="E92" s="28" t="s">
        <v>528</v>
      </c>
      <c r="F92" s="28" t="s">
        <v>68</v>
      </c>
      <c r="G92" s="123"/>
      <c r="H92" s="124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BCX92"/>
    </row>
    <row r="93" spans="1:33 1454:1454" ht="22.5" customHeight="1" x14ac:dyDescent="0.25">
      <c r="A93" s="7">
        <v>19</v>
      </c>
      <c r="B93" s="26" t="s">
        <v>525</v>
      </c>
      <c r="C93" s="40" t="s">
        <v>524</v>
      </c>
      <c r="D93" s="8">
        <v>33000</v>
      </c>
      <c r="E93" s="28" t="s">
        <v>526</v>
      </c>
      <c r="F93" s="28" t="s">
        <v>55</v>
      </c>
      <c r="G93" s="123"/>
      <c r="H93" s="124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BCX93"/>
    </row>
    <row r="94" spans="1:33 1454:1454" ht="22.5" customHeight="1" x14ac:dyDescent="0.25">
      <c r="A94" s="7">
        <v>20</v>
      </c>
      <c r="B94" s="26" t="s">
        <v>260</v>
      </c>
      <c r="C94" s="40" t="s">
        <v>261</v>
      </c>
      <c r="D94" s="8">
        <v>18000</v>
      </c>
      <c r="E94" s="28" t="s">
        <v>262</v>
      </c>
      <c r="F94" s="28" t="s">
        <v>55</v>
      </c>
      <c r="G94" s="123" t="s">
        <v>543</v>
      </c>
      <c r="H94" s="124">
        <v>60000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BCX94"/>
    </row>
    <row r="95" spans="1:33 1454:1454" ht="22.5" customHeight="1" x14ac:dyDescent="0.25">
      <c r="A95" s="7">
        <v>21</v>
      </c>
      <c r="B95" s="26" t="s">
        <v>263</v>
      </c>
      <c r="C95" s="40" t="s">
        <v>264</v>
      </c>
      <c r="D95" s="8">
        <v>27000</v>
      </c>
      <c r="E95" s="28" t="s">
        <v>265</v>
      </c>
      <c r="F95" s="28" t="s">
        <v>55</v>
      </c>
      <c r="G95" s="123"/>
      <c r="H95" s="124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BCX95"/>
    </row>
    <row r="96" spans="1:33 1454:1454" ht="22.5" customHeight="1" x14ac:dyDescent="0.25">
      <c r="A96" s="7">
        <v>22</v>
      </c>
      <c r="B96" s="26" t="s">
        <v>269</v>
      </c>
      <c r="C96" s="40" t="s">
        <v>270</v>
      </c>
      <c r="D96" s="8">
        <v>15000</v>
      </c>
      <c r="E96" s="28" t="s">
        <v>271</v>
      </c>
      <c r="F96" s="28" t="s">
        <v>55</v>
      </c>
      <c r="G96" s="123"/>
      <c r="H96" s="124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BCX96"/>
    </row>
    <row r="97" spans="1:33 1454:1454" ht="22.5" customHeight="1" x14ac:dyDescent="0.25">
      <c r="A97" s="7">
        <v>23</v>
      </c>
      <c r="B97" s="26" t="s">
        <v>266</v>
      </c>
      <c r="C97" s="27" t="s">
        <v>267</v>
      </c>
      <c r="D97" s="8">
        <v>405000</v>
      </c>
      <c r="E97" s="28" t="s">
        <v>268</v>
      </c>
      <c r="F97" s="28" t="s">
        <v>68</v>
      </c>
      <c r="G97" s="58"/>
      <c r="H97" s="59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BCX97"/>
    </row>
    <row r="98" spans="1:33 1454:1454" ht="22.5" customHeight="1" x14ac:dyDescent="0.25">
      <c r="A98" s="7">
        <v>24</v>
      </c>
      <c r="B98" s="26" t="s">
        <v>278</v>
      </c>
      <c r="C98" s="40" t="s">
        <v>280</v>
      </c>
      <c r="D98" s="8">
        <v>126000</v>
      </c>
      <c r="E98" s="28" t="s">
        <v>282</v>
      </c>
      <c r="F98" s="28" t="s">
        <v>68</v>
      </c>
      <c r="G98" s="123" t="s">
        <v>544</v>
      </c>
      <c r="H98" s="124">
        <v>153000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BCX98"/>
    </row>
    <row r="99" spans="1:33 1454:1454" ht="22.5" customHeight="1" x14ac:dyDescent="0.25">
      <c r="A99" s="7">
        <v>25</v>
      </c>
      <c r="B99" s="26" t="s">
        <v>279</v>
      </c>
      <c r="C99" s="40" t="s">
        <v>281</v>
      </c>
      <c r="D99" s="8">
        <v>27000</v>
      </c>
      <c r="E99" s="28" t="s">
        <v>283</v>
      </c>
      <c r="F99" s="28" t="s">
        <v>55</v>
      </c>
      <c r="G99" s="123"/>
      <c r="H99" s="124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BCX99"/>
    </row>
    <row r="100" spans="1:33 1454:1454" ht="22.5" customHeight="1" x14ac:dyDescent="0.25">
      <c r="A100" s="7">
        <v>26</v>
      </c>
      <c r="B100" s="26" t="s">
        <v>530</v>
      </c>
      <c r="C100" s="40" t="s">
        <v>531</v>
      </c>
      <c r="D100" s="8">
        <v>369000</v>
      </c>
      <c r="E100" s="28" t="s">
        <v>532</v>
      </c>
      <c r="F100" s="28" t="s">
        <v>68</v>
      </c>
      <c r="G100" s="123" t="s">
        <v>542</v>
      </c>
      <c r="H100" s="124">
        <v>1998000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BCX100"/>
    </row>
    <row r="101" spans="1:33 1454:1454" ht="22.5" customHeight="1" x14ac:dyDescent="0.25">
      <c r="A101" s="7">
        <v>27</v>
      </c>
      <c r="B101" s="26" t="s">
        <v>533</v>
      </c>
      <c r="C101" s="40" t="s">
        <v>534</v>
      </c>
      <c r="D101" s="8">
        <v>18000</v>
      </c>
      <c r="E101" s="28" t="s">
        <v>535</v>
      </c>
      <c r="F101" s="28" t="s">
        <v>55</v>
      </c>
      <c r="G101" s="123"/>
      <c r="H101" s="124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BCX101"/>
    </row>
    <row r="102" spans="1:33 1454:1454" ht="22.5" customHeight="1" x14ac:dyDescent="0.25">
      <c r="A102" s="7">
        <v>28</v>
      </c>
      <c r="B102" s="26" t="s">
        <v>287</v>
      </c>
      <c r="C102" s="40" t="s">
        <v>284</v>
      </c>
      <c r="D102" s="8">
        <v>447000</v>
      </c>
      <c r="E102" s="28" t="s">
        <v>285</v>
      </c>
      <c r="F102" s="28" t="s">
        <v>55</v>
      </c>
      <c r="G102" s="123"/>
      <c r="H102" s="124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BCX102"/>
    </row>
    <row r="103" spans="1:33 1454:1454" ht="22.5" customHeight="1" x14ac:dyDescent="0.25">
      <c r="A103" s="7">
        <v>29</v>
      </c>
      <c r="B103" s="26" t="s">
        <v>286</v>
      </c>
      <c r="C103" s="40" t="s">
        <v>288</v>
      </c>
      <c r="D103" s="8">
        <v>132000</v>
      </c>
      <c r="E103" s="28" t="s">
        <v>289</v>
      </c>
      <c r="F103" s="28" t="s">
        <v>68</v>
      </c>
      <c r="G103" s="123"/>
      <c r="H103" s="124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BCX103"/>
    </row>
    <row r="104" spans="1:33 1454:1454" ht="22.5" customHeight="1" x14ac:dyDescent="0.25">
      <c r="A104" s="7">
        <v>30</v>
      </c>
      <c r="B104" s="26" t="s">
        <v>536</v>
      </c>
      <c r="C104" s="40" t="s">
        <v>537</v>
      </c>
      <c r="D104" s="8">
        <v>639000</v>
      </c>
      <c r="E104" s="28" t="s">
        <v>538</v>
      </c>
      <c r="F104" s="28" t="s">
        <v>68</v>
      </c>
      <c r="G104" s="123"/>
      <c r="H104" s="12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BCX104"/>
    </row>
    <row r="105" spans="1:33 1454:1454" ht="22.5" customHeight="1" x14ac:dyDescent="0.25">
      <c r="A105" s="7">
        <v>31</v>
      </c>
      <c r="B105" s="26" t="s">
        <v>539</v>
      </c>
      <c r="C105" s="40" t="s">
        <v>540</v>
      </c>
      <c r="D105" s="8">
        <v>393000</v>
      </c>
      <c r="E105" s="28" t="s">
        <v>541</v>
      </c>
      <c r="F105" s="28" t="s">
        <v>55</v>
      </c>
      <c r="G105" s="123"/>
      <c r="H105" s="124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BCX105"/>
    </row>
    <row r="106" spans="1:33 1454:1454" ht="23.25" customHeight="1" x14ac:dyDescent="0.25">
      <c r="A106" s="7">
        <v>32</v>
      </c>
      <c r="B106" s="7" t="s">
        <v>377</v>
      </c>
      <c r="C106" s="40" t="s">
        <v>378</v>
      </c>
      <c r="D106" s="8">
        <v>978900</v>
      </c>
      <c r="E106" s="9" t="s">
        <v>379</v>
      </c>
      <c r="F106" s="9" t="s">
        <v>55</v>
      </c>
      <c r="G106" s="58"/>
      <c r="H106" s="59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BCX106"/>
    </row>
    <row r="107" spans="1:33 1454:1454" ht="23.25" customHeight="1" x14ac:dyDescent="0.25">
      <c r="A107" s="7">
        <v>33</v>
      </c>
      <c r="B107" s="7" t="s">
        <v>380</v>
      </c>
      <c r="C107" s="40" t="s">
        <v>381</v>
      </c>
      <c r="D107" s="8">
        <v>1065600</v>
      </c>
      <c r="E107" s="9" t="s">
        <v>382</v>
      </c>
      <c r="F107" s="9" t="s">
        <v>68</v>
      </c>
      <c r="G107" s="58"/>
      <c r="H107" s="59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BCX107"/>
    </row>
    <row r="108" spans="1:33 1454:1454" ht="23.25" customHeight="1" x14ac:dyDescent="0.25">
      <c r="A108" s="7">
        <v>34</v>
      </c>
      <c r="B108" s="7" t="s">
        <v>647</v>
      </c>
      <c r="C108" s="40" t="s">
        <v>383</v>
      </c>
      <c r="D108" s="8">
        <v>231000</v>
      </c>
      <c r="E108" s="9" t="s">
        <v>384</v>
      </c>
      <c r="F108" s="9" t="s">
        <v>68</v>
      </c>
      <c r="G108" s="58"/>
      <c r="H108" s="59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BCX108"/>
    </row>
    <row r="109" spans="1:33 1454:1454" ht="23.25" customHeight="1" x14ac:dyDescent="0.25">
      <c r="A109" s="7">
        <v>35</v>
      </c>
      <c r="B109" s="7" t="s">
        <v>385</v>
      </c>
      <c r="C109" s="40" t="s">
        <v>386</v>
      </c>
      <c r="D109" s="8">
        <v>2175000</v>
      </c>
      <c r="E109" s="9" t="s">
        <v>387</v>
      </c>
      <c r="F109" s="9" t="s">
        <v>55</v>
      </c>
      <c r="G109" s="58"/>
      <c r="H109" s="5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BCX109"/>
    </row>
    <row r="110" spans="1:33 1454:1454" ht="23.25" customHeight="1" x14ac:dyDescent="0.25">
      <c r="A110" s="7">
        <v>36</v>
      </c>
      <c r="B110" s="7" t="s">
        <v>441</v>
      </c>
      <c r="C110" s="40" t="s">
        <v>442</v>
      </c>
      <c r="D110" s="8">
        <v>312000</v>
      </c>
      <c r="E110" s="9" t="s">
        <v>443</v>
      </c>
      <c r="F110" s="9" t="s">
        <v>55</v>
      </c>
      <c r="G110" s="58"/>
      <c r="H110" s="59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BCX110"/>
    </row>
    <row r="111" spans="1:33 1454:1454" ht="23.25" customHeight="1" x14ac:dyDescent="0.25">
      <c r="A111" s="7">
        <v>37</v>
      </c>
      <c r="B111" s="7" t="s">
        <v>648</v>
      </c>
      <c r="C111" s="40" t="s">
        <v>444</v>
      </c>
      <c r="D111" s="8">
        <v>54000</v>
      </c>
      <c r="E111" s="9" t="s">
        <v>445</v>
      </c>
      <c r="F111" s="9" t="s">
        <v>68</v>
      </c>
      <c r="G111" s="58"/>
      <c r="H111" s="59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BCX111"/>
    </row>
    <row r="112" spans="1:33 1454:1454" ht="23.25" customHeight="1" x14ac:dyDescent="0.25">
      <c r="A112" s="7">
        <v>38</v>
      </c>
      <c r="B112" s="7" t="s">
        <v>462</v>
      </c>
      <c r="C112" s="40" t="s">
        <v>465</v>
      </c>
      <c r="D112" s="8">
        <v>447500</v>
      </c>
      <c r="E112" s="9" t="s">
        <v>463</v>
      </c>
      <c r="F112" s="9" t="s">
        <v>68</v>
      </c>
      <c r="G112" s="58"/>
      <c r="H112" s="59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BCX112"/>
    </row>
    <row r="113" spans="1:1454" ht="23.25" customHeight="1" x14ac:dyDescent="0.25">
      <c r="A113" s="7">
        <v>39</v>
      </c>
      <c r="B113" s="7" t="s">
        <v>479</v>
      </c>
      <c r="C113" s="40" t="s">
        <v>480</v>
      </c>
      <c r="D113" s="8">
        <v>279000</v>
      </c>
      <c r="E113" s="9" t="s">
        <v>481</v>
      </c>
      <c r="F113" s="9" t="s">
        <v>68</v>
      </c>
      <c r="G113" s="58"/>
      <c r="H113" s="59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BCX113"/>
    </row>
    <row r="114" spans="1:1454" ht="23.25" customHeight="1" x14ac:dyDescent="0.25">
      <c r="A114" s="7">
        <v>40</v>
      </c>
      <c r="B114" s="7" t="s">
        <v>482</v>
      </c>
      <c r="C114" s="40" t="s">
        <v>483</v>
      </c>
      <c r="D114" s="8">
        <v>1263000</v>
      </c>
      <c r="E114" s="9" t="s">
        <v>484</v>
      </c>
      <c r="F114" s="9" t="s">
        <v>55</v>
      </c>
      <c r="G114" s="58"/>
      <c r="H114" s="59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BCX114"/>
    </row>
    <row r="115" spans="1:1454" ht="27" customHeight="1" x14ac:dyDescent="0.25">
      <c r="A115" s="7">
        <v>41</v>
      </c>
      <c r="B115" s="7" t="s">
        <v>464</v>
      </c>
      <c r="C115" s="40" t="s">
        <v>466</v>
      </c>
      <c r="D115" s="8">
        <v>375000</v>
      </c>
      <c r="E115" s="9" t="s">
        <v>467</v>
      </c>
      <c r="F115" s="9" t="s">
        <v>55</v>
      </c>
      <c r="G115" s="58"/>
      <c r="H115" s="59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BCX115"/>
    </row>
    <row r="116" spans="1:1454" ht="25.5" customHeight="1" x14ac:dyDescent="0.25">
      <c r="A116" s="7">
        <v>42</v>
      </c>
      <c r="B116" s="7" t="s">
        <v>597</v>
      </c>
      <c r="C116" s="40" t="s">
        <v>598</v>
      </c>
      <c r="D116" s="8">
        <v>1383000</v>
      </c>
      <c r="E116" s="9" t="s">
        <v>633</v>
      </c>
      <c r="F116" s="9" t="s">
        <v>55</v>
      </c>
      <c r="G116" s="58"/>
      <c r="H116" s="59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BCX116"/>
    </row>
    <row r="117" spans="1:1454" ht="25.5" customHeight="1" x14ac:dyDescent="0.25">
      <c r="A117" s="7">
        <v>43</v>
      </c>
      <c r="B117" s="7" t="s">
        <v>747</v>
      </c>
      <c r="C117" s="40" t="s">
        <v>748</v>
      </c>
      <c r="D117" s="8">
        <v>1137119</v>
      </c>
      <c r="E117" s="9" t="s">
        <v>749</v>
      </c>
      <c r="F117" s="9"/>
      <c r="G117" s="58"/>
      <c r="H117" s="59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BCX117"/>
    </row>
    <row r="118" spans="1:1454" ht="25.5" customHeight="1" x14ac:dyDescent="0.25">
      <c r="A118" s="7">
        <v>44</v>
      </c>
      <c r="B118" s="7" t="s">
        <v>760</v>
      </c>
      <c r="C118" s="40" t="s">
        <v>761</v>
      </c>
      <c r="D118" s="8">
        <v>108650</v>
      </c>
      <c r="E118" s="9" t="s">
        <v>762</v>
      </c>
      <c r="F118" s="9" t="s">
        <v>68</v>
      </c>
      <c r="G118" s="58"/>
      <c r="H118" s="59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BCX118"/>
    </row>
    <row r="119" spans="1:1454" ht="21.75" customHeight="1" x14ac:dyDescent="0.25">
      <c r="A119" s="108" t="s">
        <v>82</v>
      </c>
      <c r="B119" s="109"/>
      <c r="C119" s="109"/>
      <c r="D119" s="109"/>
      <c r="E119" s="109"/>
      <c r="F119" s="109"/>
      <c r="G119" s="109"/>
      <c r="H119" s="10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BCX119"/>
    </row>
    <row r="120" spans="1:1454" s="70" customFormat="1" ht="24.75" customHeight="1" x14ac:dyDescent="0.25">
      <c r="A120" s="138">
        <v>1</v>
      </c>
      <c r="B120" s="138" t="s">
        <v>223</v>
      </c>
      <c r="C120" s="144" t="s">
        <v>222</v>
      </c>
      <c r="D120" s="145">
        <v>12257000</v>
      </c>
      <c r="E120" s="146" t="s">
        <v>228</v>
      </c>
      <c r="F120" s="53"/>
      <c r="G120" s="142" t="s">
        <v>506</v>
      </c>
      <c r="H120" s="136">
        <f>1865700+1425600+1730700+1142100+3079350+3211650</f>
        <v>12455100</v>
      </c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</row>
    <row r="121" spans="1:1454" s="70" customFormat="1" ht="74.25" customHeight="1" x14ac:dyDescent="0.25">
      <c r="A121" s="138"/>
      <c r="B121" s="138"/>
      <c r="C121" s="144"/>
      <c r="D121" s="145"/>
      <c r="E121" s="146"/>
      <c r="F121" s="53"/>
      <c r="G121" s="143"/>
      <c r="H121" s="137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</row>
    <row r="122" spans="1:1454" s="70" customFormat="1" ht="24.75" customHeight="1" x14ac:dyDescent="0.25">
      <c r="A122" s="138">
        <v>2</v>
      </c>
      <c r="B122" s="139" t="s">
        <v>230</v>
      </c>
      <c r="C122" s="139" t="s">
        <v>232</v>
      </c>
      <c r="D122" s="145">
        <v>17039600</v>
      </c>
      <c r="E122" s="139" t="s">
        <v>36</v>
      </c>
      <c r="F122" s="53" t="s">
        <v>92</v>
      </c>
      <c r="G122" s="142" t="s">
        <v>502</v>
      </c>
      <c r="H122" s="136">
        <f>1928550+3998300+5867700</f>
        <v>11794550</v>
      </c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</row>
    <row r="123" spans="1:1454" s="69" customFormat="1" ht="24.75" customHeight="1" x14ac:dyDescent="0.25">
      <c r="A123" s="138"/>
      <c r="B123" s="139"/>
      <c r="C123" s="139"/>
      <c r="D123" s="145"/>
      <c r="E123" s="139"/>
      <c r="F123" s="73" t="s">
        <v>93</v>
      </c>
      <c r="G123" s="143"/>
      <c r="H123" s="137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T123" s="70"/>
      <c r="CU123" s="70"/>
      <c r="CV123" s="70"/>
      <c r="CW123" s="70"/>
      <c r="CX123" s="70"/>
      <c r="CY123" s="70"/>
      <c r="CZ123" s="70"/>
      <c r="DA123" s="70"/>
      <c r="DB123" s="70"/>
      <c r="DC123" s="70"/>
      <c r="DD123" s="70"/>
      <c r="DE123" s="70"/>
      <c r="DF123" s="70"/>
      <c r="DG123" s="70"/>
      <c r="DH123" s="70"/>
      <c r="DI123" s="70"/>
      <c r="DJ123" s="70"/>
      <c r="DK123" s="70"/>
      <c r="DL123" s="70"/>
      <c r="DM123" s="70"/>
      <c r="DN123" s="70"/>
      <c r="DO123" s="70"/>
      <c r="DP123" s="70"/>
      <c r="DQ123" s="70"/>
      <c r="DR123" s="70"/>
      <c r="DS123" s="70"/>
      <c r="DT123" s="70"/>
      <c r="DU123" s="70"/>
      <c r="DV123" s="70"/>
      <c r="DW123" s="70"/>
      <c r="DX123" s="70"/>
      <c r="DY123" s="70"/>
      <c r="DZ123" s="70"/>
      <c r="EA123" s="70"/>
      <c r="EB123" s="70"/>
      <c r="EC123" s="70"/>
      <c r="ED123" s="70"/>
      <c r="EE123" s="70"/>
      <c r="EF123" s="70"/>
      <c r="EG123" s="70"/>
      <c r="EH123" s="70"/>
      <c r="EI123" s="70"/>
      <c r="EJ123" s="70"/>
      <c r="EK123" s="70"/>
      <c r="EL123" s="70"/>
      <c r="EM123" s="70"/>
      <c r="EN123" s="70"/>
      <c r="EO123" s="70"/>
      <c r="EP123" s="70"/>
      <c r="EQ123" s="70"/>
      <c r="ER123" s="70"/>
      <c r="ES123" s="70"/>
      <c r="ET123" s="70"/>
      <c r="EU123" s="70"/>
      <c r="EV123" s="70"/>
      <c r="EW123" s="70"/>
      <c r="EX123" s="70"/>
      <c r="EY123" s="70"/>
      <c r="EZ123" s="70"/>
      <c r="FA123" s="70"/>
      <c r="FB123" s="70"/>
      <c r="FC123" s="70"/>
      <c r="FD123" s="70"/>
      <c r="FE123" s="70"/>
      <c r="FF123" s="70"/>
      <c r="FG123" s="70"/>
      <c r="FH123" s="70"/>
      <c r="FI123" s="70"/>
      <c r="FJ123" s="70"/>
      <c r="FK123" s="70"/>
      <c r="FL123" s="70"/>
      <c r="FM123" s="70"/>
      <c r="FN123" s="70"/>
      <c r="FO123" s="70"/>
      <c r="FP123" s="70"/>
      <c r="FQ123" s="70"/>
      <c r="FR123" s="70"/>
      <c r="FS123" s="70"/>
      <c r="FT123" s="70"/>
      <c r="FU123" s="70"/>
      <c r="FV123" s="70"/>
      <c r="FW123" s="70"/>
      <c r="FX123" s="70"/>
      <c r="FY123" s="70"/>
      <c r="FZ123" s="70"/>
      <c r="GA123" s="70"/>
      <c r="GB123" s="70"/>
      <c r="GC123" s="70"/>
      <c r="GD123" s="70"/>
      <c r="GE123" s="70"/>
      <c r="GF123" s="70"/>
      <c r="GG123" s="70"/>
      <c r="GH123" s="70"/>
      <c r="GI123" s="70"/>
      <c r="GJ123" s="70"/>
      <c r="GK123" s="70"/>
      <c r="GL123" s="70"/>
      <c r="GM123" s="70"/>
      <c r="GN123" s="70"/>
      <c r="GO123" s="70"/>
      <c r="GP123" s="70"/>
      <c r="GQ123" s="70"/>
      <c r="GR123" s="70"/>
      <c r="GS123" s="70"/>
      <c r="GT123" s="70"/>
      <c r="GU123" s="70"/>
      <c r="GV123" s="70"/>
      <c r="GW123" s="70"/>
      <c r="GX123" s="70"/>
      <c r="GY123" s="70"/>
      <c r="GZ123" s="70"/>
      <c r="HA123" s="70"/>
      <c r="HB123" s="70"/>
      <c r="HC123" s="70"/>
      <c r="HD123" s="70"/>
      <c r="HE123" s="70"/>
      <c r="HF123" s="70"/>
      <c r="HG123" s="70"/>
      <c r="HH123" s="70"/>
      <c r="HI123" s="70"/>
      <c r="HJ123" s="70"/>
      <c r="HK123" s="70"/>
      <c r="HL123" s="70"/>
      <c r="HM123" s="70"/>
      <c r="HN123" s="70"/>
      <c r="HO123" s="70"/>
      <c r="HP123" s="70"/>
      <c r="HQ123" s="70"/>
      <c r="HR123" s="70"/>
      <c r="HS123" s="70"/>
      <c r="HT123" s="70"/>
      <c r="HU123" s="70"/>
      <c r="HV123" s="70"/>
      <c r="HW123" s="70"/>
      <c r="HX123" s="70"/>
      <c r="HY123" s="70"/>
      <c r="HZ123" s="70"/>
      <c r="IA123" s="70"/>
      <c r="IB123" s="70"/>
      <c r="IC123" s="70"/>
      <c r="ID123" s="70"/>
      <c r="IE123" s="70"/>
      <c r="IF123" s="70"/>
      <c r="IG123" s="70"/>
      <c r="IH123" s="70"/>
      <c r="II123" s="70"/>
      <c r="IJ123" s="70"/>
      <c r="IK123" s="70"/>
      <c r="IL123" s="70"/>
      <c r="IM123" s="70"/>
      <c r="IN123" s="70"/>
      <c r="IO123" s="70"/>
      <c r="IP123" s="70"/>
      <c r="IQ123" s="70"/>
      <c r="IR123" s="70"/>
      <c r="IS123" s="70"/>
      <c r="IT123" s="70"/>
      <c r="IU123" s="70"/>
      <c r="IV123" s="70"/>
      <c r="IW123" s="70"/>
      <c r="IX123" s="70"/>
      <c r="IY123" s="70"/>
      <c r="IZ123" s="70"/>
      <c r="JA123" s="70"/>
      <c r="JB123" s="70"/>
      <c r="JC123" s="70"/>
      <c r="JD123" s="70"/>
      <c r="JE123" s="70"/>
      <c r="JF123" s="70"/>
      <c r="JG123" s="70"/>
      <c r="JH123" s="70"/>
      <c r="JI123" s="70"/>
      <c r="JJ123" s="70"/>
      <c r="JK123" s="70"/>
      <c r="JL123" s="70"/>
      <c r="JM123" s="70"/>
      <c r="JN123" s="70"/>
      <c r="JO123" s="70"/>
      <c r="JP123" s="70"/>
      <c r="JQ123" s="70"/>
      <c r="JR123" s="70"/>
      <c r="JS123" s="70"/>
      <c r="JT123" s="70"/>
      <c r="JU123" s="70"/>
      <c r="JV123" s="70"/>
      <c r="JW123" s="70"/>
      <c r="JX123" s="70"/>
      <c r="JY123" s="70"/>
      <c r="JZ123" s="70"/>
      <c r="KA123" s="70"/>
      <c r="KB123" s="70"/>
      <c r="KC123" s="70"/>
      <c r="KD123" s="70"/>
      <c r="KE123" s="70"/>
      <c r="KF123" s="70"/>
      <c r="KG123" s="70"/>
      <c r="KH123" s="70"/>
      <c r="KI123" s="70"/>
      <c r="KJ123" s="70"/>
      <c r="KK123" s="70"/>
      <c r="KL123" s="70"/>
      <c r="KM123" s="70"/>
      <c r="KN123" s="70"/>
      <c r="KO123" s="70"/>
      <c r="KP123" s="70"/>
      <c r="KQ123" s="70"/>
      <c r="KR123" s="70"/>
      <c r="KS123" s="70"/>
      <c r="KT123" s="70"/>
      <c r="KU123" s="70"/>
      <c r="KV123" s="70"/>
      <c r="KW123" s="70"/>
      <c r="KX123" s="70"/>
      <c r="KY123" s="70"/>
      <c r="KZ123" s="70"/>
      <c r="LA123" s="70"/>
      <c r="LB123" s="70"/>
      <c r="LC123" s="70"/>
      <c r="LD123" s="70"/>
      <c r="LE123" s="70"/>
      <c r="LF123" s="70"/>
      <c r="LG123" s="70"/>
      <c r="LH123" s="70"/>
      <c r="LI123" s="70"/>
      <c r="LJ123" s="70"/>
      <c r="LK123" s="70"/>
      <c r="LL123" s="70"/>
      <c r="LM123" s="70"/>
      <c r="LN123" s="70"/>
      <c r="LO123" s="70"/>
      <c r="LP123" s="70"/>
      <c r="LQ123" s="70"/>
      <c r="LR123" s="70"/>
      <c r="LS123" s="70"/>
      <c r="LT123" s="70"/>
      <c r="LU123" s="70"/>
      <c r="LV123" s="70"/>
      <c r="LW123" s="70"/>
      <c r="LX123" s="70"/>
      <c r="LY123" s="70"/>
      <c r="LZ123" s="70"/>
      <c r="MA123" s="70"/>
      <c r="MB123" s="70"/>
      <c r="MC123" s="70"/>
      <c r="MD123" s="70"/>
      <c r="ME123" s="70"/>
      <c r="MF123" s="70"/>
      <c r="MG123" s="70"/>
      <c r="MH123" s="70"/>
      <c r="MI123" s="70"/>
      <c r="MJ123" s="70"/>
      <c r="MK123" s="70"/>
      <c r="ML123" s="70"/>
      <c r="MM123" s="70"/>
      <c r="MN123" s="70"/>
      <c r="MO123" s="70"/>
      <c r="MP123" s="70"/>
      <c r="MQ123" s="70"/>
      <c r="MR123" s="70"/>
      <c r="MS123" s="70"/>
      <c r="MT123" s="70"/>
      <c r="MU123" s="70"/>
      <c r="MV123" s="70"/>
      <c r="MW123" s="70"/>
      <c r="MX123" s="70"/>
      <c r="MY123" s="70"/>
      <c r="MZ123" s="70"/>
      <c r="NA123" s="70"/>
      <c r="NB123" s="70"/>
      <c r="NC123" s="70"/>
      <c r="ND123" s="70"/>
      <c r="NE123" s="70"/>
      <c r="NF123" s="70"/>
      <c r="NG123" s="70"/>
      <c r="NH123" s="70"/>
      <c r="NI123" s="70"/>
      <c r="NJ123" s="70"/>
      <c r="NK123" s="70"/>
      <c r="NL123" s="70"/>
      <c r="NM123" s="70"/>
      <c r="NN123" s="70"/>
      <c r="NO123" s="70"/>
      <c r="NP123" s="70"/>
      <c r="NQ123" s="70"/>
      <c r="NR123" s="70"/>
      <c r="NS123" s="70"/>
      <c r="NT123" s="70"/>
      <c r="NU123" s="70"/>
      <c r="NV123" s="70"/>
      <c r="NW123" s="70"/>
      <c r="NX123" s="70"/>
      <c r="NY123" s="70"/>
      <c r="NZ123" s="70"/>
      <c r="OA123" s="70"/>
      <c r="OB123" s="70"/>
      <c r="OC123" s="70"/>
      <c r="OD123" s="70"/>
      <c r="OE123" s="70"/>
      <c r="OF123" s="70"/>
      <c r="OG123" s="70"/>
      <c r="OH123" s="70"/>
      <c r="OI123" s="70"/>
      <c r="OJ123" s="70"/>
      <c r="OK123" s="70"/>
      <c r="OL123" s="70"/>
      <c r="OM123" s="70"/>
      <c r="ON123" s="70"/>
      <c r="OO123" s="70"/>
      <c r="OP123" s="70"/>
      <c r="OQ123" s="70"/>
      <c r="OR123" s="70"/>
      <c r="OS123" s="70"/>
      <c r="OT123" s="70"/>
      <c r="OU123" s="70"/>
      <c r="OV123" s="70"/>
      <c r="OW123" s="70"/>
      <c r="OX123" s="70"/>
      <c r="OY123" s="70"/>
      <c r="OZ123" s="70"/>
      <c r="PA123" s="70"/>
      <c r="PB123" s="70"/>
      <c r="PC123" s="70"/>
      <c r="PD123" s="70"/>
      <c r="PE123" s="70"/>
      <c r="PF123" s="70"/>
      <c r="PG123" s="70"/>
      <c r="PH123" s="70"/>
      <c r="PI123" s="70"/>
      <c r="PJ123" s="70"/>
      <c r="PK123" s="70"/>
      <c r="PL123" s="70"/>
      <c r="PM123" s="70"/>
      <c r="PN123" s="70"/>
      <c r="PO123" s="70"/>
      <c r="PP123" s="70"/>
      <c r="PQ123" s="70"/>
      <c r="PR123" s="70"/>
      <c r="PS123" s="70"/>
      <c r="PT123" s="70"/>
      <c r="PU123" s="70"/>
      <c r="PV123" s="70"/>
      <c r="PW123" s="70"/>
      <c r="PX123" s="70"/>
      <c r="PY123" s="70"/>
      <c r="PZ123" s="70"/>
      <c r="QA123" s="70"/>
      <c r="QB123" s="70"/>
      <c r="QC123" s="70"/>
      <c r="QD123" s="70"/>
      <c r="QE123" s="70"/>
      <c r="QF123" s="70"/>
      <c r="QG123" s="70"/>
      <c r="QH123" s="70"/>
      <c r="QI123" s="70"/>
      <c r="QJ123" s="70"/>
      <c r="QK123" s="70"/>
      <c r="QL123" s="70"/>
      <c r="QM123" s="70"/>
      <c r="QN123" s="70"/>
      <c r="QO123" s="70"/>
      <c r="QP123" s="70"/>
      <c r="QQ123" s="70"/>
      <c r="QR123" s="70"/>
      <c r="QS123" s="70"/>
      <c r="QT123" s="70"/>
      <c r="QU123" s="70"/>
      <c r="QV123" s="70"/>
      <c r="QW123" s="70"/>
      <c r="QX123" s="70"/>
      <c r="QY123" s="70"/>
      <c r="QZ123" s="70"/>
      <c r="RA123" s="70"/>
      <c r="RB123" s="70"/>
      <c r="RC123" s="70"/>
      <c r="RD123" s="70"/>
      <c r="RE123" s="70"/>
      <c r="RF123" s="70"/>
      <c r="RG123" s="70"/>
      <c r="RH123" s="70"/>
      <c r="RI123" s="70"/>
      <c r="RJ123" s="70"/>
      <c r="RK123" s="70"/>
      <c r="RL123" s="70"/>
      <c r="RM123" s="70"/>
      <c r="RN123" s="70"/>
      <c r="RO123" s="70"/>
      <c r="RP123" s="70"/>
      <c r="RQ123" s="70"/>
      <c r="RR123" s="70"/>
      <c r="RS123" s="70"/>
      <c r="RT123" s="70"/>
      <c r="RU123" s="70"/>
      <c r="RV123" s="70"/>
      <c r="RW123" s="70"/>
      <c r="RX123" s="70"/>
      <c r="RY123" s="70"/>
      <c r="RZ123" s="70"/>
      <c r="SA123" s="70"/>
      <c r="SB123" s="70"/>
      <c r="SC123" s="70"/>
      <c r="SD123" s="70"/>
      <c r="SE123" s="70"/>
      <c r="SF123" s="70"/>
      <c r="SG123" s="70"/>
      <c r="SH123" s="70"/>
      <c r="SI123" s="70"/>
      <c r="SJ123" s="70"/>
      <c r="SK123" s="70"/>
      <c r="SL123" s="70"/>
      <c r="SM123" s="70"/>
      <c r="SN123" s="70"/>
      <c r="SO123" s="70"/>
      <c r="SP123" s="70"/>
      <c r="SQ123" s="70"/>
      <c r="SR123" s="70"/>
      <c r="SS123" s="70"/>
      <c r="ST123" s="70"/>
      <c r="SU123" s="70"/>
      <c r="SV123" s="70"/>
      <c r="SW123" s="70"/>
      <c r="SX123" s="70"/>
      <c r="SY123" s="70"/>
      <c r="SZ123" s="70"/>
      <c r="TA123" s="70"/>
      <c r="TB123" s="70"/>
      <c r="TC123" s="70"/>
      <c r="TD123" s="70"/>
      <c r="TE123" s="70"/>
      <c r="TF123" s="70"/>
      <c r="TG123" s="70"/>
      <c r="TH123" s="70"/>
      <c r="TI123" s="70"/>
      <c r="TJ123" s="70"/>
      <c r="TK123" s="70"/>
      <c r="TL123" s="70"/>
      <c r="TM123" s="70"/>
      <c r="TN123" s="70"/>
      <c r="TO123" s="70"/>
      <c r="TP123" s="70"/>
      <c r="TQ123" s="70"/>
      <c r="TR123" s="70"/>
      <c r="TS123" s="70"/>
      <c r="TT123" s="70"/>
      <c r="TU123" s="70"/>
      <c r="TV123" s="70"/>
      <c r="TW123" s="70"/>
      <c r="TX123" s="70"/>
      <c r="TY123" s="70"/>
      <c r="TZ123" s="70"/>
      <c r="UA123" s="70"/>
      <c r="UB123" s="70"/>
      <c r="UC123" s="70"/>
      <c r="UD123" s="70"/>
      <c r="UE123" s="70"/>
      <c r="UF123" s="70"/>
      <c r="UG123" s="70"/>
      <c r="UH123" s="70"/>
      <c r="UI123" s="70"/>
      <c r="UJ123" s="70"/>
      <c r="UK123" s="70"/>
      <c r="UL123" s="70"/>
      <c r="UM123" s="70"/>
      <c r="UN123" s="70"/>
      <c r="UO123" s="70"/>
      <c r="UP123" s="70"/>
      <c r="UQ123" s="70"/>
      <c r="UR123" s="70"/>
      <c r="US123" s="70"/>
      <c r="UT123" s="70"/>
      <c r="UU123" s="70"/>
      <c r="UV123" s="70"/>
      <c r="UW123" s="70"/>
      <c r="UX123" s="70"/>
      <c r="UY123" s="70"/>
      <c r="UZ123" s="70"/>
      <c r="VA123" s="70"/>
      <c r="VB123" s="70"/>
      <c r="VC123" s="70"/>
      <c r="VD123" s="70"/>
      <c r="VE123" s="70"/>
      <c r="VF123" s="70"/>
      <c r="VG123" s="70"/>
      <c r="VH123" s="70"/>
      <c r="VI123" s="70"/>
      <c r="VJ123" s="70"/>
      <c r="VK123" s="70"/>
      <c r="VL123" s="70"/>
      <c r="VM123" s="70"/>
      <c r="VN123" s="70"/>
      <c r="VO123" s="70"/>
      <c r="VP123" s="70"/>
      <c r="VQ123" s="70"/>
      <c r="VR123" s="70"/>
      <c r="VS123" s="70"/>
      <c r="VT123" s="70"/>
      <c r="VU123" s="70"/>
      <c r="VV123" s="70"/>
      <c r="VW123" s="70"/>
      <c r="VX123" s="70"/>
      <c r="VY123" s="70"/>
      <c r="VZ123" s="70"/>
      <c r="WA123" s="70"/>
      <c r="WB123" s="70"/>
      <c r="WC123" s="70"/>
      <c r="WD123" s="70"/>
      <c r="WE123" s="70"/>
      <c r="WF123" s="70"/>
      <c r="WG123" s="70"/>
      <c r="WH123" s="70"/>
      <c r="WI123" s="70"/>
      <c r="WJ123" s="70"/>
      <c r="WK123" s="70"/>
      <c r="WL123" s="70"/>
      <c r="WM123" s="70"/>
      <c r="WN123" s="70"/>
      <c r="WO123" s="70"/>
      <c r="WP123" s="70"/>
      <c r="WQ123" s="70"/>
      <c r="WR123" s="70"/>
      <c r="WS123" s="70"/>
      <c r="WT123" s="70"/>
      <c r="WU123" s="70"/>
      <c r="WV123" s="70"/>
      <c r="WW123" s="70"/>
      <c r="WX123" s="70"/>
      <c r="WY123" s="70"/>
      <c r="WZ123" s="70"/>
      <c r="XA123" s="70"/>
      <c r="XB123" s="70"/>
      <c r="XC123" s="70"/>
      <c r="XD123" s="70"/>
      <c r="XE123" s="70"/>
      <c r="XF123" s="70"/>
      <c r="XG123" s="70"/>
      <c r="XH123" s="70"/>
      <c r="XI123" s="70"/>
      <c r="XJ123" s="70"/>
      <c r="XK123" s="70"/>
      <c r="XL123" s="70"/>
      <c r="XM123" s="70"/>
      <c r="XN123" s="70"/>
      <c r="XO123" s="70"/>
      <c r="XP123" s="70"/>
      <c r="XQ123" s="70"/>
      <c r="XR123" s="70"/>
      <c r="XS123" s="70"/>
      <c r="XT123" s="70"/>
      <c r="XU123" s="70"/>
      <c r="XV123" s="70"/>
      <c r="XW123" s="70"/>
      <c r="XX123" s="70"/>
      <c r="XY123" s="70"/>
      <c r="XZ123" s="70"/>
      <c r="YA123" s="70"/>
      <c r="YB123" s="70"/>
      <c r="YC123" s="70"/>
      <c r="YD123" s="70"/>
      <c r="YE123" s="70"/>
      <c r="YF123" s="70"/>
      <c r="YG123" s="70"/>
      <c r="YH123" s="70"/>
      <c r="YI123" s="70"/>
      <c r="YJ123" s="70"/>
      <c r="YK123" s="70"/>
      <c r="YL123" s="70"/>
      <c r="YM123" s="70"/>
      <c r="YN123" s="70"/>
      <c r="YO123" s="70"/>
      <c r="YP123" s="70"/>
      <c r="YQ123" s="70"/>
      <c r="YR123" s="70"/>
      <c r="YS123" s="70"/>
      <c r="YT123" s="70"/>
      <c r="YU123" s="70"/>
      <c r="YV123" s="70"/>
      <c r="YW123" s="70"/>
      <c r="YX123" s="70"/>
      <c r="YY123" s="70"/>
      <c r="YZ123" s="70"/>
      <c r="ZA123" s="70"/>
      <c r="ZB123" s="70"/>
      <c r="ZC123" s="70"/>
      <c r="ZD123" s="70"/>
      <c r="ZE123" s="70"/>
      <c r="ZF123" s="70"/>
      <c r="ZG123" s="70"/>
      <c r="ZH123" s="70"/>
      <c r="ZI123" s="70"/>
      <c r="ZJ123" s="70"/>
      <c r="ZK123" s="70"/>
      <c r="ZL123" s="70"/>
      <c r="ZM123" s="70"/>
      <c r="ZN123" s="70"/>
      <c r="ZO123" s="70"/>
      <c r="ZP123" s="70"/>
      <c r="ZQ123" s="70"/>
      <c r="ZR123" s="70"/>
      <c r="ZS123" s="70"/>
      <c r="ZT123" s="70"/>
      <c r="ZU123" s="70"/>
      <c r="ZV123" s="70"/>
      <c r="ZW123" s="70"/>
      <c r="ZX123" s="70"/>
      <c r="ZY123" s="70"/>
      <c r="ZZ123" s="70"/>
      <c r="AAA123" s="70"/>
      <c r="AAB123" s="70"/>
      <c r="AAC123" s="70"/>
      <c r="AAD123" s="70"/>
      <c r="AAE123" s="70"/>
      <c r="AAF123" s="70"/>
      <c r="AAG123" s="70"/>
      <c r="AAH123" s="70"/>
      <c r="AAI123" s="70"/>
      <c r="AAJ123" s="70"/>
      <c r="AAK123" s="70"/>
      <c r="AAL123" s="70"/>
      <c r="AAM123" s="70"/>
      <c r="AAN123" s="70"/>
      <c r="AAO123" s="70"/>
      <c r="AAP123" s="70"/>
      <c r="AAQ123" s="70"/>
      <c r="AAR123" s="70"/>
      <c r="AAS123" s="70"/>
      <c r="AAT123" s="70"/>
      <c r="AAU123" s="70"/>
      <c r="AAV123" s="70"/>
      <c r="AAW123" s="70"/>
      <c r="AAX123" s="70"/>
      <c r="AAY123" s="70"/>
      <c r="AAZ123" s="70"/>
      <c r="ABA123" s="70"/>
      <c r="ABB123" s="70"/>
      <c r="ABC123" s="70"/>
      <c r="ABD123" s="70"/>
      <c r="ABE123" s="70"/>
      <c r="ABF123" s="70"/>
      <c r="ABG123" s="70"/>
      <c r="ABH123" s="70"/>
      <c r="ABI123" s="70"/>
      <c r="ABJ123" s="70"/>
      <c r="ABK123" s="70"/>
      <c r="ABL123" s="70"/>
      <c r="ABM123" s="70"/>
      <c r="ABN123" s="70"/>
      <c r="ABO123" s="70"/>
      <c r="ABP123" s="70"/>
      <c r="ABQ123" s="70"/>
      <c r="ABR123" s="70"/>
      <c r="ABS123" s="70"/>
      <c r="ABT123" s="70"/>
      <c r="ABU123" s="70"/>
      <c r="ABV123" s="70"/>
      <c r="ABW123" s="70"/>
      <c r="ABX123" s="70"/>
      <c r="ABY123" s="70"/>
      <c r="ABZ123" s="70"/>
      <c r="ACA123" s="70"/>
      <c r="ACB123" s="70"/>
      <c r="ACC123" s="70"/>
      <c r="ACD123" s="70"/>
      <c r="ACE123" s="70"/>
      <c r="ACF123" s="70"/>
      <c r="ACG123" s="70"/>
      <c r="ACH123" s="70"/>
      <c r="ACI123" s="70"/>
      <c r="ACJ123" s="70"/>
      <c r="ACK123" s="70"/>
      <c r="ACL123" s="70"/>
      <c r="ACM123" s="70"/>
      <c r="ACN123" s="70"/>
      <c r="ACO123" s="70"/>
      <c r="ACP123" s="70"/>
      <c r="ACQ123" s="70"/>
      <c r="ACR123" s="70"/>
      <c r="ACS123" s="70"/>
      <c r="ACT123" s="70"/>
      <c r="ACU123" s="70"/>
      <c r="ACV123" s="70"/>
      <c r="ACW123" s="70"/>
      <c r="ACX123" s="70"/>
      <c r="ACY123" s="70"/>
      <c r="ACZ123" s="70"/>
      <c r="ADA123" s="70"/>
      <c r="ADB123" s="70"/>
      <c r="ADC123" s="70"/>
      <c r="ADD123" s="70"/>
      <c r="ADE123" s="70"/>
      <c r="ADF123" s="70"/>
      <c r="ADG123" s="70"/>
      <c r="ADH123" s="70"/>
      <c r="ADI123" s="70"/>
      <c r="ADJ123" s="70"/>
      <c r="ADK123" s="70"/>
      <c r="ADL123" s="70"/>
      <c r="ADM123" s="70"/>
      <c r="ADN123" s="70"/>
      <c r="ADO123" s="70"/>
      <c r="ADP123" s="70"/>
      <c r="ADQ123" s="70"/>
      <c r="ADR123" s="70"/>
      <c r="ADS123" s="70"/>
      <c r="ADT123" s="70"/>
      <c r="ADU123" s="70"/>
      <c r="ADV123" s="70"/>
      <c r="ADW123" s="70"/>
      <c r="ADX123" s="70"/>
      <c r="ADY123" s="70"/>
      <c r="ADZ123" s="70"/>
      <c r="AEA123" s="70"/>
      <c r="AEB123" s="70"/>
      <c r="AEC123" s="70"/>
      <c r="AED123" s="70"/>
      <c r="AEE123" s="70"/>
      <c r="AEF123" s="70"/>
      <c r="AEG123" s="70"/>
      <c r="AEH123" s="70"/>
      <c r="AEI123" s="70"/>
      <c r="AEJ123" s="70"/>
      <c r="AEK123" s="70"/>
      <c r="AEL123" s="70"/>
      <c r="AEM123" s="70"/>
      <c r="AEN123" s="70"/>
      <c r="AEO123" s="70"/>
      <c r="AEP123" s="70"/>
      <c r="AEQ123" s="70"/>
      <c r="AER123" s="70"/>
      <c r="AES123" s="70"/>
      <c r="AET123" s="70"/>
      <c r="AEU123" s="70"/>
      <c r="AEV123" s="70"/>
      <c r="AEW123" s="70"/>
      <c r="AEX123" s="70"/>
      <c r="AEY123" s="70"/>
      <c r="AEZ123" s="70"/>
      <c r="AFA123" s="70"/>
      <c r="AFB123" s="70"/>
      <c r="AFC123" s="70"/>
      <c r="AFD123" s="70"/>
      <c r="AFE123" s="70"/>
      <c r="AFF123" s="70"/>
      <c r="AFG123" s="70"/>
      <c r="AFH123" s="70"/>
      <c r="AFI123" s="70"/>
      <c r="AFJ123" s="70"/>
      <c r="AFK123" s="70"/>
      <c r="AFL123" s="70"/>
      <c r="AFM123" s="70"/>
      <c r="AFN123" s="70"/>
      <c r="AFO123" s="70"/>
      <c r="AFP123" s="70"/>
      <c r="AFQ123" s="70"/>
      <c r="AFR123" s="70"/>
      <c r="AFS123" s="70"/>
      <c r="AFT123" s="70"/>
      <c r="AFU123" s="70"/>
      <c r="AFV123" s="70"/>
      <c r="AFW123" s="70"/>
      <c r="AFX123" s="70"/>
      <c r="AFY123" s="70"/>
      <c r="AFZ123" s="70"/>
      <c r="AGA123" s="70"/>
      <c r="AGB123" s="70"/>
      <c r="AGC123" s="70"/>
      <c r="AGD123" s="70"/>
      <c r="AGE123" s="70"/>
      <c r="AGF123" s="70"/>
      <c r="AGG123" s="70"/>
      <c r="AGH123" s="70"/>
      <c r="AGI123" s="70"/>
      <c r="AGJ123" s="70"/>
      <c r="AGK123" s="70"/>
      <c r="AGL123" s="70"/>
      <c r="AGM123" s="70"/>
      <c r="AGN123" s="70"/>
      <c r="AGO123" s="70"/>
      <c r="AGP123" s="70"/>
      <c r="AGQ123" s="70"/>
      <c r="AGR123" s="70"/>
      <c r="AGS123" s="70"/>
      <c r="AGT123" s="70"/>
      <c r="AGU123" s="70"/>
      <c r="AGV123" s="70"/>
      <c r="AGW123" s="70"/>
      <c r="AGX123" s="70"/>
      <c r="AGY123" s="70"/>
      <c r="AGZ123" s="70"/>
      <c r="AHA123" s="70"/>
      <c r="AHB123" s="70"/>
      <c r="AHC123" s="70"/>
      <c r="AHD123" s="70"/>
      <c r="AHE123" s="70"/>
      <c r="AHF123" s="70"/>
      <c r="AHG123" s="70"/>
      <c r="AHH123" s="70"/>
      <c r="AHI123" s="70"/>
      <c r="AHJ123" s="70"/>
      <c r="AHK123" s="70"/>
      <c r="AHL123" s="70"/>
      <c r="AHM123" s="70"/>
      <c r="AHN123" s="70"/>
      <c r="AHO123" s="70"/>
      <c r="AHP123" s="70"/>
      <c r="AHQ123" s="70"/>
      <c r="AHR123" s="70"/>
      <c r="AHS123" s="70"/>
      <c r="AHT123" s="70"/>
      <c r="AHU123" s="70"/>
      <c r="AHV123" s="70"/>
      <c r="AHW123" s="70"/>
      <c r="AHX123" s="70"/>
      <c r="AHY123" s="70"/>
      <c r="AHZ123" s="70"/>
      <c r="AIA123" s="70"/>
      <c r="AIB123" s="70"/>
      <c r="AIC123" s="70"/>
      <c r="AID123" s="70"/>
      <c r="AIE123" s="70"/>
      <c r="AIF123" s="70"/>
      <c r="AIG123" s="70"/>
      <c r="AIH123" s="70"/>
      <c r="AII123" s="70"/>
      <c r="AIJ123" s="70"/>
      <c r="AIK123" s="70"/>
      <c r="AIL123" s="70"/>
      <c r="AIM123" s="70"/>
      <c r="AIN123" s="70"/>
      <c r="AIO123" s="70"/>
      <c r="AIP123" s="70"/>
      <c r="AIQ123" s="70"/>
      <c r="AIR123" s="70"/>
      <c r="AIS123" s="70"/>
      <c r="AIT123" s="70"/>
      <c r="AIU123" s="70"/>
      <c r="AIV123" s="70"/>
      <c r="AIW123" s="70"/>
      <c r="AIX123" s="70"/>
      <c r="AIY123" s="70"/>
      <c r="AIZ123" s="70"/>
      <c r="AJA123" s="70"/>
      <c r="AJB123" s="70"/>
      <c r="AJC123" s="70"/>
      <c r="AJD123" s="70"/>
      <c r="AJE123" s="70"/>
      <c r="AJF123" s="70"/>
      <c r="AJG123" s="70"/>
      <c r="AJH123" s="70"/>
      <c r="AJI123" s="70"/>
      <c r="AJJ123" s="70"/>
      <c r="AJK123" s="70"/>
      <c r="AJL123" s="70"/>
      <c r="AJM123" s="70"/>
      <c r="AJN123" s="70"/>
      <c r="AJO123" s="70"/>
      <c r="AJP123" s="70"/>
      <c r="AJQ123" s="70"/>
      <c r="AJR123" s="70"/>
      <c r="AJS123" s="70"/>
      <c r="AJT123" s="70"/>
      <c r="AJU123" s="70"/>
      <c r="AJV123" s="70"/>
      <c r="AJW123" s="70"/>
      <c r="AJX123" s="70"/>
      <c r="AJY123" s="70"/>
      <c r="AJZ123" s="70"/>
      <c r="AKA123" s="70"/>
      <c r="AKB123" s="70"/>
      <c r="AKC123" s="70"/>
      <c r="AKD123" s="70"/>
      <c r="AKE123" s="70"/>
      <c r="AKF123" s="70"/>
      <c r="AKG123" s="70"/>
      <c r="AKH123" s="70"/>
      <c r="AKI123" s="70"/>
      <c r="AKJ123" s="70"/>
      <c r="AKK123" s="70"/>
      <c r="AKL123" s="70"/>
      <c r="AKM123" s="70"/>
      <c r="AKN123" s="70"/>
      <c r="AKO123" s="70"/>
      <c r="AKP123" s="70"/>
      <c r="AKQ123" s="70"/>
      <c r="AKR123" s="70"/>
      <c r="AKS123" s="70"/>
      <c r="AKT123" s="70"/>
      <c r="AKU123" s="70"/>
      <c r="AKV123" s="70"/>
      <c r="AKW123" s="70"/>
      <c r="AKX123" s="70"/>
      <c r="AKY123" s="70"/>
      <c r="AKZ123" s="70"/>
      <c r="ALA123" s="70"/>
      <c r="ALB123" s="70"/>
      <c r="ALC123" s="70"/>
      <c r="ALD123" s="70"/>
      <c r="ALE123" s="70"/>
      <c r="ALF123" s="70"/>
      <c r="ALG123" s="70"/>
      <c r="ALH123" s="70"/>
      <c r="ALI123" s="70"/>
      <c r="ALJ123" s="70"/>
      <c r="ALK123" s="70"/>
      <c r="ALL123" s="70"/>
      <c r="ALM123" s="70"/>
      <c r="ALN123" s="70"/>
      <c r="ALO123" s="70"/>
      <c r="ALP123" s="70"/>
      <c r="ALQ123" s="70"/>
      <c r="ALR123" s="70"/>
      <c r="ALS123" s="70"/>
      <c r="ALT123" s="70"/>
      <c r="ALU123" s="70"/>
      <c r="ALV123" s="70"/>
      <c r="ALW123" s="70"/>
      <c r="ALX123" s="70"/>
      <c r="ALY123" s="70"/>
      <c r="ALZ123" s="70"/>
      <c r="AMA123" s="70"/>
      <c r="AMB123" s="70"/>
      <c r="AMC123" s="70"/>
      <c r="AMD123" s="70"/>
      <c r="AME123" s="70"/>
      <c r="AMF123" s="70"/>
      <c r="AMG123" s="70"/>
      <c r="AMH123" s="70"/>
      <c r="AMI123" s="70"/>
      <c r="AMJ123" s="70"/>
      <c r="AMK123" s="70"/>
      <c r="AML123" s="70"/>
      <c r="AMM123" s="70"/>
      <c r="AMN123" s="70"/>
      <c r="AMO123" s="70"/>
      <c r="AMP123" s="70"/>
      <c r="AMQ123" s="70"/>
      <c r="AMR123" s="70"/>
      <c r="AMS123" s="70"/>
      <c r="AMT123" s="70"/>
      <c r="AMU123" s="70"/>
      <c r="AMV123" s="70"/>
      <c r="AMW123" s="70"/>
      <c r="AMX123" s="70"/>
      <c r="AMY123" s="70"/>
      <c r="AMZ123" s="70"/>
      <c r="ANA123" s="70"/>
      <c r="ANB123" s="70"/>
      <c r="ANC123" s="70"/>
      <c r="AND123" s="70"/>
      <c r="ANE123" s="70"/>
      <c r="ANF123" s="70"/>
      <c r="ANG123" s="70"/>
      <c r="ANH123" s="70"/>
      <c r="ANI123" s="70"/>
      <c r="ANJ123" s="70"/>
      <c r="ANK123" s="70"/>
      <c r="ANL123" s="70"/>
      <c r="ANM123" s="70"/>
      <c r="ANN123" s="70"/>
      <c r="ANO123" s="70"/>
      <c r="ANP123" s="70"/>
      <c r="ANQ123" s="70"/>
      <c r="ANR123" s="70"/>
      <c r="ANS123" s="70"/>
      <c r="ANT123" s="70"/>
      <c r="ANU123" s="70"/>
      <c r="ANV123" s="70"/>
      <c r="ANW123" s="70"/>
      <c r="ANX123" s="70"/>
      <c r="ANY123" s="70"/>
      <c r="ANZ123" s="70"/>
      <c r="AOA123" s="70"/>
      <c r="AOB123" s="70"/>
      <c r="AOC123" s="70"/>
      <c r="AOD123" s="70"/>
      <c r="AOE123" s="70"/>
      <c r="AOF123" s="70"/>
      <c r="AOG123" s="70"/>
      <c r="AOH123" s="70"/>
      <c r="AOI123" s="70"/>
      <c r="AOJ123" s="70"/>
      <c r="AOK123" s="70"/>
      <c r="AOL123" s="70"/>
      <c r="AOM123" s="70"/>
      <c r="AON123" s="70"/>
      <c r="AOO123" s="70"/>
      <c r="AOP123" s="70"/>
      <c r="AOQ123" s="70"/>
      <c r="AOR123" s="70"/>
      <c r="AOS123" s="70"/>
      <c r="AOT123" s="70"/>
      <c r="AOU123" s="70"/>
      <c r="AOV123" s="70"/>
      <c r="AOW123" s="70"/>
      <c r="AOX123" s="70"/>
      <c r="AOY123" s="70"/>
      <c r="AOZ123" s="70"/>
      <c r="APA123" s="70"/>
      <c r="APB123" s="70"/>
      <c r="APC123" s="70"/>
      <c r="APD123" s="70"/>
      <c r="APE123" s="70"/>
      <c r="APF123" s="70"/>
      <c r="APG123" s="70"/>
      <c r="APH123" s="70"/>
      <c r="API123" s="70"/>
      <c r="APJ123" s="70"/>
      <c r="APK123" s="70"/>
      <c r="APL123" s="70"/>
      <c r="APM123" s="70"/>
      <c r="APN123" s="70"/>
      <c r="APO123" s="70"/>
      <c r="APP123" s="70"/>
      <c r="APQ123" s="70"/>
      <c r="APR123" s="70"/>
      <c r="APS123" s="70"/>
      <c r="APT123" s="70"/>
      <c r="APU123" s="70"/>
      <c r="APV123" s="70"/>
      <c r="APW123" s="70"/>
      <c r="APX123" s="70"/>
      <c r="APY123" s="70"/>
      <c r="APZ123" s="70"/>
      <c r="AQA123" s="70"/>
      <c r="AQB123" s="70"/>
      <c r="AQC123" s="70"/>
      <c r="AQD123" s="70"/>
      <c r="AQE123" s="70"/>
      <c r="AQF123" s="70"/>
      <c r="AQG123" s="70"/>
      <c r="AQH123" s="70"/>
      <c r="AQI123" s="70"/>
      <c r="AQJ123" s="70"/>
      <c r="AQK123" s="70"/>
      <c r="AQL123" s="70"/>
      <c r="AQM123" s="70"/>
      <c r="AQN123" s="70"/>
      <c r="AQO123" s="70"/>
      <c r="AQP123" s="70"/>
      <c r="AQQ123" s="70"/>
      <c r="AQR123" s="70"/>
      <c r="AQS123" s="70"/>
      <c r="AQT123" s="70"/>
      <c r="AQU123" s="70"/>
      <c r="AQV123" s="70"/>
      <c r="AQW123" s="70"/>
      <c r="AQX123" s="70"/>
      <c r="AQY123" s="70"/>
      <c r="AQZ123" s="70"/>
      <c r="ARA123" s="70"/>
      <c r="ARB123" s="70"/>
      <c r="ARC123" s="70"/>
      <c r="ARD123" s="70"/>
      <c r="ARE123" s="70"/>
      <c r="ARF123" s="70"/>
      <c r="ARG123" s="70"/>
      <c r="ARH123" s="70"/>
      <c r="ARI123" s="70"/>
      <c r="ARJ123" s="70"/>
      <c r="ARK123" s="70"/>
      <c r="ARL123" s="70"/>
      <c r="ARM123" s="70"/>
      <c r="ARN123" s="70"/>
      <c r="ARO123" s="70"/>
      <c r="ARP123" s="70"/>
      <c r="ARQ123" s="70"/>
      <c r="ARR123" s="70"/>
      <c r="ARS123" s="70"/>
      <c r="ART123" s="70"/>
      <c r="ARU123" s="70"/>
      <c r="ARV123" s="70"/>
      <c r="ARW123" s="70"/>
      <c r="ARX123" s="70"/>
      <c r="ARY123" s="70"/>
      <c r="ARZ123" s="70"/>
      <c r="ASA123" s="70"/>
      <c r="ASB123" s="70"/>
      <c r="ASC123" s="70"/>
      <c r="ASD123" s="70"/>
      <c r="ASE123" s="70"/>
      <c r="ASF123" s="70"/>
      <c r="ASG123" s="70"/>
      <c r="ASH123" s="70"/>
      <c r="ASI123" s="70"/>
      <c r="ASJ123" s="70"/>
      <c r="ASK123" s="70"/>
      <c r="ASL123" s="70"/>
      <c r="ASM123" s="70"/>
      <c r="ASN123" s="70"/>
      <c r="ASO123" s="70"/>
      <c r="ASP123" s="70"/>
      <c r="ASQ123" s="70"/>
      <c r="ASR123" s="70"/>
      <c r="ASS123" s="70"/>
      <c r="AST123" s="70"/>
      <c r="ASU123" s="70"/>
      <c r="ASV123" s="70"/>
      <c r="ASW123" s="70"/>
      <c r="ASX123" s="70"/>
      <c r="ASY123" s="70"/>
      <c r="ASZ123" s="70"/>
      <c r="ATA123" s="70"/>
      <c r="ATB123" s="70"/>
      <c r="ATC123" s="70"/>
      <c r="ATD123" s="70"/>
      <c r="ATE123" s="70"/>
      <c r="ATF123" s="70"/>
      <c r="ATG123" s="70"/>
      <c r="ATH123" s="70"/>
      <c r="ATI123" s="70"/>
      <c r="ATJ123" s="70"/>
      <c r="ATK123" s="70"/>
      <c r="ATL123" s="70"/>
      <c r="ATM123" s="70"/>
      <c r="ATN123" s="70"/>
      <c r="ATO123" s="70"/>
      <c r="ATP123" s="70"/>
      <c r="ATQ123" s="70"/>
      <c r="ATR123" s="70"/>
      <c r="ATS123" s="70"/>
      <c r="ATT123" s="70"/>
      <c r="ATU123" s="70"/>
      <c r="ATV123" s="70"/>
      <c r="ATW123" s="70"/>
      <c r="ATX123" s="70"/>
      <c r="ATY123" s="70"/>
      <c r="ATZ123" s="70"/>
      <c r="AUA123" s="70"/>
      <c r="AUB123" s="70"/>
      <c r="AUC123" s="70"/>
      <c r="AUD123" s="70"/>
      <c r="AUE123" s="70"/>
      <c r="AUF123" s="70"/>
      <c r="AUG123" s="70"/>
      <c r="AUH123" s="70"/>
      <c r="AUI123" s="70"/>
      <c r="AUJ123" s="70"/>
      <c r="AUK123" s="70"/>
      <c r="AUL123" s="70"/>
      <c r="AUM123" s="70"/>
      <c r="AUN123" s="70"/>
      <c r="AUO123" s="70"/>
      <c r="AUP123" s="70"/>
      <c r="AUQ123" s="70"/>
      <c r="AUR123" s="70"/>
      <c r="AUS123" s="70"/>
      <c r="AUT123" s="70"/>
      <c r="AUU123" s="70"/>
      <c r="AUV123" s="70"/>
      <c r="AUW123" s="70"/>
      <c r="AUX123" s="70"/>
      <c r="AUY123" s="70"/>
      <c r="AUZ123" s="70"/>
      <c r="AVA123" s="70"/>
      <c r="AVB123" s="70"/>
      <c r="AVC123" s="70"/>
      <c r="AVD123" s="70"/>
      <c r="AVE123" s="70"/>
      <c r="AVF123" s="70"/>
      <c r="AVG123" s="70"/>
      <c r="AVH123" s="70"/>
      <c r="AVI123" s="70"/>
      <c r="AVJ123" s="70"/>
      <c r="AVK123" s="70"/>
      <c r="AVL123" s="70"/>
      <c r="AVM123" s="70"/>
      <c r="AVN123" s="70"/>
      <c r="AVO123" s="70"/>
      <c r="AVP123" s="70"/>
      <c r="AVQ123" s="70"/>
      <c r="AVR123" s="70"/>
      <c r="AVS123" s="70"/>
      <c r="AVT123" s="70"/>
      <c r="AVU123" s="70"/>
      <c r="AVV123" s="70"/>
      <c r="AVW123" s="70"/>
      <c r="AVX123" s="70"/>
      <c r="AVY123" s="70"/>
      <c r="AVZ123" s="70"/>
      <c r="AWA123" s="70"/>
      <c r="AWB123" s="70"/>
      <c r="AWC123" s="70"/>
      <c r="AWD123" s="70"/>
      <c r="AWE123" s="70"/>
      <c r="AWF123" s="70"/>
      <c r="AWG123" s="70"/>
      <c r="AWH123" s="70"/>
      <c r="AWI123" s="70"/>
      <c r="AWJ123" s="70"/>
      <c r="AWK123" s="70"/>
      <c r="AWL123" s="70"/>
      <c r="AWM123" s="70"/>
      <c r="AWN123" s="70"/>
      <c r="AWO123" s="70"/>
      <c r="AWP123" s="70"/>
      <c r="AWQ123" s="70"/>
      <c r="AWR123" s="70"/>
      <c r="AWS123" s="70"/>
      <c r="AWT123" s="70"/>
      <c r="AWU123" s="70"/>
      <c r="AWV123" s="70"/>
      <c r="AWW123" s="70"/>
      <c r="AWX123" s="70"/>
      <c r="AWY123" s="70"/>
      <c r="AWZ123" s="70"/>
      <c r="AXA123" s="70"/>
      <c r="AXB123" s="70"/>
      <c r="AXC123" s="70"/>
      <c r="AXD123" s="70"/>
      <c r="AXE123" s="70"/>
      <c r="AXF123" s="70"/>
      <c r="AXG123" s="70"/>
      <c r="AXH123" s="70"/>
      <c r="AXI123" s="70"/>
      <c r="AXJ123" s="70"/>
      <c r="AXK123" s="70"/>
      <c r="AXL123" s="70"/>
      <c r="AXM123" s="70"/>
      <c r="AXN123" s="70"/>
      <c r="AXO123" s="70"/>
      <c r="AXP123" s="70"/>
      <c r="AXQ123" s="70"/>
      <c r="AXR123" s="70"/>
      <c r="AXS123" s="70"/>
      <c r="AXT123" s="70"/>
      <c r="AXU123" s="70"/>
      <c r="AXV123" s="70"/>
      <c r="AXW123" s="70"/>
      <c r="AXX123" s="70"/>
      <c r="AXY123" s="70"/>
      <c r="AXZ123" s="70"/>
      <c r="AYA123" s="70"/>
      <c r="AYB123" s="70"/>
      <c r="AYC123" s="70"/>
      <c r="AYD123" s="70"/>
      <c r="AYE123" s="70"/>
      <c r="AYF123" s="70"/>
      <c r="AYG123" s="70"/>
      <c r="AYH123" s="70"/>
      <c r="AYI123" s="70"/>
      <c r="AYJ123" s="70"/>
      <c r="AYK123" s="70"/>
      <c r="AYL123" s="70"/>
      <c r="AYM123" s="70"/>
      <c r="AYN123" s="70"/>
      <c r="AYO123" s="70"/>
      <c r="AYP123" s="70"/>
      <c r="AYQ123" s="70"/>
      <c r="AYR123" s="70"/>
      <c r="AYS123" s="70"/>
      <c r="AYT123" s="70"/>
      <c r="AYU123" s="70"/>
      <c r="AYV123" s="70"/>
      <c r="AYW123" s="70"/>
      <c r="AYX123" s="70"/>
      <c r="AYY123" s="70"/>
      <c r="AYZ123" s="70"/>
      <c r="AZA123" s="70"/>
      <c r="AZB123" s="70"/>
      <c r="AZC123" s="70"/>
      <c r="AZD123" s="70"/>
      <c r="AZE123" s="70"/>
      <c r="AZF123" s="70"/>
      <c r="AZG123" s="70"/>
      <c r="AZH123" s="70"/>
      <c r="AZI123" s="70"/>
      <c r="AZJ123" s="70"/>
      <c r="AZK123" s="70"/>
      <c r="AZL123" s="70"/>
      <c r="AZM123" s="70"/>
      <c r="AZN123" s="70"/>
      <c r="AZO123" s="70"/>
      <c r="AZP123" s="70"/>
      <c r="AZQ123" s="70"/>
      <c r="AZR123" s="70"/>
      <c r="AZS123" s="70"/>
      <c r="AZT123" s="70"/>
      <c r="AZU123" s="70"/>
      <c r="AZV123" s="70"/>
      <c r="AZW123" s="70"/>
      <c r="AZX123" s="70"/>
      <c r="AZY123" s="70"/>
      <c r="AZZ123" s="70"/>
      <c r="BAA123" s="70"/>
      <c r="BAB123" s="70"/>
      <c r="BAC123" s="70"/>
      <c r="BAD123" s="70"/>
      <c r="BAE123" s="70"/>
      <c r="BAF123" s="70"/>
      <c r="BAG123" s="70"/>
      <c r="BAH123" s="70"/>
      <c r="BAI123" s="70"/>
      <c r="BAJ123" s="70"/>
      <c r="BAK123" s="70"/>
      <c r="BAL123" s="70"/>
      <c r="BAM123" s="70"/>
      <c r="BAN123" s="70"/>
      <c r="BAO123" s="70"/>
      <c r="BAP123" s="70"/>
      <c r="BAQ123" s="70"/>
      <c r="BAR123" s="70"/>
      <c r="BAS123" s="70"/>
      <c r="BAT123" s="70"/>
      <c r="BAU123" s="70"/>
      <c r="BAV123" s="70"/>
      <c r="BAW123" s="70"/>
      <c r="BAX123" s="70"/>
      <c r="BAY123" s="70"/>
      <c r="BAZ123" s="70"/>
      <c r="BBA123" s="70"/>
      <c r="BBB123" s="70"/>
      <c r="BBC123" s="70"/>
      <c r="BBD123" s="70"/>
      <c r="BBE123" s="70"/>
      <c r="BBF123" s="70"/>
      <c r="BBG123" s="70"/>
      <c r="BBH123" s="70"/>
      <c r="BBI123" s="70"/>
      <c r="BBJ123" s="70"/>
      <c r="BBK123" s="70"/>
      <c r="BBL123" s="70"/>
      <c r="BBM123" s="70"/>
      <c r="BBN123" s="70"/>
      <c r="BBO123" s="70"/>
      <c r="BBP123" s="70"/>
      <c r="BBQ123" s="70"/>
      <c r="BBR123" s="70"/>
      <c r="BBS123" s="70"/>
      <c r="BBT123" s="70"/>
      <c r="BBU123" s="70"/>
      <c r="BBV123" s="70"/>
      <c r="BBW123" s="70"/>
      <c r="BBX123" s="70"/>
      <c r="BBY123" s="70"/>
      <c r="BBZ123" s="70"/>
      <c r="BCA123" s="70"/>
      <c r="BCB123" s="70"/>
      <c r="BCC123" s="70"/>
      <c r="BCD123" s="70"/>
      <c r="BCE123" s="70"/>
      <c r="BCF123" s="70"/>
      <c r="BCG123" s="70"/>
      <c r="BCH123" s="70"/>
      <c r="BCI123" s="70"/>
      <c r="BCJ123" s="70"/>
      <c r="BCK123" s="70"/>
      <c r="BCL123" s="70"/>
      <c r="BCM123" s="70"/>
      <c r="BCN123" s="70"/>
      <c r="BCO123" s="70"/>
      <c r="BCP123" s="70"/>
      <c r="BCQ123" s="70"/>
      <c r="BCR123" s="70"/>
      <c r="BCS123" s="70"/>
      <c r="BCT123" s="70"/>
      <c r="BCU123" s="70"/>
      <c r="BCV123" s="70"/>
      <c r="BCW123" s="70"/>
    </row>
    <row r="124" spans="1:1454" s="69" customFormat="1" ht="24.75" customHeight="1" x14ac:dyDescent="0.25">
      <c r="A124" s="142">
        <v>3</v>
      </c>
      <c r="B124" s="134" t="s">
        <v>220</v>
      </c>
      <c r="C124" s="134" t="s">
        <v>99</v>
      </c>
      <c r="D124" s="52">
        <v>575300</v>
      </c>
      <c r="E124" s="72" t="s">
        <v>8</v>
      </c>
      <c r="F124" s="73" t="s">
        <v>97</v>
      </c>
      <c r="G124" s="73" t="s">
        <v>109</v>
      </c>
      <c r="H124" s="52">
        <v>575300</v>
      </c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T124" s="70"/>
      <c r="CU124" s="70"/>
      <c r="CV124" s="70"/>
      <c r="CW124" s="70"/>
      <c r="CX124" s="70"/>
      <c r="CY124" s="70"/>
      <c r="CZ124" s="70"/>
      <c r="DA124" s="70"/>
      <c r="DB124" s="70"/>
      <c r="DC124" s="70"/>
      <c r="DD124" s="70"/>
      <c r="DE124" s="70"/>
      <c r="DF124" s="70"/>
      <c r="DG124" s="70"/>
      <c r="DH124" s="70"/>
      <c r="DI124" s="70"/>
      <c r="DJ124" s="70"/>
      <c r="DK124" s="70"/>
      <c r="DL124" s="70"/>
      <c r="DM124" s="70"/>
      <c r="DN124" s="70"/>
      <c r="DO124" s="70"/>
      <c r="DP124" s="70"/>
      <c r="DQ124" s="70"/>
      <c r="DR124" s="70"/>
      <c r="DS124" s="70"/>
      <c r="DT124" s="70"/>
      <c r="DU124" s="70"/>
      <c r="DV124" s="70"/>
      <c r="DW124" s="70"/>
      <c r="DX124" s="70"/>
      <c r="DY124" s="70"/>
      <c r="DZ124" s="70"/>
      <c r="EA124" s="70"/>
      <c r="EB124" s="70"/>
      <c r="EC124" s="70"/>
      <c r="ED124" s="70"/>
      <c r="EE124" s="70"/>
      <c r="EF124" s="70"/>
      <c r="EG124" s="70"/>
      <c r="EH124" s="70"/>
      <c r="EI124" s="70"/>
      <c r="EJ124" s="70"/>
      <c r="EK124" s="70"/>
      <c r="EL124" s="70"/>
      <c r="EM124" s="70"/>
      <c r="EN124" s="70"/>
      <c r="EO124" s="70"/>
      <c r="EP124" s="70"/>
      <c r="EQ124" s="70"/>
      <c r="ER124" s="70"/>
      <c r="ES124" s="70"/>
      <c r="ET124" s="70"/>
      <c r="EU124" s="70"/>
      <c r="EV124" s="70"/>
      <c r="EW124" s="70"/>
      <c r="EX124" s="70"/>
      <c r="EY124" s="70"/>
      <c r="EZ124" s="70"/>
      <c r="FA124" s="70"/>
      <c r="FB124" s="70"/>
      <c r="FC124" s="70"/>
      <c r="FD124" s="70"/>
      <c r="FE124" s="70"/>
      <c r="FF124" s="70"/>
      <c r="FG124" s="70"/>
      <c r="FH124" s="70"/>
      <c r="FI124" s="70"/>
      <c r="FJ124" s="70"/>
      <c r="FK124" s="70"/>
      <c r="FL124" s="70"/>
      <c r="FM124" s="70"/>
      <c r="FN124" s="70"/>
      <c r="FO124" s="70"/>
      <c r="FP124" s="70"/>
      <c r="FQ124" s="70"/>
      <c r="FR124" s="70"/>
      <c r="FS124" s="70"/>
      <c r="FT124" s="70"/>
      <c r="FU124" s="70"/>
      <c r="FV124" s="70"/>
      <c r="FW124" s="70"/>
      <c r="FX124" s="70"/>
      <c r="FY124" s="70"/>
      <c r="FZ124" s="70"/>
      <c r="GA124" s="70"/>
      <c r="GB124" s="70"/>
      <c r="GC124" s="70"/>
      <c r="GD124" s="70"/>
      <c r="GE124" s="70"/>
      <c r="GF124" s="70"/>
      <c r="GG124" s="70"/>
      <c r="GH124" s="70"/>
      <c r="GI124" s="70"/>
      <c r="GJ124" s="70"/>
      <c r="GK124" s="70"/>
      <c r="GL124" s="70"/>
      <c r="GM124" s="70"/>
      <c r="GN124" s="70"/>
      <c r="GO124" s="70"/>
      <c r="GP124" s="70"/>
      <c r="GQ124" s="70"/>
      <c r="GR124" s="70"/>
      <c r="GS124" s="70"/>
      <c r="GT124" s="70"/>
      <c r="GU124" s="70"/>
      <c r="GV124" s="70"/>
      <c r="GW124" s="70"/>
      <c r="GX124" s="70"/>
      <c r="GY124" s="70"/>
      <c r="GZ124" s="70"/>
      <c r="HA124" s="70"/>
      <c r="HB124" s="70"/>
      <c r="HC124" s="70"/>
      <c r="HD124" s="70"/>
      <c r="HE124" s="70"/>
      <c r="HF124" s="70"/>
      <c r="HG124" s="70"/>
      <c r="HH124" s="70"/>
      <c r="HI124" s="70"/>
      <c r="HJ124" s="70"/>
      <c r="HK124" s="70"/>
      <c r="HL124" s="70"/>
      <c r="HM124" s="70"/>
      <c r="HN124" s="70"/>
      <c r="HO124" s="70"/>
      <c r="HP124" s="70"/>
      <c r="HQ124" s="70"/>
      <c r="HR124" s="70"/>
      <c r="HS124" s="70"/>
      <c r="HT124" s="70"/>
      <c r="HU124" s="70"/>
      <c r="HV124" s="70"/>
      <c r="HW124" s="70"/>
      <c r="HX124" s="70"/>
      <c r="HY124" s="70"/>
      <c r="HZ124" s="70"/>
      <c r="IA124" s="70"/>
      <c r="IB124" s="70"/>
      <c r="IC124" s="70"/>
      <c r="ID124" s="70"/>
      <c r="IE124" s="70"/>
      <c r="IF124" s="70"/>
      <c r="IG124" s="70"/>
      <c r="IH124" s="70"/>
      <c r="II124" s="70"/>
      <c r="IJ124" s="70"/>
      <c r="IK124" s="70"/>
      <c r="IL124" s="70"/>
      <c r="IM124" s="70"/>
      <c r="IN124" s="70"/>
      <c r="IO124" s="70"/>
      <c r="IP124" s="70"/>
      <c r="IQ124" s="70"/>
      <c r="IR124" s="70"/>
      <c r="IS124" s="70"/>
      <c r="IT124" s="70"/>
      <c r="IU124" s="70"/>
      <c r="IV124" s="70"/>
      <c r="IW124" s="70"/>
      <c r="IX124" s="70"/>
      <c r="IY124" s="70"/>
      <c r="IZ124" s="70"/>
      <c r="JA124" s="70"/>
      <c r="JB124" s="70"/>
      <c r="JC124" s="70"/>
      <c r="JD124" s="70"/>
      <c r="JE124" s="70"/>
      <c r="JF124" s="70"/>
      <c r="JG124" s="70"/>
      <c r="JH124" s="70"/>
      <c r="JI124" s="70"/>
      <c r="JJ124" s="70"/>
      <c r="JK124" s="70"/>
      <c r="JL124" s="70"/>
      <c r="JM124" s="70"/>
      <c r="JN124" s="70"/>
      <c r="JO124" s="70"/>
      <c r="JP124" s="70"/>
      <c r="JQ124" s="70"/>
      <c r="JR124" s="70"/>
      <c r="JS124" s="70"/>
      <c r="JT124" s="70"/>
      <c r="JU124" s="70"/>
      <c r="JV124" s="70"/>
      <c r="JW124" s="70"/>
      <c r="JX124" s="70"/>
      <c r="JY124" s="70"/>
      <c r="JZ124" s="70"/>
      <c r="KA124" s="70"/>
      <c r="KB124" s="70"/>
      <c r="KC124" s="70"/>
      <c r="KD124" s="70"/>
      <c r="KE124" s="70"/>
      <c r="KF124" s="70"/>
      <c r="KG124" s="70"/>
      <c r="KH124" s="70"/>
      <c r="KI124" s="70"/>
      <c r="KJ124" s="70"/>
      <c r="KK124" s="70"/>
      <c r="KL124" s="70"/>
      <c r="KM124" s="70"/>
      <c r="KN124" s="70"/>
      <c r="KO124" s="70"/>
      <c r="KP124" s="70"/>
      <c r="KQ124" s="70"/>
      <c r="KR124" s="70"/>
      <c r="KS124" s="70"/>
      <c r="KT124" s="70"/>
      <c r="KU124" s="70"/>
      <c r="KV124" s="70"/>
      <c r="KW124" s="70"/>
      <c r="KX124" s="70"/>
      <c r="KY124" s="70"/>
      <c r="KZ124" s="70"/>
      <c r="LA124" s="70"/>
      <c r="LB124" s="70"/>
      <c r="LC124" s="70"/>
      <c r="LD124" s="70"/>
      <c r="LE124" s="70"/>
      <c r="LF124" s="70"/>
      <c r="LG124" s="70"/>
      <c r="LH124" s="70"/>
      <c r="LI124" s="70"/>
      <c r="LJ124" s="70"/>
      <c r="LK124" s="70"/>
      <c r="LL124" s="70"/>
      <c r="LM124" s="70"/>
      <c r="LN124" s="70"/>
      <c r="LO124" s="70"/>
      <c r="LP124" s="70"/>
      <c r="LQ124" s="70"/>
      <c r="LR124" s="70"/>
      <c r="LS124" s="70"/>
      <c r="LT124" s="70"/>
      <c r="LU124" s="70"/>
      <c r="LV124" s="70"/>
      <c r="LW124" s="70"/>
      <c r="LX124" s="70"/>
      <c r="LY124" s="70"/>
      <c r="LZ124" s="70"/>
      <c r="MA124" s="70"/>
      <c r="MB124" s="70"/>
      <c r="MC124" s="70"/>
      <c r="MD124" s="70"/>
      <c r="ME124" s="70"/>
      <c r="MF124" s="70"/>
      <c r="MG124" s="70"/>
      <c r="MH124" s="70"/>
      <c r="MI124" s="70"/>
      <c r="MJ124" s="70"/>
      <c r="MK124" s="70"/>
      <c r="ML124" s="70"/>
      <c r="MM124" s="70"/>
      <c r="MN124" s="70"/>
      <c r="MO124" s="70"/>
      <c r="MP124" s="70"/>
      <c r="MQ124" s="70"/>
      <c r="MR124" s="70"/>
      <c r="MS124" s="70"/>
      <c r="MT124" s="70"/>
      <c r="MU124" s="70"/>
      <c r="MV124" s="70"/>
      <c r="MW124" s="70"/>
      <c r="MX124" s="70"/>
      <c r="MY124" s="70"/>
      <c r="MZ124" s="70"/>
      <c r="NA124" s="70"/>
      <c r="NB124" s="70"/>
      <c r="NC124" s="70"/>
      <c r="ND124" s="70"/>
      <c r="NE124" s="70"/>
      <c r="NF124" s="70"/>
      <c r="NG124" s="70"/>
      <c r="NH124" s="70"/>
      <c r="NI124" s="70"/>
      <c r="NJ124" s="70"/>
      <c r="NK124" s="70"/>
      <c r="NL124" s="70"/>
      <c r="NM124" s="70"/>
      <c r="NN124" s="70"/>
      <c r="NO124" s="70"/>
      <c r="NP124" s="70"/>
      <c r="NQ124" s="70"/>
      <c r="NR124" s="70"/>
      <c r="NS124" s="70"/>
      <c r="NT124" s="70"/>
      <c r="NU124" s="70"/>
      <c r="NV124" s="70"/>
      <c r="NW124" s="70"/>
      <c r="NX124" s="70"/>
      <c r="NY124" s="70"/>
      <c r="NZ124" s="70"/>
      <c r="OA124" s="70"/>
      <c r="OB124" s="70"/>
      <c r="OC124" s="70"/>
      <c r="OD124" s="70"/>
      <c r="OE124" s="70"/>
      <c r="OF124" s="70"/>
      <c r="OG124" s="70"/>
      <c r="OH124" s="70"/>
      <c r="OI124" s="70"/>
      <c r="OJ124" s="70"/>
      <c r="OK124" s="70"/>
      <c r="OL124" s="70"/>
      <c r="OM124" s="70"/>
      <c r="ON124" s="70"/>
      <c r="OO124" s="70"/>
      <c r="OP124" s="70"/>
      <c r="OQ124" s="70"/>
      <c r="OR124" s="70"/>
      <c r="OS124" s="70"/>
      <c r="OT124" s="70"/>
      <c r="OU124" s="70"/>
      <c r="OV124" s="70"/>
      <c r="OW124" s="70"/>
      <c r="OX124" s="70"/>
      <c r="OY124" s="70"/>
      <c r="OZ124" s="70"/>
      <c r="PA124" s="70"/>
      <c r="PB124" s="70"/>
      <c r="PC124" s="70"/>
      <c r="PD124" s="70"/>
      <c r="PE124" s="70"/>
      <c r="PF124" s="70"/>
      <c r="PG124" s="70"/>
      <c r="PH124" s="70"/>
      <c r="PI124" s="70"/>
      <c r="PJ124" s="70"/>
      <c r="PK124" s="70"/>
      <c r="PL124" s="70"/>
      <c r="PM124" s="70"/>
      <c r="PN124" s="70"/>
      <c r="PO124" s="70"/>
      <c r="PP124" s="70"/>
      <c r="PQ124" s="70"/>
      <c r="PR124" s="70"/>
      <c r="PS124" s="70"/>
      <c r="PT124" s="70"/>
      <c r="PU124" s="70"/>
      <c r="PV124" s="70"/>
      <c r="PW124" s="70"/>
      <c r="PX124" s="70"/>
      <c r="PY124" s="70"/>
      <c r="PZ124" s="70"/>
      <c r="QA124" s="70"/>
      <c r="QB124" s="70"/>
      <c r="QC124" s="70"/>
      <c r="QD124" s="70"/>
      <c r="QE124" s="70"/>
      <c r="QF124" s="70"/>
      <c r="QG124" s="70"/>
      <c r="QH124" s="70"/>
      <c r="QI124" s="70"/>
      <c r="QJ124" s="70"/>
      <c r="QK124" s="70"/>
      <c r="QL124" s="70"/>
      <c r="QM124" s="70"/>
      <c r="QN124" s="70"/>
      <c r="QO124" s="70"/>
      <c r="QP124" s="70"/>
      <c r="QQ124" s="70"/>
      <c r="QR124" s="70"/>
      <c r="QS124" s="70"/>
      <c r="QT124" s="70"/>
      <c r="QU124" s="70"/>
      <c r="QV124" s="70"/>
      <c r="QW124" s="70"/>
      <c r="QX124" s="70"/>
      <c r="QY124" s="70"/>
      <c r="QZ124" s="70"/>
      <c r="RA124" s="70"/>
      <c r="RB124" s="70"/>
      <c r="RC124" s="70"/>
      <c r="RD124" s="70"/>
      <c r="RE124" s="70"/>
      <c r="RF124" s="70"/>
      <c r="RG124" s="70"/>
      <c r="RH124" s="70"/>
      <c r="RI124" s="70"/>
      <c r="RJ124" s="70"/>
      <c r="RK124" s="70"/>
      <c r="RL124" s="70"/>
      <c r="RM124" s="70"/>
      <c r="RN124" s="70"/>
      <c r="RO124" s="70"/>
      <c r="RP124" s="70"/>
      <c r="RQ124" s="70"/>
      <c r="RR124" s="70"/>
      <c r="RS124" s="70"/>
      <c r="RT124" s="70"/>
      <c r="RU124" s="70"/>
      <c r="RV124" s="70"/>
      <c r="RW124" s="70"/>
      <c r="RX124" s="70"/>
      <c r="RY124" s="70"/>
      <c r="RZ124" s="70"/>
      <c r="SA124" s="70"/>
      <c r="SB124" s="70"/>
      <c r="SC124" s="70"/>
      <c r="SD124" s="70"/>
      <c r="SE124" s="70"/>
      <c r="SF124" s="70"/>
      <c r="SG124" s="70"/>
      <c r="SH124" s="70"/>
      <c r="SI124" s="70"/>
      <c r="SJ124" s="70"/>
      <c r="SK124" s="70"/>
      <c r="SL124" s="70"/>
      <c r="SM124" s="70"/>
      <c r="SN124" s="70"/>
      <c r="SO124" s="70"/>
      <c r="SP124" s="70"/>
      <c r="SQ124" s="70"/>
      <c r="SR124" s="70"/>
      <c r="SS124" s="70"/>
      <c r="ST124" s="70"/>
      <c r="SU124" s="70"/>
      <c r="SV124" s="70"/>
      <c r="SW124" s="70"/>
      <c r="SX124" s="70"/>
      <c r="SY124" s="70"/>
      <c r="SZ124" s="70"/>
      <c r="TA124" s="70"/>
      <c r="TB124" s="70"/>
      <c r="TC124" s="70"/>
      <c r="TD124" s="70"/>
      <c r="TE124" s="70"/>
      <c r="TF124" s="70"/>
      <c r="TG124" s="70"/>
      <c r="TH124" s="70"/>
      <c r="TI124" s="70"/>
      <c r="TJ124" s="70"/>
      <c r="TK124" s="70"/>
      <c r="TL124" s="70"/>
      <c r="TM124" s="70"/>
      <c r="TN124" s="70"/>
      <c r="TO124" s="70"/>
      <c r="TP124" s="70"/>
      <c r="TQ124" s="70"/>
      <c r="TR124" s="70"/>
      <c r="TS124" s="70"/>
      <c r="TT124" s="70"/>
      <c r="TU124" s="70"/>
      <c r="TV124" s="70"/>
      <c r="TW124" s="70"/>
      <c r="TX124" s="70"/>
      <c r="TY124" s="70"/>
      <c r="TZ124" s="70"/>
      <c r="UA124" s="70"/>
      <c r="UB124" s="70"/>
      <c r="UC124" s="70"/>
      <c r="UD124" s="70"/>
      <c r="UE124" s="70"/>
      <c r="UF124" s="70"/>
      <c r="UG124" s="70"/>
      <c r="UH124" s="70"/>
      <c r="UI124" s="70"/>
      <c r="UJ124" s="70"/>
      <c r="UK124" s="70"/>
      <c r="UL124" s="70"/>
      <c r="UM124" s="70"/>
      <c r="UN124" s="70"/>
      <c r="UO124" s="70"/>
      <c r="UP124" s="70"/>
      <c r="UQ124" s="70"/>
      <c r="UR124" s="70"/>
      <c r="US124" s="70"/>
      <c r="UT124" s="70"/>
      <c r="UU124" s="70"/>
      <c r="UV124" s="70"/>
      <c r="UW124" s="70"/>
      <c r="UX124" s="70"/>
      <c r="UY124" s="70"/>
      <c r="UZ124" s="70"/>
      <c r="VA124" s="70"/>
      <c r="VB124" s="70"/>
      <c r="VC124" s="70"/>
      <c r="VD124" s="70"/>
      <c r="VE124" s="70"/>
      <c r="VF124" s="70"/>
      <c r="VG124" s="70"/>
      <c r="VH124" s="70"/>
      <c r="VI124" s="70"/>
      <c r="VJ124" s="70"/>
      <c r="VK124" s="70"/>
      <c r="VL124" s="70"/>
      <c r="VM124" s="70"/>
      <c r="VN124" s="70"/>
      <c r="VO124" s="70"/>
      <c r="VP124" s="70"/>
      <c r="VQ124" s="70"/>
      <c r="VR124" s="70"/>
      <c r="VS124" s="70"/>
      <c r="VT124" s="70"/>
      <c r="VU124" s="70"/>
      <c r="VV124" s="70"/>
      <c r="VW124" s="70"/>
      <c r="VX124" s="70"/>
      <c r="VY124" s="70"/>
      <c r="VZ124" s="70"/>
      <c r="WA124" s="70"/>
      <c r="WB124" s="70"/>
      <c r="WC124" s="70"/>
      <c r="WD124" s="70"/>
      <c r="WE124" s="70"/>
      <c r="WF124" s="70"/>
      <c r="WG124" s="70"/>
      <c r="WH124" s="70"/>
      <c r="WI124" s="70"/>
      <c r="WJ124" s="70"/>
      <c r="WK124" s="70"/>
      <c r="WL124" s="70"/>
      <c r="WM124" s="70"/>
      <c r="WN124" s="70"/>
      <c r="WO124" s="70"/>
      <c r="WP124" s="70"/>
      <c r="WQ124" s="70"/>
      <c r="WR124" s="70"/>
      <c r="WS124" s="70"/>
      <c r="WT124" s="70"/>
      <c r="WU124" s="70"/>
      <c r="WV124" s="70"/>
      <c r="WW124" s="70"/>
      <c r="WX124" s="70"/>
      <c r="WY124" s="70"/>
      <c r="WZ124" s="70"/>
      <c r="XA124" s="70"/>
      <c r="XB124" s="70"/>
      <c r="XC124" s="70"/>
      <c r="XD124" s="70"/>
      <c r="XE124" s="70"/>
      <c r="XF124" s="70"/>
      <c r="XG124" s="70"/>
      <c r="XH124" s="70"/>
      <c r="XI124" s="70"/>
      <c r="XJ124" s="70"/>
      <c r="XK124" s="70"/>
      <c r="XL124" s="70"/>
      <c r="XM124" s="70"/>
      <c r="XN124" s="70"/>
      <c r="XO124" s="70"/>
      <c r="XP124" s="70"/>
      <c r="XQ124" s="70"/>
      <c r="XR124" s="70"/>
      <c r="XS124" s="70"/>
      <c r="XT124" s="70"/>
      <c r="XU124" s="70"/>
      <c r="XV124" s="70"/>
      <c r="XW124" s="70"/>
      <c r="XX124" s="70"/>
      <c r="XY124" s="70"/>
      <c r="XZ124" s="70"/>
      <c r="YA124" s="70"/>
      <c r="YB124" s="70"/>
      <c r="YC124" s="70"/>
      <c r="YD124" s="70"/>
      <c r="YE124" s="70"/>
      <c r="YF124" s="70"/>
      <c r="YG124" s="70"/>
      <c r="YH124" s="70"/>
      <c r="YI124" s="70"/>
      <c r="YJ124" s="70"/>
      <c r="YK124" s="70"/>
      <c r="YL124" s="70"/>
      <c r="YM124" s="70"/>
      <c r="YN124" s="70"/>
      <c r="YO124" s="70"/>
      <c r="YP124" s="70"/>
      <c r="YQ124" s="70"/>
      <c r="YR124" s="70"/>
      <c r="YS124" s="70"/>
      <c r="YT124" s="70"/>
      <c r="YU124" s="70"/>
      <c r="YV124" s="70"/>
      <c r="YW124" s="70"/>
      <c r="YX124" s="70"/>
      <c r="YY124" s="70"/>
      <c r="YZ124" s="70"/>
      <c r="ZA124" s="70"/>
      <c r="ZB124" s="70"/>
      <c r="ZC124" s="70"/>
      <c r="ZD124" s="70"/>
      <c r="ZE124" s="70"/>
      <c r="ZF124" s="70"/>
      <c r="ZG124" s="70"/>
      <c r="ZH124" s="70"/>
      <c r="ZI124" s="70"/>
      <c r="ZJ124" s="70"/>
      <c r="ZK124" s="70"/>
      <c r="ZL124" s="70"/>
      <c r="ZM124" s="70"/>
      <c r="ZN124" s="70"/>
      <c r="ZO124" s="70"/>
      <c r="ZP124" s="70"/>
      <c r="ZQ124" s="70"/>
      <c r="ZR124" s="70"/>
      <c r="ZS124" s="70"/>
      <c r="ZT124" s="70"/>
      <c r="ZU124" s="70"/>
      <c r="ZV124" s="70"/>
      <c r="ZW124" s="70"/>
      <c r="ZX124" s="70"/>
      <c r="ZY124" s="70"/>
      <c r="ZZ124" s="70"/>
      <c r="AAA124" s="70"/>
      <c r="AAB124" s="70"/>
      <c r="AAC124" s="70"/>
      <c r="AAD124" s="70"/>
      <c r="AAE124" s="70"/>
      <c r="AAF124" s="70"/>
      <c r="AAG124" s="70"/>
      <c r="AAH124" s="70"/>
      <c r="AAI124" s="70"/>
      <c r="AAJ124" s="70"/>
      <c r="AAK124" s="70"/>
      <c r="AAL124" s="70"/>
      <c r="AAM124" s="70"/>
      <c r="AAN124" s="70"/>
      <c r="AAO124" s="70"/>
      <c r="AAP124" s="70"/>
      <c r="AAQ124" s="70"/>
      <c r="AAR124" s="70"/>
      <c r="AAS124" s="70"/>
      <c r="AAT124" s="70"/>
      <c r="AAU124" s="70"/>
      <c r="AAV124" s="70"/>
      <c r="AAW124" s="70"/>
      <c r="AAX124" s="70"/>
      <c r="AAY124" s="70"/>
      <c r="AAZ124" s="70"/>
      <c r="ABA124" s="70"/>
      <c r="ABB124" s="70"/>
      <c r="ABC124" s="70"/>
      <c r="ABD124" s="70"/>
      <c r="ABE124" s="70"/>
      <c r="ABF124" s="70"/>
      <c r="ABG124" s="70"/>
      <c r="ABH124" s="70"/>
      <c r="ABI124" s="70"/>
      <c r="ABJ124" s="70"/>
      <c r="ABK124" s="70"/>
      <c r="ABL124" s="70"/>
      <c r="ABM124" s="70"/>
      <c r="ABN124" s="70"/>
      <c r="ABO124" s="70"/>
      <c r="ABP124" s="70"/>
      <c r="ABQ124" s="70"/>
      <c r="ABR124" s="70"/>
      <c r="ABS124" s="70"/>
      <c r="ABT124" s="70"/>
      <c r="ABU124" s="70"/>
      <c r="ABV124" s="70"/>
      <c r="ABW124" s="70"/>
      <c r="ABX124" s="70"/>
      <c r="ABY124" s="70"/>
      <c r="ABZ124" s="70"/>
      <c r="ACA124" s="70"/>
      <c r="ACB124" s="70"/>
      <c r="ACC124" s="70"/>
      <c r="ACD124" s="70"/>
      <c r="ACE124" s="70"/>
      <c r="ACF124" s="70"/>
      <c r="ACG124" s="70"/>
      <c r="ACH124" s="70"/>
      <c r="ACI124" s="70"/>
      <c r="ACJ124" s="70"/>
      <c r="ACK124" s="70"/>
      <c r="ACL124" s="70"/>
      <c r="ACM124" s="70"/>
      <c r="ACN124" s="70"/>
      <c r="ACO124" s="70"/>
      <c r="ACP124" s="70"/>
      <c r="ACQ124" s="70"/>
      <c r="ACR124" s="70"/>
      <c r="ACS124" s="70"/>
      <c r="ACT124" s="70"/>
      <c r="ACU124" s="70"/>
      <c r="ACV124" s="70"/>
      <c r="ACW124" s="70"/>
      <c r="ACX124" s="70"/>
      <c r="ACY124" s="70"/>
      <c r="ACZ124" s="70"/>
      <c r="ADA124" s="70"/>
      <c r="ADB124" s="70"/>
      <c r="ADC124" s="70"/>
      <c r="ADD124" s="70"/>
      <c r="ADE124" s="70"/>
      <c r="ADF124" s="70"/>
      <c r="ADG124" s="70"/>
      <c r="ADH124" s="70"/>
      <c r="ADI124" s="70"/>
      <c r="ADJ124" s="70"/>
      <c r="ADK124" s="70"/>
      <c r="ADL124" s="70"/>
      <c r="ADM124" s="70"/>
      <c r="ADN124" s="70"/>
      <c r="ADO124" s="70"/>
      <c r="ADP124" s="70"/>
      <c r="ADQ124" s="70"/>
      <c r="ADR124" s="70"/>
      <c r="ADS124" s="70"/>
      <c r="ADT124" s="70"/>
      <c r="ADU124" s="70"/>
      <c r="ADV124" s="70"/>
      <c r="ADW124" s="70"/>
      <c r="ADX124" s="70"/>
      <c r="ADY124" s="70"/>
      <c r="ADZ124" s="70"/>
      <c r="AEA124" s="70"/>
      <c r="AEB124" s="70"/>
      <c r="AEC124" s="70"/>
      <c r="AED124" s="70"/>
      <c r="AEE124" s="70"/>
      <c r="AEF124" s="70"/>
      <c r="AEG124" s="70"/>
      <c r="AEH124" s="70"/>
      <c r="AEI124" s="70"/>
      <c r="AEJ124" s="70"/>
      <c r="AEK124" s="70"/>
      <c r="AEL124" s="70"/>
      <c r="AEM124" s="70"/>
      <c r="AEN124" s="70"/>
      <c r="AEO124" s="70"/>
      <c r="AEP124" s="70"/>
      <c r="AEQ124" s="70"/>
      <c r="AER124" s="70"/>
      <c r="AES124" s="70"/>
      <c r="AET124" s="70"/>
      <c r="AEU124" s="70"/>
      <c r="AEV124" s="70"/>
      <c r="AEW124" s="70"/>
      <c r="AEX124" s="70"/>
      <c r="AEY124" s="70"/>
      <c r="AEZ124" s="70"/>
      <c r="AFA124" s="70"/>
      <c r="AFB124" s="70"/>
      <c r="AFC124" s="70"/>
      <c r="AFD124" s="70"/>
      <c r="AFE124" s="70"/>
      <c r="AFF124" s="70"/>
      <c r="AFG124" s="70"/>
      <c r="AFH124" s="70"/>
      <c r="AFI124" s="70"/>
      <c r="AFJ124" s="70"/>
      <c r="AFK124" s="70"/>
      <c r="AFL124" s="70"/>
      <c r="AFM124" s="70"/>
      <c r="AFN124" s="70"/>
      <c r="AFO124" s="70"/>
      <c r="AFP124" s="70"/>
      <c r="AFQ124" s="70"/>
      <c r="AFR124" s="70"/>
      <c r="AFS124" s="70"/>
      <c r="AFT124" s="70"/>
      <c r="AFU124" s="70"/>
      <c r="AFV124" s="70"/>
      <c r="AFW124" s="70"/>
      <c r="AFX124" s="70"/>
      <c r="AFY124" s="70"/>
      <c r="AFZ124" s="70"/>
      <c r="AGA124" s="70"/>
      <c r="AGB124" s="70"/>
      <c r="AGC124" s="70"/>
      <c r="AGD124" s="70"/>
      <c r="AGE124" s="70"/>
      <c r="AGF124" s="70"/>
      <c r="AGG124" s="70"/>
      <c r="AGH124" s="70"/>
      <c r="AGI124" s="70"/>
      <c r="AGJ124" s="70"/>
      <c r="AGK124" s="70"/>
      <c r="AGL124" s="70"/>
      <c r="AGM124" s="70"/>
      <c r="AGN124" s="70"/>
      <c r="AGO124" s="70"/>
      <c r="AGP124" s="70"/>
      <c r="AGQ124" s="70"/>
      <c r="AGR124" s="70"/>
      <c r="AGS124" s="70"/>
      <c r="AGT124" s="70"/>
      <c r="AGU124" s="70"/>
      <c r="AGV124" s="70"/>
      <c r="AGW124" s="70"/>
      <c r="AGX124" s="70"/>
      <c r="AGY124" s="70"/>
      <c r="AGZ124" s="70"/>
      <c r="AHA124" s="70"/>
      <c r="AHB124" s="70"/>
      <c r="AHC124" s="70"/>
      <c r="AHD124" s="70"/>
      <c r="AHE124" s="70"/>
      <c r="AHF124" s="70"/>
      <c r="AHG124" s="70"/>
      <c r="AHH124" s="70"/>
      <c r="AHI124" s="70"/>
      <c r="AHJ124" s="70"/>
      <c r="AHK124" s="70"/>
      <c r="AHL124" s="70"/>
      <c r="AHM124" s="70"/>
      <c r="AHN124" s="70"/>
      <c r="AHO124" s="70"/>
      <c r="AHP124" s="70"/>
      <c r="AHQ124" s="70"/>
      <c r="AHR124" s="70"/>
      <c r="AHS124" s="70"/>
      <c r="AHT124" s="70"/>
      <c r="AHU124" s="70"/>
      <c r="AHV124" s="70"/>
      <c r="AHW124" s="70"/>
      <c r="AHX124" s="70"/>
      <c r="AHY124" s="70"/>
      <c r="AHZ124" s="70"/>
      <c r="AIA124" s="70"/>
      <c r="AIB124" s="70"/>
      <c r="AIC124" s="70"/>
      <c r="AID124" s="70"/>
      <c r="AIE124" s="70"/>
      <c r="AIF124" s="70"/>
      <c r="AIG124" s="70"/>
      <c r="AIH124" s="70"/>
      <c r="AII124" s="70"/>
      <c r="AIJ124" s="70"/>
      <c r="AIK124" s="70"/>
      <c r="AIL124" s="70"/>
      <c r="AIM124" s="70"/>
      <c r="AIN124" s="70"/>
      <c r="AIO124" s="70"/>
      <c r="AIP124" s="70"/>
      <c r="AIQ124" s="70"/>
      <c r="AIR124" s="70"/>
      <c r="AIS124" s="70"/>
      <c r="AIT124" s="70"/>
      <c r="AIU124" s="70"/>
      <c r="AIV124" s="70"/>
      <c r="AIW124" s="70"/>
      <c r="AIX124" s="70"/>
      <c r="AIY124" s="70"/>
      <c r="AIZ124" s="70"/>
      <c r="AJA124" s="70"/>
      <c r="AJB124" s="70"/>
      <c r="AJC124" s="70"/>
      <c r="AJD124" s="70"/>
      <c r="AJE124" s="70"/>
      <c r="AJF124" s="70"/>
      <c r="AJG124" s="70"/>
      <c r="AJH124" s="70"/>
      <c r="AJI124" s="70"/>
      <c r="AJJ124" s="70"/>
      <c r="AJK124" s="70"/>
      <c r="AJL124" s="70"/>
      <c r="AJM124" s="70"/>
      <c r="AJN124" s="70"/>
      <c r="AJO124" s="70"/>
      <c r="AJP124" s="70"/>
      <c r="AJQ124" s="70"/>
      <c r="AJR124" s="70"/>
      <c r="AJS124" s="70"/>
      <c r="AJT124" s="70"/>
      <c r="AJU124" s="70"/>
      <c r="AJV124" s="70"/>
      <c r="AJW124" s="70"/>
      <c r="AJX124" s="70"/>
      <c r="AJY124" s="70"/>
      <c r="AJZ124" s="70"/>
      <c r="AKA124" s="70"/>
      <c r="AKB124" s="70"/>
      <c r="AKC124" s="70"/>
      <c r="AKD124" s="70"/>
      <c r="AKE124" s="70"/>
      <c r="AKF124" s="70"/>
      <c r="AKG124" s="70"/>
      <c r="AKH124" s="70"/>
      <c r="AKI124" s="70"/>
      <c r="AKJ124" s="70"/>
      <c r="AKK124" s="70"/>
      <c r="AKL124" s="70"/>
      <c r="AKM124" s="70"/>
      <c r="AKN124" s="70"/>
      <c r="AKO124" s="70"/>
      <c r="AKP124" s="70"/>
      <c r="AKQ124" s="70"/>
      <c r="AKR124" s="70"/>
      <c r="AKS124" s="70"/>
      <c r="AKT124" s="70"/>
      <c r="AKU124" s="70"/>
      <c r="AKV124" s="70"/>
      <c r="AKW124" s="70"/>
      <c r="AKX124" s="70"/>
      <c r="AKY124" s="70"/>
      <c r="AKZ124" s="70"/>
      <c r="ALA124" s="70"/>
      <c r="ALB124" s="70"/>
      <c r="ALC124" s="70"/>
      <c r="ALD124" s="70"/>
      <c r="ALE124" s="70"/>
      <c r="ALF124" s="70"/>
      <c r="ALG124" s="70"/>
      <c r="ALH124" s="70"/>
      <c r="ALI124" s="70"/>
      <c r="ALJ124" s="70"/>
      <c r="ALK124" s="70"/>
      <c r="ALL124" s="70"/>
      <c r="ALM124" s="70"/>
      <c r="ALN124" s="70"/>
      <c r="ALO124" s="70"/>
      <c r="ALP124" s="70"/>
      <c r="ALQ124" s="70"/>
      <c r="ALR124" s="70"/>
      <c r="ALS124" s="70"/>
      <c r="ALT124" s="70"/>
      <c r="ALU124" s="70"/>
      <c r="ALV124" s="70"/>
      <c r="ALW124" s="70"/>
      <c r="ALX124" s="70"/>
      <c r="ALY124" s="70"/>
      <c r="ALZ124" s="70"/>
      <c r="AMA124" s="70"/>
      <c r="AMB124" s="70"/>
      <c r="AMC124" s="70"/>
      <c r="AMD124" s="70"/>
      <c r="AME124" s="70"/>
      <c r="AMF124" s="70"/>
      <c r="AMG124" s="70"/>
      <c r="AMH124" s="70"/>
      <c r="AMI124" s="70"/>
      <c r="AMJ124" s="70"/>
      <c r="AMK124" s="70"/>
      <c r="AML124" s="70"/>
      <c r="AMM124" s="70"/>
      <c r="AMN124" s="70"/>
      <c r="AMO124" s="70"/>
      <c r="AMP124" s="70"/>
      <c r="AMQ124" s="70"/>
      <c r="AMR124" s="70"/>
      <c r="AMS124" s="70"/>
      <c r="AMT124" s="70"/>
      <c r="AMU124" s="70"/>
      <c r="AMV124" s="70"/>
      <c r="AMW124" s="70"/>
      <c r="AMX124" s="70"/>
      <c r="AMY124" s="70"/>
      <c r="AMZ124" s="70"/>
      <c r="ANA124" s="70"/>
      <c r="ANB124" s="70"/>
      <c r="ANC124" s="70"/>
      <c r="AND124" s="70"/>
      <c r="ANE124" s="70"/>
      <c r="ANF124" s="70"/>
      <c r="ANG124" s="70"/>
      <c r="ANH124" s="70"/>
      <c r="ANI124" s="70"/>
      <c r="ANJ124" s="70"/>
      <c r="ANK124" s="70"/>
      <c r="ANL124" s="70"/>
      <c r="ANM124" s="70"/>
      <c r="ANN124" s="70"/>
      <c r="ANO124" s="70"/>
      <c r="ANP124" s="70"/>
      <c r="ANQ124" s="70"/>
      <c r="ANR124" s="70"/>
      <c r="ANS124" s="70"/>
      <c r="ANT124" s="70"/>
      <c r="ANU124" s="70"/>
      <c r="ANV124" s="70"/>
      <c r="ANW124" s="70"/>
      <c r="ANX124" s="70"/>
      <c r="ANY124" s="70"/>
      <c r="ANZ124" s="70"/>
      <c r="AOA124" s="70"/>
      <c r="AOB124" s="70"/>
      <c r="AOC124" s="70"/>
      <c r="AOD124" s="70"/>
      <c r="AOE124" s="70"/>
      <c r="AOF124" s="70"/>
      <c r="AOG124" s="70"/>
      <c r="AOH124" s="70"/>
      <c r="AOI124" s="70"/>
      <c r="AOJ124" s="70"/>
      <c r="AOK124" s="70"/>
      <c r="AOL124" s="70"/>
      <c r="AOM124" s="70"/>
      <c r="AON124" s="70"/>
      <c r="AOO124" s="70"/>
      <c r="AOP124" s="70"/>
      <c r="AOQ124" s="70"/>
      <c r="AOR124" s="70"/>
      <c r="AOS124" s="70"/>
      <c r="AOT124" s="70"/>
      <c r="AOU124" s="70"/>
      <c r="AOV124" s="70"/>
      <c r="AOW124" s="70"/>
      <c r="AOX124" s="70"/>
      <c r="AOY124" s="70"/>
      <c r="AOZ124" s="70"/>
      <c r="APA124" s="70"/>
      <c r="APB124" s="70"/>
      <c r="APC124" s="70"/>
      <c r="APD124" s="70"/>
      <c r="APE124" s="70"/>
      <c r="APF124" s="70"/>
      <c r="APG124" s="70"/>
      <c r="APH124" s="70"/>
      <c r="API124" s="70"/>
      <c r="APJ124" s="70"/>
      <c r="APK124" s="70"/>
      <c r="APL124" s="70"/>
      <c r="APM124" s="70"/>
      <c r="APN124" s="70"/>
      <c r="APO124" s="70"/>
      <c r="APP124" s="70"/>
      <c r="APQ124" s="70"/>
      <c r="APR124" s="70"/>
      <c r="APS124" s="70"/>
      <c r="APT124" s="70"/>
      <c r="APU124" s="70"/>
      <c r="APV124" s="70"/>
      <c r="APW124" s="70"/>
      <c r="APX124" s="70"/>
      <c r="APY124" s="70"/>
      <c r="APZ124" s="70"/>
      <c r="AQA124" s="70"/>
      <c r="AQB124" s="70"/>
      <c r="AQC124" s="70"/>
      <c r="AQD124" s="70"/>
      <c r="AQE124" s="70"/>
      <c r="AQF124" s="70"/>
      <c r="AQG124" s="70"/>
      <c r="AQH124" s="70"/>
      <c r="AQI124" s="70"/>
      <c r="AQJ124" s="70"/>
      <c r="AQK124" s="70"/>
      <c r="AQL124" s="70"/>
      <c r="AQM124" s="70"/>
      <c r="AQN124" s="70"/>
      <c r="AQO124" s="70"/>
      <c r="AQP124" s="70"/>
      <c r="AQQ124" s="70"/>
      <c r="AQR124" s="70"/>
      <c r="AQS124" s="70"/>
      <c r="AQT124" s="70"/>
      <c r="AQU124" s="70"/>
      <c r="AQV124" s="70"/>
      <c r="AQW124" s="70"/>
      <c r="AQX124" s="70"/>
      <c r="AQY124" s="70"/>
      <c r="AQZ124" s="70"/>
      <c r="ARA124" s="70"/>
      <c r="ARB124" s="70"/>
      <c r="ARC124" s="70"/>
      <c r="ARD124" s="70"/>
      <c r="ARE124" s="70"/>
      <c r="ARF124" s="70"/>
      <c r="ARG124" s="70"/>
      <c r="ARH124" s="70"/>
      <c r="ARI124" s="70"/>
      <c r="ARJ124" s="70"/>
      <c r="ARK124" s="70"/>
      <c r="ARL124" s="70"/>
      <c r="ARM124" s="70"/>
      <c r="ARN124" s="70"/>
      <c r="ARO124" s="70"/>
      <c r="ARP124" s="70"/>
      <c r="ARQ124" s="70"/>
      <c r="ARR124" s="70"/>
      <c r="ARS124" s="70"/>
      <c r="ART124" s="70"/>
      <c r="ARU124" s="70"/>
      <c r="ARV124" s="70"/>
      <c r="ARW124" s="70"/>
      <c r="ARX124" s="70"/>
      <c r="ARY124" s="70"/>
      <c r="ARZ124" s="70"/>
      <c r="ASA124" s="70"/>
      <c r="ASB124" s="70"/>
      <c r="ASC124" s="70"/>
      <c r="ASD124" s="70"/>
      <c r="ASE124" s="70"/>
      <c r="ASF124" s="70"/>
      <c r="ASG124" s="70"/>
      <c r="ASH124" s="70"/>
      <c r="ASI124" s="70"/>
      <c r="ASJ124" s="70"/>
      <c r="ASK124" s="70"/>
      <c r="ASL124" s="70"/>
      <c r="ASM124" s="70"/>
      <c r="ASN124" s="70"/>
      <c r="ASO124" s="70"/>
      <c r="ASP124" s="70"/>
      <c r="ASQ124" s="70"/>
      <c r="ASR124" s="70"/>
      <c r="ASS124" s="70"/>
      <c r="AST124" s="70"/>
      <c r="ASU124" s="70"/>
      <c r="ASV124" s="70"/>
      <c r="ASW124" s="70"/>
      <c r="ASX124" s="70"/>
      <c r="ASY124" s="70"/>
      <c r="ASZ124" s="70"/>
      <c r="ATA124" s="70"/>
      <c r="ATB124" s="70"/>
      <c r="ATC124" s="70"/>
      <c r="ATD124" s="70"/>
      <c r="ATE124" s="70"/>
      <c r="ATF124" s="70"/>
      <c r="ATG124" s="70"/>
      <c r="ATH124" s="70"/>
      <c r="ATI124" s="70"/>
      <c r="ATJ124" s="70"/>
      <c r="ATK124" s="70"/>
      <c r="ATL124" s="70"/>
      <c r="ATM124" s="70"/>
      <c r="ATN124" s="70"/>
      <c r="ATO124" s="70"/>
      <c r="ATP124" s="70"/>
      <c r="ATQ124" s="70"/>
      <c r="ATR124" s="70"/>
      <c r="ATS124" s="70"/>
      <c r="ATT124" s="70"/>
      <c r="ATU124" s="70"/>
      <c r="ATV124" s="70"/>
      <c r="ATW124" s="70"/>
      <c r="ATX124" s="70"/>
      <c r="ATY124" s="70"/>
      <c r="ATZ124" s="70"/>
      <c r="AUA124" s="70"/>
      <c r="AUB124" s="70"/>
      <c r="AUC124" s="70"/>
      <c r="AUD124" s="70"/>
      <c r="AUE124" s="70"/>
      <c r="AUF124" s="70"/>
      <c r="AUG124" s="70"/>
      <c r="AUH124" s="70"/>
      <c r="AUI124" s="70"/>
      <c r="AUJ124" s="70"/>
      <c r="AUK124" s="70"/>
      <c r="AUL124" s="70"/>
      <c r="AUM124" s="70"/>
      <c r="AUN124" s="70"/>
      <c r="AUO124" s="70"/>
      <c r="AUP124" s="70"/>
      <c r="AUQ124" s="70"/>
      <c r="AUR124" s="70"/>
      <c r="AUS124" s="70"/>
      <c r="AUT124" s="70"/>
      <c r="AUU124" s="70"/>
      <c r="AUV124" s="70"/>
      <c r="AUW124" s="70"/>
      <c r="AUX124" s="70"/>
      <c r="AUY124" s="70"/>
      <c r="AUZ124" s="70"/>
      <c r="AVA124" s="70"/>
      <c r="AVB124" s="70"/>
      <c r="AVC124" s="70"/>
      <c r="AVD124" s="70"/>
      <c r="AVE124" s="70"/>
      <c r="AVF124" s="70"/>
      <c r="AVG124" s="70"/>
      <c r="AVH124" s="70"/>
      <c r="AVI124" s="70"/>
      <c r="AVJ124" s="70"/>
      <c r="AVK124" s="70"/>
      <c r="AVL124" s="70"/>
      <c r="AVM124" s="70"/>
      <c r="AVN124" s="70"/>
      <c r="AVO124" s="70"/>
      <c r="AVP124" s="70"/>
      <c r="AVQ124" s="70"/>
      <c r="AVR124" s="70"/>
      <c r="AVS124" s="70"/>
      <c r="AVT124" s="70"/>
      <c r="AVU124" s="70"/>
      <c r="AVV124" s="70"/>
      <c r="AVW124" s="70"/>
      <c r="AVX124" s="70"/>
      <c r="AVY124" s="70"/>
      <c r="AVZ124" s="70"/>
      <c r="AWA124" s="70"/>
      <c r="AWB124" s="70"/>
      <c r="AWC124" s="70"/>
      <c r="AWD124" s="70"/>
      <c r="AWE124" s="70"/>
      <c r="AWF124" s="70"/>
      <c r="AWG124" s="70"/>
      <c r="AWH124" s="70"/>
      <c r="AWI124" s="70"/>
      <c r="AWJ124" s="70"/>
      <c r="AWK124" s="70"/>
      <c r="AWL124" s="70"/>
      <c r="AWM124" s="70"/>
      <c r="AWN124" s="70"/>
      <c r="AWO124" s="70"/>
      <c r="AWP124" s="70"/>
      <c r="AWQ124" s="70"/>
      <c r="AWR124" s="70"/>
      <c r="AWS124" s="70"/>
      <c r="AWT124" s="70"/>
      <c r="AWU124" s="70"/>
      <c r="AWV124" s="70"/>
      <c r="AWW124" s="70"/>
      <c r="AWX124" s="70"/>
      <c r="AWY124" s="70"/>
      <c r="AWZ124" s="70"/>
      <c r="AXA124" s="70"/>
      <c r="AXB124" s="70"/>
      <c r="AXC124" s="70"/>
      <c r="AXD124" s="70"/>
      <c r="AXE124" s="70"/>
      <c r="AXF124" s="70"/>
      <c r="AXG124" s="70"/>
      <c r="AXH124" s="70"/>
      <c r="AXI124" s="70"/>
      <c r="AXJ124" s="70"/>
      <c r="AXK124" s="70"/>
      <c r="AXL124" s="70"/>
      <c r="AXM124" s="70"/>
      <c r="AXN124" s="70"/>
      <c r="AXO124" s="70"/>
      <c r="AXP124" s="70"/>
      <c r="AXQ124" s="70"/>
      <c r="AXR124" s="70"/>
      <c r="AXS124" s="70"/>
      <c r="AXT124" s="70"/>
      <c r="AXU124" s="70"/>
      <c r="AXV124" s="70"/>
      <c r="AXW124" s="70"/>
      <c r="AXX124" s="70"/>
      <c r="AXY124" s="70"/>
      <c r="AXZ124" s="70"/>
      <c r="AYA124" s="70"/>
      <c r="AYB124" s="70"/>
      <c r="AYC124" s="70"/>
      <c r="AYD124" s="70"/>
      <c r="AYE124" s="70"/>
      <c r="AYF124" s="70"/>
      <c r="AYG124" s="70"/>
      <c r="AYH124" s="70"/>
      <c r="AYI124" s="70"/>
      <c r="AYJ124" s="70"/>
      <c r="AYK124" s="70"/>
      <c r="AYL124" s="70"/>
      <c r="AYM124" s="70"/>
      <c r="AYN124" s="70"/>
      <c r="AYO124" s="70"/>
      <c r="AYP124" s="70"/>
      <c r="AYQ124" s="70"/>
      <c r="AYR124" s="70"/>
      <c r="AYS124" s="70"/>
      <c r="AYT124" s="70"/>
      <c r="AYU124" s="70"/>
      <c r="AYV124" s="70"/>
      <c r="AYW124" s="70"/>
      <c r="AYX124" s="70"/>
      <c r="AYY124" s="70"/>
      <c r="AYZ124" s="70"/>
      <c r="AZA124" s="70"/>
      <c r="AZB124" s="70"/>
      <c r="AZC124" s="70"/>
      <c r="AZD124" s="70"/>
      <c r="AZE124" s="70"/>
      <c r="AZF124" s="70"/>
      <c r="AZG124" s="70"/>
      <c r="AZH124" s="70"/>
      <c r="AZI124" s="70"/>
      <c r="AZJ124" s="70"/>
      <c r="AZK124" s="70"/>
      <c r="AZL124" s="70"/>
      <c r="AZM124" s="70"/>
      <c r="AZN124" s="70"/>
      <c r="AZO124" s="70"/>
      <c r="AZP124" s="70"/>
      <c r="AZQ124" s="70"/>
      <c r="AZR124" s="70"/>
      <c r="AZS124" s="70"/>
      <c r="AZT124" s="70"/>
      <c r="AZU124" s="70"/>
      <c r="AZV124" s="70"/>
      <c r="AZW124" s="70"/>
      <c r="AZX124" s="70"/>
      <c r="AZY124" s="70"/>
      <c r="AZZ124" s="70"/>
      <c r="BAA124" s="70"/>
      <c r="BAB124" s="70"/>
      <c r="BAC124" s="70"/>
      <c r="BAD124" s="70"/>
      <c r="BAE124" s="70"/>
      <c r="BAF124" s="70"/>
      <c r="BAG124" s="70"/>
      <c r="BAH124" s="70"/>
      <c r="BAI124" s="70"/>
      <c r="BAJ124" s="70"/>
      <c r="BAK124" s="70"/>
      <c r="BAL124" s="70"/>
      <c r="BAM124" s="70"/>
      <c r="BAN124" s="70"/>
      <c r="BAO124" s="70"/>
      <c r="BAP124" s="70"/>
      <c r="BAQ124" s="70"/>
      <c r="BAR124" s="70"/>
      <c r="BAS124" s="70"/>
      <c r="BAT124" s="70"/>
      <c r="BAU124" s="70"/>
      <c r="BAV124" s="70"/>
      <c r="BAW124" s="70"/>
      <c r="BAX124" s="70"/>
      <c r="BAY124" s="70"/>
      <c r="BAZ124" s="70"/>
      <c r="BBA124" s="70"/>
      <c r="BBB124" s="70"/>
      <c r="BBC124" s="70"/>
      <c r="BBD124" s="70"/>
      <c r="BBE124" s="70"/>
      <c r="BBF124" s="70"/>
      <c r="BBG124" s="70"/>
      <c r="BBH124" s="70"/>
      <c r="BBI124" s="70"/>
      <c r="BBJ124" s="70"/>
      <c r="BBK124" s="70"/>
      <c r="BBL124" s="70"/>
      <c r="BBM124" s="70"/>
      <c r="BBN124" s="70"/>
      <c r="BBO124" s="70"/>
      <c r="BBP124" s="70"/>
      <c r="BBQ124" s="70"/>
      <c r="BBR124" s="70"/>
      <c r="BBS124" s="70"/>
      <c r="BBT124" s="70"/>
      <c r="BBU124" s="70"/>
      <c r="BBV124" s="70"/>
      <c r="BBW124" s="70"/>
      <c r="BBX124" s="70"/>
      <c r="BBY124" s="70"/>
      <c r="BBZ124" s="70"/>
      <c r="BCA124" s="70"/>
      <c r="BCB124" s="70"/>
      <c r="BCC124" s="70"/>
      <c r="BCD124" s="70"/>
      <c r="BCE124" s="70"/>
      <c r="BCF124" s="70"/>
      <c r="BCG124" s="70"/>
      <c r="BCH124" s="70"/>
      <c r="BCI124" s="70"/>
      <c r="BCJ124" s="70"/>
      <c r="BCK124" s="70"/>
      <c r="BCL124" s="70"/>
      <c r="BCM124" s="70"/>
      <c r="BCN124" s="70"/>
      <c r="BCO124" s="70"/>
      <c r="BCP124" s="70"/>
      <c r="BCQ124" s="70"/>
      <c r="BCR124" s="70"/>
      <c r="BCS124" s="70"/>
      <c r="BCT124" s="70"/>
      <c r="BCU124" s="70"/>
      <c r="BCV124" s="70"/>
      <c r="BCW124" s="70"/>
    </row>
    <row r="125" spans="1:1454" s="69" customFormat="1" ht="48.75" customHeight="1" x14ac:dyDescent="0.25">
      <c r="A125" s="143"/>
      <c r="B125" s="135"/>
      <c r="C125" s="135"/>
      <c r="D125" s="52">
        <v>1171500</v>
      </c>
      <c r="E125" s="72" t="s">
        <v>26</v>
      </c>
      <c r="F125" s="73" t="s">
        <v>98</v>
      </c>
      <c r="G125" s="73" t="s">
        <v>108</v>
      </c>
      <c r="H125" s="52">
        <v>1171500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  <c r="FU125" s="70"/>
      <c r="FV125" s="70"/>
      <c r="FW125" s="70"/>
      <c r="FX125" s="70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70"/>
      <c r="GX125" s="70"/>
      <c r="GY125" s="70"/>
      <c r="GZ125" s="70"/>
      <c r="HA125" s="70"/>
      <c r="HB125" s="70"/>
      <c r="HC125" s="70"/>
      <c r="HD125" s="70"/>
      <c r="HE125" s="70"/>
      <c r="HF125" s="70"/>
      <c r="HG125" s="70"/>
      <c r="HH125" s="70"/>
      <c r="HI125" s="70"/>
      <c r="HJ125" s="70"/>
      <c r="HK125" s="70"/>
      <c r="HL125" s="70"/>
      <c r="HM125" s="70"/>
      <c r="HN125" s="70"/>
      <c r="HO125" s="70"/>
      <c r="HP125" s="70"/>
      <c r="HQ125" s="70"/>
      <c r="HR125" s="70"/>
      <c r="HS125" s="70"/>
      <c r="HT125" s="70"/>
      <c r="HU125" s="70"/>
      <c r="HV125" s="70"/>
      <c r="HW125" s="70"/>
      <c r="HX125" s="70"/>
      <c r="HY125" s="70"/>
      <c r="HZ125" s="70"/>
      <c r="IA125" s="70"/>
      <c r="IB125" s="70"/>
      <c r="IC125" s="70"/>
      <c r="ID125" s="70"/>
      <c r="IE125" s="70"/>
      <c r="IF125" s="70"/>
      <c r="IG125" s="70"/>
      <c r="IH125" s="70"/>
      <c r="II125" s="70"/>
      <c r="IJ125" s="70"/>
      <c r="IK125" s="70"/>
      <c r="IL125" s="70"/>
      <c r="IM125" s="70"/>
      <c r="IN125" s="70"/>
      <c r="IO125" s="70"/>
      <c r="IP125" s="70"/>
      <c r="IQ125" s="70"/>
      <c r="IR125" s="70"/>
      <c r="IS125" s="70"/>
      <c r="IT125" s="70"/>
      <c r="IU125" s="70"/>
      <c r="IV125" s="70"/>
      <c r="IW125" s="70"/>
      <c r="IX125" s="70"/>
      <c r="IY125" s="70"/>
      <c r="IZ125" s="70"/>
      <c r="JA125" s="70"/>
      <c r="JB125" s="70"/>
      <c r="JC125" s="70"/>
      <c r="JD125" s="70"/>
      <c r="JE125" s="70"/>
      <c r="JF125" s="70"/>
      <c r="JG125" s="70"/>
      <c r="JH125" s="70"/>
      <c r="JI125" s="70"/>
      <c r="JJ125" s="70"/>
      <c r="JK125" s="70"/>
      <c r="JL125" s="70"/>
      <c r="JM125" s="70"/>
      <c r="JN125" s="70"/>
      <c r="JO125" s="70"/>
      <c r="JP125" s="70"/>
      <c r="JQ125" s="70"/>
      <c r="JR125" s="70"/>
      <c r="JS125" s="70"/>
      <c r="JT125" s="70"/>
      <c r="JU125" s="70"/>
      <c r="JV125" s="70"/>
      <c r="JW125" s="70"/>
      <c r="JX125" s="70"/>
      <c r="JY125" s="70"/>
      <c r="JZ125" s="70"/>
      <c r="KA125" s="70"/>
      <c r="KB125" s="70"/>
      <c r="KC125" s="70"/>
      <c r="KD125" s="70"/>
      <c r="KE125" s="70"/>
      <c r="KF125" s="70"/>
      <c r="KG125" s="70"/>
      <c r="KH125" s="70"/>
      <c r="KI125" s="70"/>
      <c r="KJ125" s="70"/>
      <c r="KK125" s="70"/>
      <c r="KL125" s="70"/>
      <c r="KM125" s="70"/>
      <c r="KN125" s="70"/>
      <c r="KO125" s="70"/>
      <c r="KP125" s="70"/>
      <c r="KQ125" s="70"/>
      <c r="KR125" s="70"/>
      <c r="KS125" s="70"/>
      <c r="KT125" s="70"/>
      <c r="KU125" s="70"/>
      <c r="KV125" s="70"/>
      <c r="KW125" s="70"/>
      <c r="KX125" s="70"/>
      <c r="KY125" s="70"/>
      <c r="KZ125" s="70"/>
      <c r="LA125" s="70"/>
      <c r="LB125" s="70"/>
      <c r="LC125" s="70"/>
      <c r="LD125" s="70"/>
      <c r="LE125" s="70"/>
      <c r="LF125" s="70"/>
      <c r="LG125" s="70"/>
      <c r="LH125" s="70"/>
      <c r="LI125" s="70"/>
      <c r="LJ125" s="70"/>
      <c r="LK125" s="70"/>
      <c r="LL125" s="70"/>
      <c r="LM125" s="70"/>
      <c r="LN125" s="70"/>
      <c r="LO125" s="70"/>
      <c r="LP125" s="70"/>
      <c r="LQ125" s="70"/>
      <c r="LR125" s="70"/>
      <c r="LS125" s="70"/>
      <c r="LT125" s="70"/>
      <c r="LU125" s="70"/>
      <c r="LV125" s="70"/>
      <c r="LW125" s="70"/>
      <c r="LX125" s="70"/>
      <c r="LY125" s="70"/>
      <c r="LZ125" s="70"/>
      <c r="MA125" s="70"/>
      <c r="MB125" s="70"/>
      <c r="MC125" s="70"/>
      <c r="MD125" s="70"/>
      <c r="ME125" s="70"/>
      <c r="MF125" s="70"/>
      <c r="MG125" s="70"/>
      <c r="MH125" s="70"/>
      <c r="MI125" s="70"/>
      <c r="MJ125" s="70"/>
      <c r="MK125" s="70"/>
      <c r="ML125" s="70"/>
      <c r="MM125" s="70"/>
      <c r="MN125" s="70"/>
      <c r="MO125" s="70"/>
      <c r="MP125" s="70"/>
      <c r="MQ125" s="70"/>
      <c r="MR125" s="70"/>
      <c r="MS125" s="70"/>
      <c r="MT125" s="70"/>
      <c r="MU125" s="70"/>
      <c r="MV125" s="70"/>
      <c r="MW125" s="70"/>
      <c r="MX125" s="70"/>
      <c r="MY125" s="70"/>
      <c r="MZ125" s="70"/>
      <c r="NA125" s="70"/>
      <c r="NB125" s="70"/>
      <c r="NC125" s="70"/>
      <c r="ND125" s="70"/>
      <c r="NE125" s="70"/>
      <c r="NF125" s="70"/>
      <c r="NG125" s="70"/>
      <c r="NH125" s="70"/>
      <c r="NI125" s="70"/>
      <c r="NJ125" s="70"/>
      <c r="NK125" s="70"/>
      <c r="NL125" s="70"/>
      <c r="NM125" s="70"/>
      <c r="NN125" s="70"/>
      <c r="NO125" s="70"/>
      <c r="NP125" s="70"/>
      <c r="NQ125" s="70"/>
      <c r="NR125" s="70"/>
      <c r="NS125" s="70"/>
      <c r="NT125" s="70"/>
      <c r="NU125" s="70"/>
      <c r="NV125" s="70"/>
      <c r="NW125" s="70"/>
      <c r="NX125" s="70"/>
      <c r="NY125" s="70"/>
      <c r="NZ125" s="70"/>
      <c r="OA125" s="70"/>
      <c r="OB125" s="70"/>
      <c r="OC125" s="70"/>
      <c r="OD125" s="70"/>
      <c r="OE125" s="70"/>
      <c r="OF125" s="70"/>
      <c r="OG125" s="70"/>
      <c r="OH125" s="70"/>
      <c r="OI125" s="70"/>
      <c r="OJ125" s="70"/>
      <c r="OK125" s="70"/>
      <c r="OL125" s="70"/>
      <c r="OM125" s="70"/>
      <c r="ON125" s="70"/>
      <c r="OO125" s="70"/>
      <c r="OP125" s="70"/>
      <c r="OQ125" s="70"/>
      <c r="OR125" s="70"/>
      <c r="OS125" s="70"/>
      <c r="OT125" s="70"/>
      <c r="OU125" s="70"/>
      <c r="OV125" s="70"/>
      <c r="OW125" s="70"/>
      <c r="OX125" s="70"/>
      <c r="OY125" s="70"/>
      <c r="OZ125" s="70"/>
      <c r="PA125" s="70"/>
      <c r="PB125" s="70"/>
      <c r="PC125" s="70"/>
      <c r="PD125" s="70"/>
      <c r="PE125" s="70"/>
      <c r="PF125" s="70"/>
      <c r="PG125" s="70"/>
      <c r="PH125" s="70"/>
      <c r="PI125" s="70"/>
      <c r="PJ125" s="70"/>
      <c r="PK125" s="70"/>
      <c r="PL125" s="70"/>
      <c r="PM125" s="70"/>
      <c r="PN125" s="70"/>
      <c r="PO125" s="70"/>
      <c r="PP125" s="70"/>
      <c r="PQ125" s="70"/>
      <c r="PR125" s="70"/>
      <c r="PS125" s="70"/>
      <c r="PT125" s="70"/>
      <c r="PU125" s="70"/>
      <c r="PV125" s="70"/>
      <c r="PW125" s="70"/>
      <c r="PX125" s="70"/>
      <c r="PY125" s="70"/>
      <c r="PZ125" s="70"/>
      <c r="QA125" s="70"/>
      <c r="QB125" s="70"/>
      <c r="QC125" s="70"/>
      <c r="QD125" s="70"/>
      <c r="QE125" s="70"/>
      <c r="QF125" s="70"/>
      <c r="QG125" s="70"/>
      <c r="QH125" s="70"/>
      <c r="QI125" s="70"/>
      <c r="QJ125" s="70"/>
      <c r="QK125" s="70"/>
      <c r="QL125" s="70"/>
      <c r="QM125" s="70"/>
      <c r="QN125" s="70"/>
      <c r="QO125" s="70"/>
      <c r="QP125" s="70"/>
      <c r="QQ125" s="70"/>
      <c r="QR125" s="70"/>
      <c r="QS125" s="70"/>
      <c r="QT125" s="70"/>
      <c r="QU125" s="70"/>
      <c r="QV125" s="70"/>
      <c r="QW125" s="70"/>
      <c r="QX125" s="70"/>
      <c r="QY125" s="70"/>
      <c r="QZ125" s="70"/>
      <c r="RA125" s="70"/>
      <c r="RB125" s="70"/>
      <c r="RC125" s="70"/>
      <c r="RD125" s="70"/>
      <c r="RE125" s="70"/>
      <c r="RF125" s="70"/>
      <c r="RG125" s="70"/>
      <c r="RH125" s="70"/>
      <c r="RI125" s="70"/>
      <c r="RJ125" s="70"/>
      <c r="RK125" s="70"/>
      <c r="RL125" s="70"/>
      <c r="RM125" s="70"/>
      <c r="RN125" s="70"/>
      <c r="RO125" s="70"/>
      <c r="RP125" s="70"/>
      <c r="RQ125" s="70"/>
      <c r="RR125" s="70"/>
      <c r="RS125" s="70"/>
      <c r="RT125" s="70"/>
      <c r="RU125" s="70"/>
      <c r="RV125" s="70"/>
      <c r="RW125" s="70"/>
      <c r="RX125" s="70"/>
      <c r="RY125" s="70"/>
      <c r="RZ125" s="70"/>
      <c r="SA125" s="70"/>
      <c r="SB125" s="70"/>
      <c r="SC125" s="70"/>
      <c r="SD125" s="70"/>
      <c r="SE125" s="70"/>
      <c r="SF125" s="70"/>
      <c r="SG125" s="70"/>
      <c r="SH125" s="70"/>
      <c r="SI125" s="70"/>
      <c r="SJ125" s="70"/>
      <c r="SK125" s="70"/>
      <c r="SL125" s="70"/>
      <c r="SM125" s="70"/>
      <c r="SN125" s="70"/>
      <c r="SO125" s="70"/>
      <c r="SP125" s="70"/>
      <c r="SQ125" s="70"/>
      <c r="SR125" s="70"/>
      <c r="SS125" s="70"/>
      <c r="ST125" s="70"/>
      <c r="SU125" s="70"/>
      <c r="SV125" s="70"/>
      <c r="SW125" s="70"/>
      <c r="SX125" s="70"/>
      <c r="SY125" s="70"/>
      <c r="SZ125" s="70"/>
      <c r="TA125" s="70"/>
      <c r="TB125" s="70"/>
      <c r="TC125" s="70"/>
      <c r="TD125" s="70"/>
      <c r="TE125" s="70"/>
      <c r="TF125" s="70"/>
      <c r="TG125" s="70"/>
      <c r="TH125" s="70"/>
      <c r="TI125" s="70"/>
      <c r="TJ125" s="70"/>
      <c r="TK125" s="70"/>
      <c r="TL125" s="70"/>
      <c r="TM125" s="70"/>
      <c r="TN125" s="70"/>
      <c r="TO125" s="70"/>
      <c r="TP125" s="70"/>
      <c r="TQ125" s="70"/>
      <c r="TR125" s="70"/>
      <c r="TS125" s="70"/>
      <c r="TT125" s="70"/>
      <c r="TU125" s="70"/>
      <c r="TV125" s="70"/>
      <c r="TW125" s="70"/>
      <c r="TX125" s="70"/>
      <c r="TY125" s="70"/>
      <c r="TZ125" s="70"/>
      <c r="UA125" s="70"/>
      <c r="UB125" s="70"/>
      <c r="UC125" s="70"/>
      <c r="UD125" s="70"/>
      <c r="UE125" s="70"/>
      <c r="UF125" s="70"/>
      <c r="UG125" s="70"/>
      <c r="UH125" s="70"/>
      <c r="UI125" s="70"/>
      <c r="UJ125" s="70"/>
      <c r="UK125" s="70"/>
      <c r="UL125" s="70"/>
      <c r="UM125" s="70"/>
      <c r="UN125" s="70"/>
      <c r="UO125" s="70"/>
      <c r="UP125" s="70"/>
      <c r="UQ125" s="70"/>
      <c r="UR125" s="70"/>
      <c r="US125" s="70"/>
      <c r="UT125" s="70"/>
      <c r="UU125" s="70"/>
      <c r="UV125" s="70"/>
      <c r="UW125" s="70"/>
      <c r="UX125" s="70"/>
      <c r="UY125" s="70"/>
      <c r="UZ125" s="70"/>
      <c r="VA125" s="70"/>
      <c r="VB125" s="70"/>
      <c r="VC125" s="70"/>
      <c r="VD125" s="70"/>
      <c r="VE125" s="70"/>
      <c r="VF125" s="70"/>
      <c r="VG125" s="70"/>
      <c r="VH125" s="70"/>
      <c r="VI125" s="70"/>
      <c r="VJ125" s="70"/>
      <c r="VK125" s="70"/>
      <c r="VL125" s="70"/>
      <c r="VM125" s="70"/>
      <c r="VN125" s="70"/>
      <c r="VO125" s="70"/>
      <c r="VP125" s="70"/>
      <c r="VQ125" s="70"/>
      <c r="VR125" s="70"/>
      <c r="VS125" s="70"/>
      <c r="VT125" s="70"/>
      <c r="VU125" s="70"/>
      <c r="VV125" s="70"/>
      <c r="VW125" s="70"/>
      <c r="VX125" s="70"/>
      <c r="VY125" s="70"/>
      <c r="VZ125" s="70"/>
      <c r="WA125" s="70"/>
      <c r="WB125" s="70"/>
      <c r="WC125" s="70"/>
      <c r="WD125" s="70"/>
      <c r="WE125" s="70"/>
      <c r="WF125" s="70"/>
      <c r="WG125" s="70"/>
      <c r="WH125" s="70"/>
      <c r="WI125" s="70"/>
      <c r="WJ125" s="70"/>
      <c r="WK125" s="70"/>
      <c r="WL125" s="70"/>
      <c r="WM125" s="70"/>
      <c r="WN125" s="70"/>
      <c r="WO125" s="70"/>
      <c r="WP125" s="70"/>
      <c r="WQ125" s="70"/>
      <c r="WR125" s="70"/>
      <c r="WS125" s="70"/>
      <c r="WT125" s="70"/>
      <c r="WU125" s="70"/>
      <c r="WV125" s="70"/>
      <c r="WW125" s="70"/>
      <c r="WX125" s="70"/>
      <c r="WY125" s="70"/>
      <c r="WZ125" s="70"/>
      <c r="XA125" s="70"/>
      <c r="XB125" s="70"/>
      <c r="XC125" s="70"/>
      <c r="XD125" s="70"/>
      <c r="XE125" s="70"/>
      <c r="XF125" s="70"/>
      <c r="XG125" s="70"/>
      <c r="XH125" s="70"/>
      <c r="XI125" s="70"/>
      <c r="XJ125" s="70"/>
      <c r="XK125" s="70"/>
      <c r="XL125" s="70"/>
      <c r="XM125" s="70"/>
      <c r="XN125" s="70"/>
      <c r="XO125" s="70"/>
      <c r="XP125" s="70"/>
      <c r="XQ125" s="70"/>
      <c r="XR125" s="70"/>
      <c r="XS125" s="70"/>
      <c r="XT125" s="70"/>
      <c r="XU125" s="70"/>
      <c r="XV125" s="70"/>
      <c r="XW125" s="70"/>
      <c r="XX125" s="70"/>
      <c r="XY125" s="70"/>
      <c r="XZ125" s="70"/>
      <c r="YA125" s="70"/>
      <c r="YB125" s="70"/>
      <c r="YC125" s="70"/>
      <c r="YD125" s="70"/>
      <c r="YE125" s="70"/>
      <c r="YF125" s="70"/>
      <c r="YG125" s="70"/>
      <c r="YH125" s="70"/>
      <c r="YI125" s="70"/>
      <c r="YJ125" s="70"/>
      <c r="YK125" s="70"/>
      <c r="YL125" s="70"/>
      <c r="YM125" s="70"/>
      <c r="YN125" s="70"/>
      <c r="YO125" s="70"/>
      <c r="YP125" s="70"/>
      <c r="YQ125" s="70"/>
      <c r="YR125" s="70"/>
      <c r="YS125" s="70"/>
      <c r="YT125" s="70"/>
      <c r="YU125" s="70"/>
      <c r="YV125" s="70"/>
      <c r="YW125" s="70"/>
      <c r="YX125" s="70"/>
      <c r="YY125" s="70"/>
      <c r="YZ125" s="70"/>
      <c r="ZA125" s="70"/>
      <c r="ZB125" s="70"/>
      <c r="ZC125" s="70"/>
      <c r="ZD125" s="70"/>
      <c r="ZE125" s="70"/>
      <c r="ZF125" s="70"/>
      <c r="ZG125" s="70"/>
      <c r="ZH125" s="70"/>
      <c r="ZI125" s="70"/>
      <c r="ZJ125" s="70"/>
      <c r="ZK125" s="70"/>
      <c r="ZL125" s="70"/>
      <c r="ZM125" s="70"/>
      <c r="ZN125" s="70"/>
      <c r="ZO125" s="70"/>
      <c r="ZP125" s="70"/>
      <c r="ZQ125" s="70"/>
      <c r="ZR125" s="70"/>
      <c r="ZS125" s="70"/>
      <c r="ZT125" s="70"/>
      <c r="ZU125" s="70"/>
      <c r="ZV125" s="70"/>
      <c r="ZW125" s="70"/>
      <c r="ZX125" s="70"/>
      <c r="ZY125" s="70"/>
      <c r="ZZ125" s="70"/>
      <c r="AAA125" s="70"/>
      <c r="AAB125" s="70"/>
      <c r="AAC125" s="70"/>
      <c r="AAD125" s="70"/>
      <c r="AAE125" s="70"/>
      <c r="AAF125" s="70"/>
      <c r="AAG125" s="70"/>
      <c r="AAH125" s="70"/>
      <c r="AAI125" s="70"/>
      <c r="AAJ125" s="70"/>
      <c r="AAK125" s="70"/>
      <c r="AAL125" s="70"/>
      <c r="AAM125" s="70"/>
      <c r="AAN125" s="70"/>
      <c r="AAO125" s="70"/>
      <c r="AAP125" s="70"/>
      <c r="AAQ125" s="70"/>
      <c r="AAR125" s="70"/>
      <c r="AAS125" s="70"/>
      <c r="AAT125" s="70"/>
      <c r="AAU125" s="70"/>
      <c r="AAV125" s="70"/>
      <c r="AAW125" s="70"/>
      <c r="AAX125" s="70"/>
      <c r="AAY125" s="70"/>
      <c r="AAZ125" s="70"/>
      <c r="ABA125" s="70"/>
      <c r="ABB125" s="70"/>
      <c r="ABC125" s="70"/>
      <c r="ABD125" s="70"/>
      <c r="ABE125" s="70"/>
      <c r="ABF125" s="70"/>
      <c r="ABG125" s="70"/>
      <c r="ABH125" s="70"/>
      <c r="ABI125" s="70"/>
      <c r="ABJ125" s="70"/>
      <c r="ABK125" s="70"/>
      <c r="ABL125" s="70"/>
      <c r="ABM125" s="70"/>
      <c r="ABN125" s="70"/>
      <c r="ABO125" s="70"/>
      <c r="ABP125" s="70"/>
      <c r="ABQ125" s="70"/>
      <c r="ABR125" s="70"/>
      <c r="ABS125" s="70"/>
      <c r="ABT125" s="70"/>
      <c r="ABU125" s="70"/>
      <c r="ABV125" s="70"/>
      <c r="ABW125" s="70"/>
      <c r="ABX125" s="70"/>
      <c r="ABY125" s="70"/>
      <c r="ABZ125" s="70"/>
      <c r="ACA125" s="70"/>
      <c r="ACB125" s="70"/>
      <c r="ACC125" s="70"/>
      <c r="ACD125" s="70"/>
      <c r="ACE125" s="70"/>
      <c r="ACF125" s="70"/>
      <c r="ACG125" s="70"/>
      <c r="ACH125" s="70"/>
      <c r="ACI125" s="70"/>
      <c r="ACJ125" s="70"/>
      <c r="ACK125" s="70"/>
      <c r="ACL125" s="70"/>
      <c r="ACM125" s="70"/>
      <c r="ACN125" s="70"/>
      <c r="ACO125" s="70"/>
      <c r="ACP125" s="70"/>
      <c r="ACQ125" s="70"/>
      <c r="ACR125" s="70"/>
      <c r="ACS125" s="70"/>
      <c r="ACT125" s="70"/>
      <c r="ACU125" s="70"/>
      <c r="ACV125" s="70"/>
      <c r="ACW125" s="70"/>
      <c r="ACX125" s="70"/>
      <c r="ACY125" s="70"/>
      <c r="ACZ125" s="70"/>
      <c r="ADA125" s="70"/>
      <c r="ADB125" s="70"/>
      <c r="ADC125" s="70"/>
      <c r="ADD125" s="70"/>
      <c r="ADE125" s="70"/>
      <c r="ADF125" s="70"/>
      <c r="ADG125" s="70"/>
      <c r="ADH125" s="70"/>
      <c r="ADI125" s="70"/>
      <c r="ADJ125" s="70"/>
      <c r="ADK125" s="70"/>
      <c r="ADL125" s="70"/>
      <c r="ADM125" s="70"/>
      <c r="ADN125" s="70"/>
      <c r="ADO125" s="70"/>
      <c r="ADP125" s="70"/>
      <c r="ADQ125" s="70"/>
      <c r="ADR125" s="70"/>
      <c r="ADS125" s="70"/>
      <c r="ADT125" s="70"/>
      <c r="ADU125" s="70"/>
      <c r="ADV125" s="70"/>
      <c r="ADW125" s="70"/>
      <c r="ADX125" s="70"/>
      <c r="ADY125" s="70"/>
      <c r="ADZ125" s="70"/>
      <c r="AEA125" s="70"/>
      <c r="AEB125" s="70"/>
      <c r="AEC125" s="70"/>
      <c r="AED125" s="70"/>
      <c r="AEE125" s="70"/>
      <c r="AEF125" s="70"/>
      <c r="AEG125" s="70"/>
      <c r="AEH125" s="70"/>
      <c r="AEI125" s="70"/>
      <c r="AEJ125" s="70"/>
      <c r="AEK125" s="70"/>
      <c r="AEL125" s="70"/>
      <c r="AEM125" s="70"/>
      <c r="AEN125" s="70"/>
      <c r="AEO125" s="70"/>
      <c r="AEP125" s="70"/>
      <c r="AEQ125" s="70"/>
      <c r="AER125" s="70"/>
      <c r="AES125" s="70"/>
      <c r="AET125" s="70"/>
      <c r="AEU125" s="70"/>
      <c r="AEV125" s="70"/>
      <c r="AEW125" s="70"/>
      <c r="AEX125" s="70"/>
      <c r="AEY125" s="70"/>
      <c r="AEZ125" s="70"/>
      <c r="AFA125" s="70"/>
      <c r="AFB125" s="70"/>
      <c r="AFC125" s="70"/>
      <c r="AFD125" s="70"/>
      <c r="AFE125" s="70"/>
      <c r="AFF125" s="70"/>
      <c r="AFG125" s="70"/>
      <c r="AFH125" s="70"/>
      <c r="AFI125" s="70"/>
      <c r="AFJ125" s="70"/>
      <c r="AFK125" s="70"/>
      <c r="AFL125" s="70"/>
      <c r="AFM125" s="70"/>
      <c r="AFN125" s="70"/>
      <c r="AFO125" s="70"/>
      <c r="AFP125" s="70"/>
      <c r="AFQ125" s="70"/>
      <c r="AFR125" s="70"/>
      <c r="AFS125" s="70"/>
      <c r="AFT125" s="70"/>
      <c r="AFU125" s="70"/>
      <c r="AFV125" s="70"/>
      <c r="AFW125" s="70"/>
      <c r="AFX125" s="70"/>
      <c r="AFY125" s="70"/>
      <c r="AFZ125" s="70"/>
      <c r="AGA125" s="70"/>
      <c r="AGB125" s="70"/>
      <c r="AGC125" s="70"/>
      <c r="AGD125" s="70"/>
      <c r="AGE125" s="70"/>
      <c r="AGF125" s="70"/>
      <c r="AGG125" s="70"/>
      <c r="AGH125" s="70"/>
      <c r="AGI125" s="70"/>
      <c r="AGJ125" s="70"/>
      <c r="AGK125" s="70"/>
      <c r="AGL125" s="70"/>
      <c r="AGM125" s="70"/>
      <c r="AGN125" s="70"/>
      <c r="AGO125" s="70"/>
      <c r="AGP125" s="70"/>
      <c r="AGQ125" s="70"/>
      <c r="AGR125" s="70"/>
      <c r="AGS125" s="70"/>
      <c r="AGT125" s="70"/>
      <c r="AGU125" s="70"/>
      <c r="AGV125" s="70"/>
      <c r="AGW125" s="70"/>
      <c r="AGX125" s="70"/>
      <c r="AGY125" s="70"/>
      <c r="AGZ125" s="70"/>
      <c r="AHA125" s="70"/>
      <c r="AHB125" s="70"/>
      <c r="AHC125" s="70"/>
      <c r="AHD125" s="70"/>
      <c r="AHE125" s="70"/>
      <c r="AHF125" s="70"/>
      <c r="AHG125" s="70"/>
      <c r="AHH125" s="70"/>
      <c r="AHI125" s="70"/>
      <c r="AHJ125" s="70"/>
      <c r="AHK125" s="70"/>
      <c r="AHL125" s="70"/>
      <c r="AHM125" s="70"/>
      <c r="AHN125" s="70"/>
      <c r="AHO125" s="70"/>
      <c r="AHP125" s="70"/>
      <c r="AHQ125" s="70"/>
      <c r="AHR125" s="70"/>
      <c r="AHS125" s="70"/>
      <c r="AHT125" s="70"/>
      <c r="AHU125" s="70"/>
      <c r="AHV125" s="70"/>
      <c r="AHW125" s="70"/>
      <c r="AHX125" s="70"/>
      <c r="AHY125" s="70"/>
      <c r="AHZ125" s="70"/>
      <c r="AIA125" s="70"/>
      <c r="AIB125" s="70"/>
      <c r="AIC125" s="70"/>
      <c r="AID125" s="70"/>
      <c r="AIE125" s="70"/>
      <c r="AIF125" s="70"/>
      <c r="AIG125" s="70"/>
      <c r="AIH125" s="70"/>
      <c r="AII125" s="70"/>
      <c r="AIJ125" s="70"/>
      <c r="AIK125" s="70"/>
      <c r="AIL125" s="70"/>
      <c r="AIM125" s="70"/>
      <c r="AIN125" s="70"/>
      <c r="AIO125" s="70"/>
      <c r="AIP125" s="70"/>
      <c r="AIQ125" s="70"/>
      <c r="AIR125" s="70"/>
      <c r="AIS125" s="70"/>
      <c r="AIT125" s="70"/>
      <c r="AIU125" s="70"/>
      <c r="AIV125" s="70"/>
      <c r="AIW125" s="70"/>
      <c r="AIX125" s="70"/>
      <c r="AIY125" s="70"/>
      <c r="AIZ125" s="70"/>
      <c r="AJA125" s="70"/>
      <c r="AJB125" s="70"/>
      <c r="AJC125" s="70"/>
      <c r="AJD125" s="70"/>
      <c r="AJE125" s="70"/>
      <c r="AJF125" s="70"/>
      <c r="AJG125" s="70"/>
      <c r="AJH125" s="70"/>
      <c r="AJI125" s="70"/>
      <c r="AJJ125" s="70"/>
      <c r="AJK125" s="70"/>
      <c r="AJL125" s="70"/>
      <c r="AJM125" s="70"/>
      <c r="AJN125" s="70"/>
      <c r="AJO125" s="70"/>
      <c r="AJP125" s="70"/>
      <c r="AJQ125" s="70"/>
      <c r="AJR125" s="70"/>
      <c r="AJS125" s="70"/>
      <c r="AJT125" s="70"/>
      <c r="AJU125" s="70"/>
      <c r="AJV125" s="70"/>
      <c r="AJW125" s="70"/>
      <c r="AJX125" s="70"/>
      <c r="AJY125" s="70"/>
      <c r="AJZ125" s="70"/>
      <c r="AKA125" s="70"/>
      <c r="AKB125" s="70"/>
      <c r="AKC125" s="70"/>
      <c r="AKD125" s="70"/>
      <c r="AKE125" s="70"/>
      <c r="AKF125" s="70"/>
      <c r="AKG125" s="70"/>
      <c r="AKH125" s="70"/>
      <c r="AKI125" s="70"/>
      <c r="AKJ125" s="70"/>
      <c r="AKK125" s="70"/>
      <c r="AKL125" s="70"/>
      <c r="AKM125" s="70"/>
      <c r="AKN125" s="70"/>
      <c r="AKO125" s="70"/>
      <c r="AKP125" s="70"/>
      <c r="AKQ125" s="70"/>
      <c r="AKR125" s="70"/>
      <c r="AKS125" s="70"/>
      <c r="AKT125" s="70"/>
      <c r="AKU125" s="70"/>
      <c r="AKV125" s="70"/>
      <c r="AKW125" s="70"/>
      <c r="AKX125" s="70"/>
      <c r="AKY125" s="70"/>
      <c r="AKZ125" s="70"/>
      <c r="ALA125" s="70"/>
      <c r="ALB125" s="70"/>
      <c r="ALC125" s="70"/>
      <c r="ALD125" s="70"/>
      <c r="ALE125" s="70"/>
      <c r="ALF125" s="70"/>
      <c r="ALG125" s="70"/>
      <c r="ALH125" s="70"/>
      <c r="ALI125" s="70"/>
      <c r="ALJ125" s="70"/>
      <c r="ALK125" s="70"/>
      <c r="ALL125" s="70"/>
      <c r="ALM125" s="70"/>
      <c r="ALN125" s="70"/>
      <c r="ALO125" s="70"/>
      <c r="ALP125" s="70"/>
      <c r="ALQ125" s="70"/>
      <c r="ALR125" s="70"/>
      <c r="ALS125" s="70"/>
      <c r="ALT125" s="70"/>
      <c r="ALU125" s="70"/>
      <c r="ALV125" s="70"/>
      <c r="ALW125" s="70"/>
      <c r="ALX125" s="70"/>
      <c r="ALY125" s="70"/>
      <c r="ALZ125" s="70"/>
      <c r="AMA125" s="70"/>
      <c r="AMB125" s="70"/>
      <c r="AMC125" s="70"/>
      <c r="AMD125" s="70"/>
      <c r="AME125" s="70"/>
      <c r="AMF125" s="70"/>
      <c r="AMG125" s="70"/>
      <c r="AMH125" s="70"/>
      <c r="AMI125" s="70"/>
      <c r="AMJ125" s="70"/>
      <c r="AMK125" s="70"/>
      <c r="AML125" s="70"/>
      <c r="AMM125" s="70"/>
      <c r="AMN125" s="70"/>
      <c r="AMO125" s="70"/>
      <c r="AMP125" s="70"/>
      <c r="AMQ125" s="70"/>
      <c r="AMR125" s="70"/>
      <c r="AMS125" s="70"/>
      <c r="AMT125" s="70"/>
      <c r="AMU125" s="70"/>
      <c r="AMV125" s="70"/>
      <c r="AMW125" s="70"/>
      <c r="AMX125" s="70"/>
      <c r="AMY125" s="70"/>
      <c r="AMZ125" s="70"/>
      <c r="ANA125" s="70"/>
      <c r="ANB125" s="70"/>
      <c r="ANC125" s="70"/>
      <c r="AND125" s="70"/>
      <c r="ANE125" s="70"/>
      <c r="ANF125" s="70"/>
      <c r="ANG125" s="70"/>
      <c r="ANH125" s="70"/>
      <c r="ANI125" s="70"/>
      <c r="ANJ125" s="70"/>
      <c r="ANK125" s="70"/>
      <c r="ANL125" s="70"/>
      <c r="ANM125" s="70"/>
      <c r="ANN125" s="70"/>
      <c r="ANO125" s="70"/>
      <c r="ANP125" s="70"/>
      <c r="ANQ125" s="70"/>
      <c r="ANR125" s="70"/>
      <c r="ANS125" s="70"/>
      <c r="ANT125" s="70"/>
      <c r="ANU125" s="70"/>
      <c r="ANV125" s="70"/>
      <c r="ANW125" s="70"/>
      <c r="ANX125" s="70"/>
      <c r="ANY125" s="70"/>
      <c r="ANZ125" s="70"/>
      <c r="AOA125" s="70"/>
      <c r="AOB125" s="70"/>
      <c r="AOC125" s="70"/>
      <c r="AOD125" s="70"/>
      <c r="AOE125" s="70"/>
      <c r="AOF125" s="70"/>
      <c r="AOG125" s="70"/>
      <c r="AOH125" s="70"/>
      <c r="AOI125" s="70"/>
      <c r="AOJ125" s="70"/>
      <c r="AOK125" s="70"/>
      <c r="AOL125" s="70"/>
      <c r="AOM125" s="70"/>
      <c r="AON125" s="70"/>
      <c r="AOO125" s="70"/>
      <c r="AOP125" s="70"/>
      <c r="AOQ125" s="70"/>
      <c r="AOR125" s="70"/>
      <c r="AOS125" s="70"/>
      <c r="AOT125" s="70"/>
      <c r="AOU125" s="70"/>
      <c r="AOV125" s="70"/>
      <c r="AOW125" s="70"/>
      <c r="AOX125" s="70"/>
      <c r="AOY125" s="70"/>
      <c r="AOZ125" s="70"/>
      <c r="APA125" s="70"/>
      <c r="APB125" s="70"/>
      <c r="APC125" s="70"/>
      <c r="APD125" s="70"/>
      <c r="APE125" s="70"/>
      <c r="APF125" s="70"/>
      <c r="APG125" s="70"/>
      <c r="APH125" s="70"/>
      <c r="API125" s="70"/>
      <c r="APJ125" s="70"/>
      <c r="APK125" s="70"/>
      <c r="APL125" s="70"/>
      <c r="APM125" s="70"/>
      <c r="APN125" s="70"/>
      <c r="APO125" s="70"/>
      <c r="APP125" s="70"/>
      <c r="APQ125" s="70"/>
      <c r="APR125" s="70"/>
      <c r="APS125" s="70"/>
      <c r="APT125" s="70"/>
      <c r="APU125" s="70"/>
      <c r="APV125" s="70"/>
      <c r="APW125" s="70"/>
      <c r="APX125" s="70"/>
      <c r="APY125" s="70"/>
      <c r="APZ125" s="70"/>
      <c r="AQA125" s="70"/>
      <c r="AQB125" s="70"/>
      <c r="AQC125" s="70"/>
      <c r="AQD125" s="70"/>
      <c r="AQE125" s="70"/>
      <c r="AQF125" s="70"/>
      <c r="AQG125" s="70"/>
      <c r="AQH125" s="70"/>
      <c r="AQI125" s="70"/>
      <c r="AQJ125" s="70"/>
      <c r="AQK125" s="70"/>
      <c r="AQL125" s="70"/>
      <c r="AQM125" s="70"/>
      <c r="AQN125" s="70"/>
      <c r="AQO125" s="70"/>
      <c r="AQP125" s="70"/>
      <c r="AQQ125" s="70"/>
      <c r="AQR125" s="70"/>
      <c r="AQS125" s="70"/>
      <c r="AQT125" s="70"/>
      <c r="AQU125" s="70"/>
      <c r="AQV125" s="70"/>
      <c r="AQW125" s="70"/>
      <c r="AQX125" s="70"/>
      <c r="AQY125" s="70"/>
      <c r="AQZ125" s="70"/>
      <c r="ARA125" s="70"/>
      <c r="ARB125" s="70"/>
      <c r="ARC125" s="70"/>
      <c r="ARD125" s="70"/>
      <c r="ARE125" s="70"/>
      <c r="ARF125" s="70"/>
      <c r="ARG125" s="70"/>
      <c r="ARH125" s="70"/>
      <c r="ARI125" s="70"/>
      <c r="ARJ125" s="70"/>
      <c r="ARK125" s="70"/>
      <c r="ARL125" s="70"/>
      <c r="ARM125" s="70"/>
      <c r="ARN125" s="70"/>
      <c r="ARO125" s="70"/>
      <c r="ARP125" s="70"/>
      <c r="ARQ125" s="70"/>
      <c r="ARR125" s="70"/>
      <c r="ARS125" s="70"/>
      <c r="ART125" s="70"/>
      <c r="ARU125" s="70"/>
      <c r="ARV125" s="70"/>
      <c r="ARW125" s="70"/>
      <c r="ARX125" s="70"/>
      <c r="ARY125" s="70"/>
      <c r="ARZ125" s="70"/>
      <c r="ASA125" s="70"/>
      <c r="ASB125" s="70"/>
      <c r="ASC125" s="70"/>
      <c r="ASD125" s="70"/>
      <c r="ASE125" s="70"/>
      <c r="ASF125" s="70"/>
      <c r="ASG125" s="70"/>
      <c r="ASH125" s="70"/>
      <c r="ASI125" s="70"/>
      <c r="ASJ125" s="70"/>
      <c r="ASK125" s="70"/>
      <c r="ASL125" s="70"/>
      <c r="ASM125" s="70"/>
      <c r="ASN125" s="70"/>
      <c r="ASO125" s="70"/>
      <c r="ASP125" s="70"/>
      <c r="ASQ125" s="70"/>
      <c r="ASR125" s="70"/>
      <c r="ASS125" s="70"/>
      <c r="AST125" s="70"/>
      <c r="ASU125" s="70"/>
      <c r="ASV125" s="70"/>
      <c r="ASW125" s="70"/>
      <c r="ASX125" s="70"/>
      <c r="ASY125" s="70"/>
      <c r="ASZ125" s="70"/>
      <c r="ATA125" s="70"/>
      <c r="ATB125" s="70"/>
      <c r="ATC125" s="70"/>
      <c r="ATD125" s="70"/>
      <c r="ATE125" s="70"/>
      <c r="ATF125" s="70"/>
      <c r="ATG125" s="70"/>
      <c r="ATH125" s="70"/>
      <c r="ATI125" s="70"/>
      <c r="ATJ125" s="70"/>
      <c r="ATK125" s="70"/>
      <c r="ATL125" s="70"/>
      <c r="ATM125" s="70"/>
      <c r="ATN125" s="70"/>
      <c r="ATO125" s="70"/>
      <c r="ATP125" s="70"/>
      <c r="ATQ125" s="70"/>
      <c r="ATR125" s="70"/>
      <c r="ATS125" s="70"/>
      <c r="ATT125" s="70"/>
      <c r="ATU125" s="70"/>
      <c r="ATV125" s="70"/>
      <c r="ATW125" s="70"/>
      <c r="ATX125" s="70"/>
      <c r="ATY125" s="70"/>
      <c r="ATZ125" s="70"/>
      <c r="AUA125" s="70"/>
      <c r="AUB125" s="70"/>
      <c r="AUC125" s="70"/>
      <c r="AUD125" s="70"/>
      <c r="AUE125" s="70"/>
      <c r="AUF125" s="70"/>
      <c r="AUG125" s="70"/>
      <c r="AUH125" s="70"/>
      <c r="AUI125" s="70"/>
      <c r="AUJ125" s="70"/>
      <c r="AUK125" s="70"/>
      <c r="AUL125" s="70"/>
      <c r="AUM125" s="70"/>
      <c r="AUN125" s="70"/>
      <c r="AUO125" s="70"/>
      <c r="AUP125" s="70"/>
      <c r="AUQ125" s="70"/>
      <c r="AUR125" s="70"/>
      <c r="AUS125" s="70"/>
      <c r="AUT125" s="70"/>
      <c r="AUU125" s="70"/>
      <c r="AUV125" s="70"/>
      <c r="AUW125" s="70"/>
      <c r="AUX125" s="70"/>
      <c r="AUY125" s="70"/>
      <c r="AUZ125" s="70"/>
      <c r="AVA125" s="70"/>
      <c r="AVB125" s="70"/>
      <c r="AVC125" s="70"/>
      <c r="AVD125" s="70"/>
      <c r="AVE125" s="70"/>
      <c r="AVF125" s="70"/>
      <c r="AVG125" s="70"/>
      <c r="AVH125" s="70"/>
      <c r="AVI125" s="70"/>
      <c r="AVJ125" s="70"/>
      <c r="AVK125" s="70"/>
      <c r="AVL125" s="70"/>
      <c r="AVM125" s="70"/>
      <c r="AVN125" s="70"/>
      <c r="AVO125" s="70"/>
      <c r="AVP125" s="70"/>
      <c r="AVQ125" s="70"/>
      <c r="AVR125" s="70"/>
      <c r="AVS125" s="70"/>
      <c r="AVT125" s="70"/>
      <c r="AVU125" s="70"/>
      <c r="AVV125" s="70"/>
      <c r="AVW125" s="70"/>
      <c r="AVX125" s="70"/>
      <c r="AVY125" s="70"/>
      <c r="AVZ125" s="70"/>
      <c r="AWA125" s="70"/>
      <c r="AWB125" s="70"/>
      <c r="AWC125" s="70"/>
      <c r="AWD125" s="70"/>
      <c r="AWE125" s="70"/>
      <c r="AWF125" s="70"/>
      <c r="AWG125" s="70"/>
      <c r="AWH125" s="70"/>
      <c r="AWI125" s="70"/>
      <c r="AWJ125" s="70"/>
      <c r="AWK125" s="70"/>
      <c r="AWL125" s="70"/>
      <c r="AWM125" s="70"/>
      <c r="AWN125" s="70"/>
      <c r="AWO125" s="70"/>
      <c r="AWP125" s="70"/>
      <c r="AWQ125" s="70"/>
      <c r="AWR125" s="70"/>
      <c r="AWS125" s="70"/>
      <c r="AWT125" s="70"/>
      <c r="AWU125" s="70"/>
      <c r="AWV125" s="70"/>
      <c r="AWW125" s="70"/>
      <c r="AWX125" s="70"/>
      <c r="AWY125" s="70"/>
      <c r="AWZ125" s="70"/>
      <c r="AXA125" s="70"/>
      <c r="AXB125" s="70"/>
      <c r="AXC125" s="70"/>
      <c r="AXD125" s="70"/>
      <c r="AXE125" s="70"/>
      <c r="AXF125" s="70"/>
      <c r="AXG125" s="70"/>
      <c r="AXH125" s="70"/>
      <c r="AXI125" s="70"/>
      <c r="AXJ125" s="70"/>
      <c r="AXK125" s="70"/>
      <c r="AXL125" s="70"/>
      <c r="AXM125" s="70"/>
      <c r="AXN125" s="70"/>
      <c r="AXO125" s="70"/>
      <c r="AXP125" s="70"/>
      <c r="AXQ125" s="70"/>
      <c r="AXR125" s="70"/>
      <c r="AXS125" s="70"/>
      <c r="AXT125" s="70"/>
      <c r="AXU125" s="70"/>
      <c r="AXV125" s="70"/>
      <c r="AXW125" s="70"/>
      <c r="AXX125" s="70"/>
      <c r="AXY125" s="70"/>
      <c r="AXZ125" s="70"/>
      <c r="AYA125" s="70"/>
      <c r="AYB125" s="70"/>
      <c r="AYC125" s="70"/>
      <c r="AYD125" s="70"/>
      <c r="AYE125" s="70"/>
      <c r="AYF125" s="70"/>
      <c r="AYG125" s="70"/>
      <c r="AYH125" s="70"/>
      <c r="AYI125" s="70"/>
      <c r="AYJ125" s="70"/>
      <c r="AYK125" s="70"/>
      <c r="AYL125" s="70"/>
      <c r="AYM125" s="70"/>
      <c r="AYN125" s="70"/>
      <c r="AYO125" s="70"/>
      <c r="AYP125" s="70"/>
      <c r="AYQ125" s="70"/>
      <c r="AYR125" s="70"/>
      <c r="AYS125" s="70"/>
      <c r="AYT125" s="70"/>
      <c r="AYU125" s="70"/>
      <c r="AYV125" s="70"/>
      <c r="AYW125" s="70"/>
      <c r="AYX125" s="70"/>
      <c r="AYY125" s="70"/>
      <c r="AYZ125" s="70"/>
      <c r="AZA125" s="70"/>
      <c r="AZB125" s="70"/>
      <c r="AZC125" s="70"/>
      <c r="AZD125" s="70"/>
      <c r="AZE125" s="70"/>
      <c r="AZF125" s="70"/>
      <c r="AZG125" s="70"/>
      <c r="AZH125" s="70"/>
      <c r="AZI125" s="70"/>
      <c r="AZJ125" s="70"/>
      <c r="AZK125" s="70"/>
      <c r="AZL125" s="70"/>
      <c r="AZM125" s="70"/>
      <c r="AZN125" s="70"/>
      <c r="AZO125" s="70"/>
      <c r="AZP125" s="70"/>
      <c r="AZQ125" s="70"/>
      <c r="AZR125" s="70"/>
      <c r="AZS125" s="70"/>
      <c r="AZT125" s="70"/>
      <c r="AZU125" s="70"/>
      <c r="AZV125" s="70"/>
      <c r="AZW125" s="70"/>
      <c r="AZX125" s="70"/>
      <c r="AZY125" s="70"/>
      <c r="AZZ125" s="70"/>
      <c r="BAA125" s="70"/>
      <c r="BAB125" s="70"/>
      <c r="BAC125" s="70"/>
      <c r="BAD125" s="70"/>
      <c r="BAE125" s="70"/>
      <c r="BAF125" s="70"/>
      <c r="BAG125" s="70"/>
      <c r="BAH125" s="70"/>
      <c r="BAI125" s="70"/>
      <c r="BAJ125" s="70"/>
      <c r="BAK125" s="70"/>
      <c r="BAL125" s="70"/>
      <c r="BAM125" s="70"/>
      <c r="BAN125" s="70"/>
      <c r="BAO125" s="70"/>
      <c r="BAP125" s="70"/>
      <c r="BAQ125" s="70"/>
      <c r="BAR125" s="70"/>
      <c r="BAS125" s="70"/>
      <c r="BAT125" s="70"/>
      <c r="BAU125" s="70"/>
      <c r="BAV125" s="70"/>
      <c r="BAW125" s="70"/>
      <c r="BAX125" s="70"/>
      <c r="BAY125" s="70"/>
      <c r="BAZ125" s="70"/>
      <c r="BBA125" s="70"/>
      <c r="BBB125" s="70"/>
      <c r="BBC125" s="70"/>
      <c r="BBD125" s="70"/>
      <c r="BBE125" s="70"/>
      <c r="BBF125" s="70"/>
      <c r="BBG125" s="70"/>
      <c r="BBH125" s="70"/>
      <c r="BBI125" s="70"/>
      <c r="BBJ125" s="70"/>
      <c r="BBK125" s="70"/>
      <c r="BBL125" s="70"/>
      <c r="BBM125" s="70"/>
      <c r="BBN125" s="70"/>
      <c r="BBO125" s="70"/>
      <c r="BBP125" s="70"/>
      <c r="BBQ125" s="70"/>
      <c r="BBR125" s="70"/>
      <c r="BBS125" s="70"/>
      <c r="BBT125" s="70"/>
      <c r="BBU125" s="70"/>
      <c r="BBV125" s="70"/>
      <c r="BBW125" s="70"/>
      <c r="BBX125" s="70"/>
      <c r="BBY125" s="70"/>
      <c r="BBZ125" s="70"/>
      <c r="BCA125" s="70"/>
      <c r="BCB125" s="70"/>
      <c r="BCC125" s="70"/>
      <c r="BCD125" s="70"/>
      <c r="BCE125" s="70"/>
      <c r="BCF125" s="70"/>
      <c r="BCG125" s="70"/>
      <c r="BCH125" s="70"/>
      <c r="BCI125" s="70"/>
      <c r="BCJ125" s="70"/>
      <c r="BCK125" s="70"/>
      <c r="BCL125" s="70"/>
      <c r="BCM125" s="70"/>
      <c r="BCN125" s="70"/>
      <c r="BCO125" s="70"/>
      <c r="BCP125" s="70"/>
      <c r="BCQ125" s="70"/>
      <c r="BCR125" s="70"/>
      <c r="BCS125" s="70"/>
      <c r="BCT125" s="70"/>
      <c r="BCU125" s="70"/>
      <c r="BCV125" s="70"/>
      <c r="BCW125" s="70"/>
    </row>
    <row r="126" spans="1:1454" s="69" customFormat="1" ht="54" customHeight="1" x14ac:dyDescent="0.25">
      <c r="A126" s="50">
        <v>4</v>
      </c>
      <c r="B126" s="73" t="s">
        <v>231</v>
      </c>
      <c r="C126" s="73" t="s">
        <v>233</v>
      </c>
      <c r="D126" s="52">
        <v>6836550</v>
      </c>
      <c r="E126" s="72" t="s">
        <v>25</v>
      </c>
      <c r="F126" s="73" t="s">
        <v>126</v>
      </c>
      <c r="G126" s="73" t="s">
        <v>503</v>
      </c>
      <c r="H126" s="75">
        <v>6836550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  <c r="NN126" s="70"/>
      <c r="NO126" s="70"/>
      <c r="NP126" s="70"/>
      <c r="NQ126" s="70"/>
      <c r="NR126" s="70"/>
      <c r="NS126" s="70"/>
      <c r="NT126" s="70"/>
      <c r="NU126" s="70"/>
      <c r="NV126" s="70"/>
      <c r="NW126" s="70"/>
      <c r="NX126" s="70"/>
      <c r="NY126" s="70"/>
      <c r="NZ126" s="70"/>
      <c r="OA126" s="70"/>
      <c r="OB126" s="70"/>
      <c r="OC126" s="70"/>
      <c r="OD126" s="70"/>
      <c r="OE126" s="70"/>
      <c r="OF126" s="70"/>
      <c r="OG126" s="70"/>
      <c r="OH126" s="70"/>
      <c r="OI126" s="70"/>
      <c r="OJ126" s="70"/>
      <c r="OK126" s="70"/>
      <c r="OL126" s="70"/>
      <c r="OM126" s="70"/>
      <c r="ON126" s="70"/>
      <c r="OO126" s="70"/>
      <c r="OP126" s="70"/>
      <c r="OQ126" s="70"/>
      <c r="OR126" s="70"/>
      <c r="OS126" s="70"/>
      <c r="OT126" s="70"/>
      <c r="OU126" s="70"/>
      <c r="OV126" s="70"/>
      <c r="OW126" s="70"/>
      <c r="OX126" s="70"/>
      <c r="OY126" s="70"/>
      <c r="OZ126" s="70"/>
      <c r="PA126" s="70"/>
      <c r="PB126" s="70"/>
      <c r="PC126" s="70"/>
      <c r="PD126" s="70"/>
      <c r="PE126" s="70"/>
      <c r="PF126" s="70"/>
      <c r="PG126" s="70"/>
      <c r="PH126" s="70"/>
      <c r="PI126" s="70"/>
      <c r="PJ126" s="70"/>
      <c r="PK126" s="70"/>
      <c r="PL126" s="70"/>
      <c r="PM126" s="70"/>
      <c r="PN126" s="70"/>
      <c r="PO126" s="70"/>
      <c r="PP126" s="70"/>
      <c r="PQ126" s="70"/>
      <c r="PR126" s="70"/>
      <c r="PS126" s="70"/>
      <c r="PT126" s="70"/>
      <c r="PU126" s="70"/>
      <c r="PV126" s="70"/>
      <c r="PW126" s="70"/>
      <c r="PX126" s="70"/>
      <c r="PY126" s="70"/>
      <c r="PZ126" s="70"/>
      <c r="QA126" s="70"/>
      <c r="QB126" s="70"/>
      <c r="QC126" s="70"/>
      <c r="QD126" s="70"/>
      <c r="QE126" s="70"/>
      <c r="QF126" s="70"/>
      <c r="QG126" s="70"/>
      <c r="QH126" s="70"/>
      <c r="QI126" s="70"/>
      <c r="QJ126" s="70"/>
      <c r="QK126" s="70"/>
      <c r="QL126" s="70"/>
      <c r="QM126" s="70"/>
      <c r="QN126" s="70"/>
      <c r="QO126" s="70"/>
      <c r="QP126" s="70"/>
      <c r="QQ126" s="70"/>
      <c r="QR126" s="70"/>
      <c r="QS126" s="70"/>
      <c r="QT126" s="70"/>
      <c r="QU126" s="70"/>
      <c r="QV126" s="70"/>
      <c r="QW126" s="70"/>
      <c r="QX126" s="70"/>
      <c r="QY126" s="70"/>
      <c r="QZ126" s="70"/>
      <c r="RA126" s="70"/>
      <c r="RB126" s="70"/>
      <c r="RC126" s="70"/>
      <c r="RD126" s="70"/>
      <c r="RE126" s="70"/>
      <c r="RF126" s="70"/>
      <c r="RG126" s="70"/>
      <c r="RH126" s="70"/>
      <c r="RI126" s="70"/>
      <c r="RJ126" s="70"/>
      <c r="RK126" s="70"/>
      <c r="RL126" s="70"/>
      <c r="RM126" s="70"/>
      <c r="RN126" s="70"/>
      <c r="RO126" s="70"/>
      <c r="RP126" s="70"/>
      <c r="RQ126" s="70"/>
      <c r="RR126" s="70"/>
      <c r="RS126" s="70"/>
      <c r="RT126" s="70"/>
      <c r="RU126" s="70"/>
      <c r="RV126" s="70"/>
      <c r="RW126" s="70"/>
      <c r="RX126" s="70"/>
      <c r="RY126" s="70"/>
      <c r="RZ126" s="70"/>
      <c r="SA126" s="70"/>
      <c r="SB126" s="70"/>
      <c r="SC126" s="70"/>
      <c r="SD126" s="70"/>
      <c r="SE126" s="70"/>
      <c r="SF126" s="70"/>
      <c r="SG126" s="70"/>
      <c r="SH126" s="70"/>
      <c r="SI126" s="70"/>
      <c r="SJ126" s="70"/>
      <c r="SK126" s="70"/>
      <c r="SL126" s="70"/>
      <c r="SM126" s="70"/>
      <c r="SN126" s="70"/>
      <c r="SO126" s="70"/>
      <c r="SP126" s="70"/>
      <c r="SQ126" s="70"/>
      <c r="SR126" s="70"/>
      <c r="SS126" s="70"/>
      <c r="ST126" s="70"/>
      <c r="SU126" s="70"/>
      <c r="SV126" s="70"/>
      <c r="SW126" s="70"/>
      <c r="SX126" s="70"/>
      <c r="SY126" s="70"/>
      <c r="SZ126" s="70"/>
      <c r="TA126" s="70"/>
      <c r="TB126" s="70"/>
      <c r="TC126" s="70"/>
      <c r="TD126" s="70"/>
      <c r="TE126" s="70"/>
      <c r="TF126" s="70"/>
      <c r="TG126" s="70"/>
      <c r="TH126" s="70"/>
      <c r="TI126" s="70"/>
      <c r="TJ126" s="70"/>
      <c r="TK126" s="70"/>
      <c r="TL126" s="70"/>
      <c r="TM126" s="70"/>
      <c r="TN126" s="70"/>
      <c r="TO126" s="70"/>
      <c r="TP126" s="70"/>
      <c r="TQ126" s="70"/>
      <c r="TR126" s="70"/>
      <c r="TS126" s="70"/>
      <c r="TT126" s="70"/>
      <c r="TU126" s="70"/>
      <c r="TV126" s="70"/>
      <c r="TW126" s="70"/>
      <c r="TX126" s="70"/>
      <c r="TY126" s="70"/>
      <c r="TZ126" s="70"/>
      <c r="UA126" s="70"/>
      <c r="UB126" s="70"/>
      <c r="UC126" s="70"/>
      <c r="UD126" s="70"/>
      <c r="UE126" s="70"/>
      <c r="UF126" s="70"/>
      <c r="UG126" s="70"/>
      <c r="UH126" s="70"/>
      <c r="UI126" s="70"/>
      <c r="UJ126" s="70"/>
      <c r="UK126" s="70"/>
      <c r="UL126" s="70"/>
      <c r="UM126" s="70"/>
      <c r="UN126" s="70"/>
      <c r="UO126" s="70"/>
      <c r="UP126" s="70"/>
      <c r="UQ126" s="70"/>
      <c r="UR126" s="70"/>
      <c r="US126" s="70"/>
      <c r="UT126" s="70"/>
      <c r="UU126" s="70"/>
      <c r="UV126" s="70"/>
      <c r="UW126" s="70"/>
      <c r="UX126" s="70"/>
      <c r="UY126" s="70"/>
      <c r="UZ126" s="70"/>
      <c r="VA126" s="70"/>
      <c r="VB126" s="70"/>
      <c r="VC126" s="70"/>
      <c r="VD126" s="70"/>
      <c r="VE126" s="70"/>
      <c r="VF126" s="70"/>
      <c r="VG126" s="70"/>
      <c r="VH126" s="70"/>
      <c r="VI126" s="70"/>
      <c r="VJ126" s="70"/>
      <c r="VK126" s="70"/>
      <c r="VL126" s="70"/>
      <c r="VM126" s="70"/>
      <c r="VN126" s="70"/>
      <c r="VO126" s="70"/>
      <c r="VP126" s="70"/>
      <c r="VQ126" s="70"/>
      <c r="VR126" s="70"/>
      <c r="VS126" s="70"/>
      <c r="VT126" s="70"/>
      <c r="VU126" s="70"/>
      <c r="VV126" s="70"/>
      <c r="VW126" s="70"/>
      <c r="VX126" s="70"/>
      <c r="VY126" s="70"/>
      <c r="VZ126" s="70"/>
      <c r="WA126" s="70"/>
      <c r="WB126" s="70"/>
      <c r="WC126" s="70"/>
      <c r="WD126" s="70"/>
      <c r="WE126" s="70"/>
      <c r="WF126" s="70"/>
      <c r="WG126" s="70"/>
      <c r="WH126" s="70"/>
      <c r="WI126" s="70"/>
      <c r="WJ126" s="70"/>
      <c r="WK126" s="70"/>
      <c r="WL126" s="70"/>
      <c r="WM126" s="70"/>
      <c r="WN126" s="70"/>
      <c r="WO126" s="70"/>
      <c r="WP126" s="70"/>
      <c r="WQ126" s="70"/>
      <c r="WR126" s="70"/>
      <c r="WS126" s="70"/>
      <c r="WT126" s="70"/>
      <c r="WU126" s="70"/>
      <c r="WV126" s="70"/>
      <c r="WW126" s="70"/>
      <c r="WX126" s="70"/>
      <c r="WY126" s="70"/>
      <c r="WZ126" s="70"/>
      <c r="XA126" s="70"/>
      <c r="XB126" s="70"/>
      <c r="XC126" s="70"/>
      <c r="XD126" s="70"/>
      <c r="XE126" s="70"/>
      <c r="XF126" s="70"/>
      <c r="XG126" s="70"/>
      <c r="XH126" s="70"/>
      <c r="XI126" s="70"/>
      <c r="XJ126" s="70"/>
      <c r="XK126" s="70"/>
      <c r="XL126" s="70"/>
      <c r="XM126" s="70"/>
      <c r="XN126" s="70"/>
      <c r="XO126" s="70"/>
      <c r="XP126" s="70"/>
      <c r="XQ126" s="70"/>
      <c r="XR126" s="70"/>
      <c r="XS126" s="70"/>
      <c r="XT126" s="70"/>
      <c r="XU126" s="70"/>
      <c r="XV126" s="70"/>
      <c r="XW126" s="70"/>
      <c r="XX126" s="70"/>
      <c r="XY126" s="70"/>
      <c r="XZ126" s="70"/>
      <c r="YA126" s="70"/>
      <c r="YB126" s="70"/>
      <c r="YC126" s="70"/>
      <c r="YD126" s="70"/>
      <c r="YE126" s="70"/>
      <c r="YF126" s="70"/>
      <c r="YG126" s="70"/>
      <c r="YH126" s="70"/>
      <c r="YI126" s="70"/>
      <c r="YJ126" s="70"/>
      <c r="YK126" s="70"/>
      <c r="YL126" s="70"/>
      <c r="YM126" s="70"/>
      <c r="YN126" s="70"/>
      <c r="YO126" s="70"/>
      <c r="YP126" s="70"/>
      <c r="YQ126" s="70"/>
      <c r="YR126" s="70"/>
      <c r="YS126" s="70"/>
      <c r="YT126" s="70"/>
      <c r="YU126" s="70"/>
      <c r="YV126" s="70"/>
      <c r="YW126" s="70"/>
      <c r="YX126" s="70"/>
      <c r="YY126" s="70"/>
      <c r="YZ126" s="70"/>
      <c r="ZA126" s="70"/>
      <c r="ZB126" s="70"/>
      <c r="ZC126" s="70"/>
      <c r="ZD126" s="70"/>
      <c r="ZE126" s="70"/>
      <c r="ZF126" s="70"/>
      <c r="ZG126" s="70"/>
      <c r="ZH126" s="70"/>
      <c r="ZI126" s="70"/>
      <c r="ZJ126" s="70"/>
      <c r="ZK126" s="70"/>
      <c r="ZL126" s="70"/>
      <c r="ZM126" s="70"/>
      <c r="ZN126" s="70"/>
      <c r="ZO126" s="70"/>
      <c r="ZP126" s="70"/>
      <c r="ZQ126" s="70"/>
      <c r="ZR126" s="70"/>
      <c r="ZS126" s="70"/>
      <c r="ZT126" s="70"/>
      <c r="ZU126" s="70"/>
      <c r="ZV126" s="70"/>
      <c r="ZW126" s="70"/>
      <c r="ZX126" s="70"/>
      <c r="ZY126" s="70"/>
      <c r="ZZ126" s="70"/>
      <c r="AAA126" s="70"/>
      <c r="AAB126" s="70"/>
      <c r="AAC126" s="70"/>
      <c r="AAD126" s="70"/>
      <c r="AAE126" s="70"/>
      <c r="AAF126" s="70"/>
      <c r="AAG126" s="70"/>
      <c r="AAH126" s="70"/>
      <c r="AAI126" s="70"/>
      <c r="AAJ126" s="70"/>
      <c r="AAK126" s="70"/>
      <c r="AAL126" s="70"/>
      <c r="AAM126" s="70"/>
      <c r="AAN126" s="70"/>
      <c r="AAO126" s="70"/>
      <c r="AAP126" s="70"/>
      <c r="AAQ126" s="70"/>
      <c r="AAR126" s="70"/>
      <c r="AAS126" s="70"/>
      <c r="AAT126" s="70"/>
      <c r="AAU126" s="70"/>
      <c r="AAV126" s="70"/>
      <c r="AAW126" s="70"/>
      <c r="AAX126" s="70"/>
      <c r="AAY126" s="70"/>
      <c r="AAZ126" s="70"/>
      <c r="ABA126" s="70"/>
      <c r="ABB126" s="70"/>
      <c r="ABC126" s="70"/>
      <c r="ABD126" s="70"/>
      <c r="ABE126" s="70"/>
      <c r="ABF126" s="70"/>
      <c r="ABG126" s="70"/>
      <c r="ABH126" s="70"/>
      <c r="ABI126" s="70"/>
      <c r="ABJ126" s="70"/>
      <c r="ABK126" s="70"/>
      <c r="ABL126" s="70"/>
      <c r="ABM126" s="70"/>
      <c r="ABN126" s="70"/>
      <c r="ABO126" s="70"/>
      <c r="ABP126" s="70"/>
      <c r="ABQ126" s="70"/>
      <c r="ABR126" s="70"/>
      <c r="ABS126" s="70"/>
      <c r="ABT126" s="70"/>
      <c r="ABU126" s="70"/>
      <c r="ABV126" s="70"/>
      <c r="ABW126" s="70"/>
      <c r="ABX126" s="70"/>
      <c r="ABY126" s="70"/>
      <c r="ABZ126" s="70"/>
      <c r="ACA126" s="70"/>
      <c r="ACB126" s="70"/>
      <c r="ACC126" s="70"/>
      <c r="ACD126" s="70"/>
      <c r="ACE126" s="70"/>
      <c r="ACF126" s="70"/>
      <c r="ACG126" s="70"/>
      <c r="ACH126" s="70"/>
      <c r="ACI126" s="70"/>
      <c r="ACJ126" s="70"/>
      <c r="ACK126" s="70"/>
      <c r="ACL126" s="70"/>
      <c r="ACM126" s="70"/>
      <c r="ACN126" s="70"/>
      <c r="ACO126" s="70"/>
      <c r="ACP126" s="70"/>
      <c r="ACQ126" s="70"/>
      <c r="ACR126" s="70"/>
      <c r="ACS126" s="70"/>
      <c r="ACT126" s="70"/>
      <c r="ACU126" s="70"/>
      <c r="ACV126" s="70"/>
      <c r="ACW126" s="70"/>
      <c r="ACX126" s="70"/>
      <c r="ACY126" s="70"/>
      <c r="ACZ126" s="70"/>
      <c r="ADA126" s="70"/>
      <c r="ADB126" s="70"/>
      <c r="ADC126" s="70"/>
      <c r="ADD126" s="70"/>
      <c r="ADE126" s="70"/>
      <c r="ADF126" s="70"/>
      <c r="ADG126" s="70"/>
      <c r="ADH126" s="70"/>
      <c r="ADI126" s="70"/>
      <c r="ADJ126" s="70"/>
      <c r="ADK126" s="70"/>
      <c r="ADL126" s="70"/>
      <c r="ADM126" s="70"/>
      <c r="ADN126" s="70"/>
      <c r="ADO126" s="70"/>
      <c r="ADP126" s="70"/>
      <c r="ADQ126" s="70"/>
      <c r="ADR126" s="70"/>
      <c r="ADS126" s="70"/>
      <c r="ADT126" s="70"/>
      <c r="ADU126" s="70"/>
      <c r="ADV126" s="70"/>
      <c r="ADW126" s="70"/>
      <c r="ADX126" s="70"/>
      <c r="ADY126" s="70"/>
      <c r="ADZ126" s="70"/>
      <c r="AEA126" s="70"/>
      <c r="AEB126" s="70"/>
      <c r="AEC126" s="70"/>
      <c r="AED126" s="70"/>
      <c r="AEE126" s="70"/>
      <c r="AEF126" s="70"/>
      <c r="AEG126" s="70"/>
      <c r="AEH126" s="70"/>
      <c r="AEI126" s="70"/>
      <c r="AEJ126" s="70"/>
      <c r="AEK126" s="70"/>
      <c r="AEL126" s="70"/>
      <c r="AEM126" s="70"/>
      <c r="AEN126" s="70"/>
      <c r="AEO126" s="70"/>
      <c r="AEP126" s="70"/>
      <c r="AEQ126" s="70"/>
      <c r="AER126" s="70"/>
      <c r="AES126" s="70"/>
      <c r="AET126" s="70"/>
      <c r="AEU126" s="70"/>
      <c r="AEV126" s="70"/>
      <c r="AEW126" s="70"/>
      <c r="AEX126" s="70"/>
      <c r="AEY126" s="70"/>
      <c r="AEZ126" s="70"/>
      <c r="AFA126" s="70"/>
      <c r="AFB126" s="70"/>
      <c r="AFC126" s="70"/>
      <c r="AFD126" s="70"/>
      <c r="AFE126" s="70"/>
      <c r="AFF126" s="70"/>
      <c r="AFG126" s="70"/>
      <c r="AFH126" s="70"/>
      <c r="AFI126" s="70"/>
      <c r="AFJ126" s="70"/>
      <c r="AFK126" s="70"/>
      <c r="AFL126" s="70"/>
      <c r="AFM126" s="70"/>
      <c r="AFN126" s="70"/>
      <c r="AFO126" s="70"/>
      <c r="AFP126" s="70"/>
      <c r="AFQ126" s="70"/>
      <c r="AFR126" s="70"/>
      <c r="AFS126" s="70"/>
      <c r="AFT126" s="70"/>
      <c r="AFU126" s="70"/>
      <c r="AFV126" s="70"/>
      <c r="AFW126" s="70"/>
      <c r="AFX126" s="70"/>
      <c r="AFY126" s="70"/>
      <c r="AFZ126" s="70"/>
      <c r="AGA126" s="70"/>
      <c r="AGB126" s="70"/>
      <c r="AGC126" s="70"/>
      <c r="AGD126" s="70"/>
      <c r="AGE126" s="70"/>
      <c r="AGF126" s="70"/>
      <c r="AGG126" s="70"/>
      <c r="AGH126" s="70"/>
      <c r="AGI126" s="70"/>
      <c r="AGJ126" s="70"/>
      <c r="AGK126" s="70"/>
      <c r="AGL126" s="70"/>
      <c r="AGM126" s="70"/>
      <c r="AGN126" s="70"/>
      <c r="AGO126" s="70"/>
      <c r="AGP126" s="70"/>
      <c r="AGQ126" s="70"/>
      <c r="AGR126" s="70"/>
      <c r="AGS126" s="70"/>
      <c r="AGT126" s="70"/>
      <c r="AGU126" s="70"/>
      <c r="AGV126" s="70"/>
      <c r="AGW126" s="70"/>
      <c r="AGX126" s="70"/>
      <c r="AGY126" s="70"/>
      <c r="AGZ126" s="70"/>
      <c r="AHA126" s="70"/>
      <c r="AHB126" s="70"/>
      <c r="AHC126" s="70"/>
      <c r="AHD126" s="70"/>
      <c r="AHE126" s="70"/>
      <c r="AHF126" s="70"/>
      <c r="AHG126" s="70"/>
      <c r="AHH126" s="70"/>
      <c r="AHI126" s="70"/>
      <c r="AHJ126" s="70"/>
      <c r="AHK126" s="70"/>
      <c r="AHL126" s="70"/>
      <c r="AHM126" s="70"/>
      <c r="AHN126" s="70"/>
      <c r="AHO126" s="70"/>
      <c r="AHP126" s="70"/>
      <c r="AHQ126" s="70"/>
      <c r="AHR126" s="70"/>
      <c r="AHS126" s="70"/>
      <c r="AHT126" s="70"/>
      <c r="AHU126" s="70"/>
      <c r="AHV126" s="70"/>
      <c r="AHW126" s="70"/>
      <c r="AHX126" s="70"/>
      <c r="AHY126" s="70"/>
      <c r="AHZ126" s="70"/>
      <c r="AIA126" s="70"/>
      <c r="AIB126" s="70"/>
      <c r="AIC126" s="70"/>
      <c r="AID126" s="70"/>
      <c r="AIE126" s="70"/>
      <c r="AIF126" s="70"/>
      <c r="AIG126" s="70"/>
      <c r="AIH126" s="70"/>
      <c r="AII126" s="70"/>
      <c r="AIJ126" s="70"/>
      <c r="AIK126" s="70"/>
      <c r="AIL126" s="70"/>
      <c r="AIM126" s="70"/>
      <c r="AIN126" s="70"/>
      <c r="AIO126" s="70"/>
      <c r="AIP126" s="70"/>
      <c r="AIQ126" s="70"/>
      <c r="AIR126" s="70"/>
      <c r="AIS126" s="70"/>
      <c r="AIT126" s="70"/>
      <c r="AIU126" s="70"/>
      <c r="AIV126" s="70"/>
      <c r="AIW126" s="70"/>
      <c r="AIX126" s="70"/>
      <c r="AIY126" s="70"/>
      <c r="AIZ126" s="70"/>
      <c r="AJA126" s="70"/>
      <c r="AJB126" s="70"/>
      <c r="AJC126" s="70"/>
      <c r="AJD126" s="70"/>
      <c r="AJE126" s="70"/>
      <c r="AJF126" s="70"/>
      <c r="AJG126" s="70"/>
      <c r="AJH126" s="70"/>
      <c r="AJI126" s="70"/>
      <c r="AJJ126" s="70"/>
      <c r="AJK126" s="70"/>
      <c r="AJL126" s="70"/>
      <c r="AJM126" s="70"/>
      <c r="AJN126" s="70"/>
      <c r="AJO126" s="70"/>
      <c r="AJP126" s="70"/>
      <c r="AJQ126" s="70"/>
      <c r="AJR126" s="70"/>
      <c r="AJS126" s="70"/>
      <c r="AJT126" s="70"/>
      <c r="AJU126" s="70"/>
      <c r="AJV126" s="70"/>
      <c r="AJW126" s="70"/>
      <c r="AJX126" s="70"/>
      <c r="AJY126" s="70"/>
      <c r="AJZ126" s="70"/>
      <c r="AKA126" s="70"/>
      <c r="AKB126" s="70"/>
      <c r="AKC126" s="70"/>
      <c r="AKD126" s="70"/>
      <c r="AKE126" s="70"/>
      <c r="AKF126" s="70"/>
      <c r="AKG126" s="70"/>
      <c r="AKH126" s="70"/>
      <c r="AKI126" s="70"/>
      <c r="AKJ126" s="70"/>
      <c r="AKK126" s="70"/>
      <c r="AKL126" s="70"/>
      <c r="AKM126" s="70"/>
      <c r="AKN126" s="70"/>
      <c r="AKO126" s="70"/>
      <c r="AKP126" s="70"/>
      <c r="AKQ126" s="70"/>
      <c r="AKR126" s="70"/>
      <c r="AKS126" s="70"/>
      <c r="AKT126" s="70"/>
      <c r="AKU126" s="70"/>
      <c r="AKV126" s="70"/>
      <c r="AKW126" s="70"/>
      <c r="AKX126" s="70"/>
      <c r="AKY126" s="70"/>
      <c r="AKZ126" s="70"/>
      <c r="ALA126" s="70"/>
      <c r="ALB126" s="70"/>
      <c r="ALC126" s="70"/>
      <c r="ALD126" s="70"/>
      <c r="ALE126" s="70"/>
      <c r="ALF126" s="70"/>
      <c r="ALG126" s="70"/>
      <c r="ALH126" s="70"/>
      <c r="ALI126" s="70"/>
      <c r="ALJ126" s="70"/>
      <c r="ALK126" s="70"/>
      <c r="ALL126" s="70"/>
      <c r="ALM126" s="70"/>
      <c r="ALN126" s="70"/>
      <c r="ALO126" s="70"/>
      <c r="ALP126" s="70"/>
      <c r="ALQ126" s="70"/>
      <c r="ALR126" s="70"/>
      <c r="ALS126" s="70"/>
      <c r="ALT126" s="70"/>
      <c r="ALU126" s="70"/>
      <c r="ALV126" s="70"/>
      <c r="ALW126" s="70"/>
      <c r="ALX126" s="70"/>
      <c r="ALY126" s="70"/>
      <c r="ALZ126" s="70"/>
      <c r="AMA126" s="70"/>
      <c r="AMB126" s="70"/>
      <c r="AMC126" s="70"/>
      <c r="AMD126" s="70"/>
      <c r="AME126" s="70"/>
      <c r="AMF126" s="70"/>
      <c r="AMG126" s="70"/>
      <c r="AMH126" s="70"/>
      <c r="AMI126" s="70"/>
      <c r="AMJ126" s="70"/>
      <c r="AMK126" s="70"/>
      <c r="AML126" s="70"/>
      <c r="AMM126" s="70"/>
      <c r="AMN126" s="70"/>
      <c r="AMO126" s="70"/>
      <c r="AMP126" s="70"/>
      <c r="AMQ126" s="70"/>
      <c r="AMR126" s="70"/>
      <c r="AMS126" s="70"/>
      <c r="AMT126" s="70"/>
      <c r="AMU126" s="70"/>
      <c r="AMV126" s="70"/>
      <c r="AMW126" s="70"/>
      <c r="AMX126" s="70"/>
      <c r="AMY126" s="70"/>
      <c r="AMZ126" s="70"/>
      <c r="ANA126" s="70"/>
      <c r="ANB126" s="70"/>
      <c r="ANC126" s="70"/>
      <c r="AND126" s="70"/>
      <c r="ANE126" s="70"/>
      <c r="ANF126" s="70"/>
      <c r="ANG126" s="70"/>
      <c r="ANH126" s="70"/>
      <c r="ANI126" s="70"/>
      <c r="ANJ126" s="70"/>
      <c r="ANK126" s="70"/>
      <c r="ANL126" s="70"/>
      <c r="ANM126" s="70"/>
      <c r="ANN126" s="70"/>
      <c r="ANO126" s="70"/>
      <c r="ANP126" s="70"/>
      <c r="ANQ126" s="70"/>
      <c r="ANR126" s="70"/>
      <c r="ANS126" s="70"/>
      <c r="ANT126" s="70"/>
      <c r="ANU126" s="70"/>
      <c r="ANV126" s="70"/>
      <c r="ANW126" s="70"/>
      <c r="ANX126" s="70"/>
      <c r="ANY126" s="70"/>
      <c r="ANZ126" s="70"/>
      <c r="AOA126" s="70"/>
      <c r="AOB126" s="70"/>
      <c r="AOC126" s="70"/>
      <c r="AOD126" s="70"/>
      <c r="AOE126" s="70"/>
      <c r="AOF126" s="70"/>
      <c r="AOG126" s="70"/>
      <c r="AOH126" s="70"/>
      <c r="AOI126" s="70"/>
      <c r="AOJ126" s="70"/>
      <c r="AOK126" s="70"/>
      <c r="AOL126" s="70"/>
      <c r="AOM126" s="70"/>
      <c r="AON126" s="70"/>
      <c r="AOO126" s="70"/>
      <c r="AOP126" s="70"/>
      <c r="AOQ126" s="70"/>
      <c r="AOR126" s="70"/>
      <c r="AOS126" s="70"/>
      <c r="AOT126" s="70"/>
      <c r="AOU126" s="70"/>
      <c r="AOV126" s="70"/>
      <c r="AOW126" s="70"/>
      <c r="AOX126" s="70"/>
      <c r="AOY126" s="70"/>
      <c r="AOZ126" s="70"/>
      <c r="APA126" s="70"/>
      <c r="APB126" s="70"/>
      <c r="APC126" s="70"/>
      <c r="APD126" s="70"/>
      <c r="APE126" s="70"/>
      <c r="APF126" s="70"/>
      <c r="APG126" s="70"/>
      <c r="APH126" s="70"/>
      <c r="API126" s="70"/>
      <c r="APJ126" s="70"/>
      <c r="APK126" s="70"/>
      <c r="APL126" s="70"/>
      <c r="APM126" s="70"/>
      <c r="APN126" s="70"/>
      <c r="APO126" s="70"/>
      <c r="APP126" s="70"/>
      <c r="APQ126" s="70"/>
      <c r="APR126" s="70"/>
      <c r="APS126" s="70"/>
      <c r="APT126" s="70"/>
      <c r="APU126" s="70"/>
      <c r="APV126" s="70"/>
      <c r="APW126" s="70"/>
      <c r="APX126" s="70"/>
      <c r="APY126" s="70"/>
      <c r="APZ126" s="70"/>
      <c r="AQA126" s="70"/>
      <c r="AQB126" s="70"/>
      <c r="AQC126" s="70"/>
      <c r="AQD126" s="70"/>
      <c r="AQE126" s="70"/>
      <c r="AQF126" s="70"/>
      <c r="AQG126" s="70"/>
      <c r="AQH126" s="70"/>
      <c r="AQI126" s="70"/>
      <c r="AQJ126" s="70"/>
      <c r="AQK126" s="70"/>
      <c r="AQL126" s="70"/>
      <c r="AQM126" s="70"/>
      <c r="AQN126" s="70"/>
      <c r="AQO126" s="70"/>
      <c r="AQP126" s="70"/>
      <c r="AQQ126" s="70"/>
      <c r="AQR126" s="70"/>
      <c r="AQS126" s="70"/>
      <c r="AQT126" s="70"/>
      <c r="AQU126" s="70"/>
      <c r="AQV126" s="70"/>
      <c r="AQW126" s="70"/>
      <c r="AQX126" s="70"/>
      <c r="AQY126" s="70"/>
      <c r="AQZ126" s="70"/>
      <c r="ARA126" s="70"/>
      <c r="ARB126" s="70"/>
      <c r="ARC126" s="70"/>
      <c r="ARD126" s="70"/>
      <c r="ARE126" s="70"/>
      <c r="ARF126" s="70"/>
      <c r="ARG126" s="70"/>
      <c r="ARH126" s="70"/>
      <c r="ARI126" s="70"/>
      <c r="ARJ126" s="70"/>
      <c r="ARK126" s="70"/>
      <c r="ARL126" s="70"/>
      <c r="ARM126" s="70"/>
      <c r="ARN126" s="70"/>
      <c r="ARO126" s="70"/>
      <c r="ARP126" s="70"/>
      <c r="ARQ126" s="70"/>
      <c r="ARR126" s="70"/>
      <c r="ARS126" s="70"/>
      <c r="ART126" s="70"/>
      <c r="ARU126" s="70"/>
      <c r="ARV126" s="70"/>
      <c r="ARW126" s="70"/>
      <c r="ARX126" s="70"/>
      <c r="ARY126" s="70"/>
      <c r="ARZ126" s="70"/>
      <c r="ASA126" s="70"/>
      <c r="ASB126" s="70"/>
      <c r="ASC126" s="70"/>
      <c r="ASD126" s="70"/>
      <c r="ASE126" s="70"/>
      <c r="ASF126" s="70"/>
      <c r="ASG126" s="70"/>
      <c r="ASH126" s="70"/>
      <c r="ASI126" s="70"/>
      <c r="ASJ126" s="70"/>
      <c r="ASK126" s="70"/>
      <c r="ASL126" s="70"/>
      <c r="ASM126" s="70"/>
      <c r="ASN126" s="70"/>
      <c r="ASO126" s="70"/>
      <c r="ASP126" s="70"/>
      <c r="ASQ126" s="70"/>
      <c r="ASR126" s="70"/>
      <c r="ASS126" s="70"/>
      <c r="AST126" s="70"/>
      <c r="ASU126" s="70"/>
      <c r="ASV126" s="70"/>
      <c r="ASW126" s="70"/>
      <c r="ASX126" s="70"/>
      <c r="ASY126" s="70"/>
      <c r="ASZ126" s="70"/>
      <c r="ATA126" s="70"/>
      <c r="ATB126" s="70"/>
      <c r="ATC126" s="70"/>
      <c r="ATD126" s="70"/>
      <c r="ATE126" s="70"/>
      <c r="ATF126" s="70"/>
      <c r="ATG126" s="70"/>
      <c r="ATH126" s="70"/>
      <c r="ATI126" s="70"/>
      <c r="ATJ126" s="70"/>
      <c r="ATK126" s="70"/>
      <c r="ATL126" s="70"/>
      <c r="ATM126" s="70"/>
      <c r="ATN126" s="70"/>
      <c r="ATO126" s="70"/>
      <c r="ATP126" s="70"/>
      <c r="ATQ126" s="70"/>
      <c r="ATR126" s="70"/>
      <c r="ATS126" s="70"/>
      <c r="ATT126" s="70"/>
      <c r="ATU126" s="70"/>
      <c r="ATV126" s="70"/>
      <c r="ATW126" s="70"/>
      <c r="ATX126" s="70"/>
      <c r="ATY126" s="70"/>
      <c r="ATZ126" s="70"/>
      <c r="AUA126" s="70"/>
      <c r="AUB126" s="70"/>
      <c r="AUC126" s="70"/>
      <c r="AUD126" s="70"/>
      <c r="AUE126" s="70"/>
      <c r="AUF126" s="70"/>
      <c r="AUG126" s="70"/>
      <c r="AUH126" s="70"/>
      <c r="AUI126" s="70"/>
      <c r="AUJ126" s="70"/>
      <c r="AUK126" s="70"/>
      <c r="AUL126" s="70"/>
      <c r="AUM126" s="70"/>
      <c r="AUN126" s="70"/>
      <c r="AUO126" s="70"/>
      <c r="AUP126" s="70"/>
      <c r="AUQ126" s="70"/>
      <c r="AUR126" s="70"/>
      <c r="AUS126" s="70"/>
      <c r="AUT126" s="70"/>
      <c r="AUU126" s="70"/>
      <c r="AUV126" s="70"/>
      <c r="AUW126" s="70"/>
      <c r="AUX126" s="70"/>
      <c r="AUY126" s="70"/>
      <c r="AUZ126" s="70"/>
      <c r="AVA126" s="70"/>
      <c r="AVB126" s="70"/>
      <c r="AVC126" s="70"/>
      <c r="AVD126" s="70"/>
      <c r="AVE126" s="70"/>
      <c r="AVF126" s="70"/>
      <c r="AVG126" s="70"/>
      <c r="AVH126" s="70"/>
      <c r="AVI126" s="70"/>
      <c r="AVJ126" s="70"/>
      <c r="AVK126" s="70"/>
      <c r="AVL126" s="70"/>
      <c r="AVM126" s="70"/>
      <c r="AVN126" s="70"/>
      <c r="AVO126" s="70"/>
      <c r="AVP126" s="70"/>
      <c r="AVQ126" s="70"/>
      <c r="AVR126" s="70"/>
      <c r="AVS126" s="70"/>
      <c r="AVT126" s="70"/>
      <c r="AVU126" s="70"/>
      <c r="AVV126" s="70"/>
      <c r="AVW126" s="70"/>
      <c r="AVX126" s="70"/>
      <c r="AVY126" s="70"/>
      <c r="AVZ126" s="70"/>
      <c r="AWA126" s="70"/>
      <c r="AWB126" s="70"/>
      <c r="AWC126" s="70"/>
      <c r="AWD126" s="70"/>
      <c r="AWE126" s="70"/>
      <c r="AWF126" s="70"/>
      <c r="AWG126" s="70"/>
      <c r="AWH126" s="70"/>
      <c r="AWI126" s="70"/>
      <c r="AWJ126" s="70"/>
      <c r="AWK126" s="70"/>
      <c r="AWL126" s="70"/>
      <c r="AWM126" s="70"/>
      <c r="AWN126" s="70"/>
      <c r="AWO126" s="70"/>
      <c r="AWP126" s="70"/>
      <c r="AWQ126" s="70"/>
      <c r="AWR126" s="70"/>
      <c r="AWS126" s="70"/>
      <c r="AWT126" s="70"/>
      <c r="AWU126" s="70"/>
      <c r="AWV126" s="70"/>
      <c r="AWW126" s="70"/>
      <c r="AWX126" s="70"/>
      <c r="AWY126" s="70"/>
      <c r="AWZ126" s="70"/>
      <c r="AXA126" s="70"/>
      <c r="AXB126" s="70"/>
      <c r="AXC126" s="70"/>
      <c r="AXD126" s="70"/>
      <c r="AXE126" s="70"/>
      <c r="AXF126" s="70"/>
      <c r="AXG126" s="70"/>
      <c r="AXH126" s="70"/>
      <c r="AXI126" s="70"/>
      <c r="AXJ126" s="70"/>
      <c r="AXK126" s="70"/>
      <c r="AXL126" s="70"/>
      <c r="AXM126" s="70"/>
      <c r="AXN126" s="70"/>
      <c r="AXO126" s="70"/>
      <c r="AXP126" s="70"/>
      <c r="AXQ126" s="70"/>
      <c r="AXR126" s="70"/>
      <c r="AXS126" s="70"/>
      <c r="AXT126" s="70"/>
      <c r="AXU126" s="70"/>
      <c r="AXV126" s="70"/>
      <c r="AXW126" s="70"/>
      <c r="AXX126" s="70"/>
      <c r="AXY126" s="70"/>
      <c r="AXZ126" s="70"/>
      <c r="AYA126" s="70"/>
      <c r="AYB126" s="70"/>
      <c r="AYC126" s="70"/>
      <c r="AYD126" s="70"/>
      <c r="AYE126" s="70"/>
      <c r="AYF126" s="70"/>
      <c r="AYG126" s="70"/>
      <c r="AYH126" s="70"/>
      <c r="AYI126" s="70"/>
      <c r="AYJ126" s="70"/>
      <c r="AYK126" s="70"/>
      <c r="AYL126" s="70"/>
      <c r="AYM126" s="70"/>
      <c r="AYN126" s="70"/>
      <c r="AYO126" s="70"/>
      <c r="AYP126" s="70"/>
      <c r="AYQ126" s="70"/>
      <c r="AYR126" s="70"/>
      <c r="AYS126" s="70"/>
      <c r="AYT126" s="70"/>
      <c r="AYU126" s="70"/>
      <c r="AYV126" s="70"/>
      <c r="AYW126" s="70"/>
      <c r="AYX126" s="70"/>
      <c r="AYY126" s="70"/>
      <c r="AYZ126" s="70"/>
      <c r="AZA126" s="70"/>
      <c r="AZB126" s="70"/>
      <c r="AZC126" s="70"/>
      <c r="AZD126" s="70"/>
      <c r="AZE126" s="70"/>
      <c r="AZF126" s="70"/>
      <c r="AZG126" s="70"/>
      <c r="AZH126" s="70"/>
      <c r="AZI126" s="70"/>
      <c r="AZJ126" s="70"/>
      <c r="AZK126" s="70"/>
      <c r="AZL126" s="70"/>
      <c r="AZM126" s="70"/>
      <c r="AZN126" s="70"/>
      <c r="AZO126" s="70"/>
      <c r="AZP126" s="70"/>
      <c r="AZQ126" s="70"/>
      <c r="AZR126" s="70"/>
      <c r="AZS126" s="70"/>
      <c r="AZT126" s="70"/>
      <c r="AZU126" s="70"/>
      <c r="AZV126" s="70"/>
      <c r="AZW126" s="70"/>
      <c r="AZX126" s="70"/>
      <c r="AZY126" s="70"/>
      <c r="AZZ126" s="70"/>
      <c r="BAA126" s="70"/>
      <c r="BAB126" s="70"/>
      <c r="BAC126" s="70"/>
      <c r="BAD126" s="70"/>
      <c r="BAE126" s="70"/>
      <c r="BAF126" s="70"/>
      <c r="BAG126" s="70"/>
      <c r="BAH126" s="70"/>
      <c r="BAI126" s="70"/>
      <c r="BAJ126" s="70"/>
      <c r="BAK126" s="70"/>
      <c r="BAL126" s="70"/>
      <c r="BAM126" s="70"/>
      <c r="BAN126" s="70"/>
      <c r="BAO126" s="70"/>
      <c r="BAP126" s="70"/>
      <c r="BAQ126" s="70"/>
      <c r="BAR126" s="70"/>
      <c r="BAS126" s="70"/>
      <c r="BAT126" s="70"/>
      <c r="BAU126" s="70"/>
      <c r="BAV126" s="70"/>
      <c r="BAW126" s="70"/>
      <c r="BAX126" s="70"/>
      <c r="BAY126" s="70"/>
      <c r="BAZ126" s="70"/>
      <c r="BBA126" s="70"/>
      <c r="BBB126" s="70"/>
      <c r="BBC126" s="70"/>
      <c r="BBD126" s="70"/>
      <c r="BBE126" s="70"/>
      <c r="BBF126" s="70"/>
      <c r="BBG126" s="70"/>
      <c r="BBH126" s="70"/>
      <c r="BBI126" s="70"/>
      <c r="BBJ126" s="70"/>
      <c r="BBK126" s="70"/>
      <c r="BBL126" s="70"/>
      <c r="BBM126" s="70"/>
      <c r="BBN126" s="70"/>
      <c r="BBO126" s="70"/>
      <c r="BBP126" s="70"/>
      <c r="BBQ126" s="70"/>
      <c r="BBR126" s="70"/>
      <c r="BBS126" s="70"/>
      <c r="BBT126" s="70"/>
      <c r="BBU126" s="70"/>
      <c r="BBV126" s="70"/>
      <c r="BBW126" s="70"/>
      <c r="BBX126" s="70"/>
      <c r="BBY126" s="70"/>
      <c r="BBZ126" s="70"/>
      <c r="BCA126" s="70"/>
      <c r="BCB126" s="70"/>
      <c r="BCC126" s="70"/>
      <c r="BCD126" s="70"/>
      <c r="BCE126" s="70"/>
      <c r="BCF126" s="70"/>
      <c r="BCG126" s="70"/>
      <c r="BCH126" s="70"/>
      <c r="BCI126" s="70"/>
      <c r="BCJ126" s="70"/>
      <c r="BCK126" s="70"/>
      <c r="BCL126" s="70"/>
      <c r="BCM126" s="70"/>
      <c r="BCN126" s="70"/>
      <c r="BCO126" s="70"/>
      <c r="BCP126" s="70"/>
      <c r="BCQ126" s="70"/>
      <c r="BCR126" s="70"/>
      <c r="BCS126" s="70"/>
      <c r="BCT126" s="70"/>
      <c r="BCU126" s="70"/>
      <c r="BCV126" s="70"/>
      <c r="BCW126" s="70"/>
    </row>
    <row r="127" spans="1:1454" s="69" customFormat="1" ht="48" customHeight="1" x14ac:dyDescent="0.25">
      <c r="A127" s="50">
        <v>5</v>
      </c>
      <c r="B127" s="73" t="s">
        <v>224</v>
      </c>
      <c r="C127" s="73" t="s">
        <v>225</v>
      </c>
      <c r="D127" s="52">
        <v>8052400</v>
      </c>
      <c r="E127" s="72" t="s">
        <v>131</v>
      </c>
      <c r="F127" s="73" t="s">
        <v>142</v>
      </c>
      <c r="G127" s="73"/>
      <c r="H127" s="73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  <c r="IX127" s="70"/>
      <c r="IY127" s="70"/>
      <c r="IZ127" s="70"/>
      <c r="JA127" s="70"/>
      <c r="JB127" s="70"/>
      <c r="JC127" s="70"/>
      <c r="JD127" s="70"/>
      <c r="JE127" s="70"/>
      <c r="JF127" s="70"/>
      <c r="JG127" s="70"/>
      <c r="JH127" s="70"/>
      <c r="JI127" s="70"/>
      <c r="JJ127" s="70"/>
      <c r="JK127" s="70"/>
      <c r="JL127" s="70"/>
      <c r="JM127" s="70"/>
      <c r="JN127" s="70"/>
      <c r="JO127" s="70"/>
      <c r="JP127" s="70"/>
      <c r="JQ127" s="70"/>
      <c r="JR127" s="70"/>
      <c r="JS127" s="70"/>
      <c r="JT127" s="70"/>
      <c r="JU127" s="70"/>
      <c r="JV127" s="70"/>
      <c r="JW127" s="70"/>
      <c r="JX127" s="70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70"/>
      <c r="KN127" s="70"/>
      <c r="KO127" s="70"/>
      <c r="KP127" s="70"/>
      <c r="KQ127" s="70"/>
      <c r="KR127" s="70"/>
      <c r="KS127" s="70"/>
      <c r="KT127" s="70"/>
      <c r="KU127" s="70"/>
      <c r="KV127" s="70"/>
      <c r="KW127" s="70"/>
      <c r="KX127" s="70"/>
      <c r="KY127" s="70"/>
      <c r="KZ127" s="70"/>
      <c r="LA127" s="70"/>
      <c r="LB127" s="70"/>
      <c r="LC127" s="70"/>
      <c r="LD127" s="70"/>
      <c r="LE127" s="70"/>
      <c r="LF127" s="70"/>
      <c r="LG127" s="70"/>
      <c r="LH127" s="70"/>
      <c r="LI127" s="70"/>
      <c r="LJ127" s="70"/>
      <c r="LK127" s="70"/>
      <c r="LL127" s="70"/>
      <c r="LM127" s="70"/>
      <c r="LN127" s="70"/>
      <c r="LO127" s="70"/>
      <c r="LP127" s="70"/>
      <c r="LQ127" s="70"/>
      <c r="LR127" s="70"/>
      <c r="LS127" s="70"/>
      <c r="LT127" s="70"/>
      <c r="LU127" s="70"/>
      <c r="LV127" s="70"/>
      <c r="LW127" s="70"/>
      <c r="LX127" s="70"/>
      <c r="LY127" s="70"/>
      <c r="LZ127" s="70"/>
      <c r="MA127" s="70"/>
      <c r="MB127" s="70"/>
      <c r="MC127" s="70"/>
      <c r="MD127" s="70"/>
      <c r="ME127" s="70"/>
      <c r="MF127" s="70"/>
      <c r="MG127" s="70"/>
      <c r="MH127" s="70"/>
      <c r="MI127" s="70"/>
      <c r="MJ127" s="70"/>
      <c r="MK127" s="70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70"/>
      <c r="NA127" s="70"/>
      <c r="NB127" s="70"/>
      <c r="NC127" s="70"/>
      <c r="ND127" s="70"/>
      <c r="NE127" s="70"/>
      <c r="NF127" s="70"/>
      <c r="NG127" s="70"/>
      <c r="NH127" s="70"/>
      <c r="NI127" s="70"/>
      <c r="NJ127" s="70"/>
      <c r="NK127" s="70"/>
      <c r="NL127" s="70"/>
      <c r="NM127" s="70"/>
      <c r="NN127" s="70"/>
      <c r="NO127" s="70"/>
      <c r="NP127" s="70"/>
      <c r="NQ127" s="70"/>
      <c r="NR127" s="70"/>
      <c r="NS127" s="70"/>
      <c r="NT127" s="70"/>
      <c r="NU127" s="70"/>
      <c r="NV127" s="70"/>
      <c r="NW127" s="70"/>
      <c r="NX127" s="70"/>
      <c r="NY127" s="70"/>
      <c r="NZ127" s="70"/>
      <c r="OA127" s="70"/>
      <c r="OB127" s="70"/>
      <c r="OC127" s="70"/>
      <c r="OD127" s="70"/>
      <c r="OE127" s="70"/>
      <c r="OF127" s="70"/>
      <c r="OG127" s="70"/>
      <c r="OH127" s="70"/>
      <c r="OI127" s="70"/>
      <c r="OJ127" s="70"/>
      <c r="OK127" s="70"/>
      <c r="OL127" s="70"/>
      <c r="OM127" s="70"/>
      <c r="ON127" s="70"/>
      <c r="OO127" s="70"/>
      <c r="OP127" s="70"/>
      <c r="OQ127" s="70"/>
      <c r="OR127" s="70"/>
      <c r="OS127" s="70"/>
      <c r="OT127" s="70"/>
      <c r="OU127" s="70"/>
      <c r="OV127" s="70"/>
      <c r="OW127" s="70"/>
      <c r="OX127" s="70"/>
      <c r="OY127" s="70"/>
      <c r="OZ127" s="70"/>
      <c r="PA127" s="70"/>
      <c r="PB127" s="70"/>
      <c r="PC127" s="70"/>
      <c r="PD127" s="70"/>
      <c r="PE127" s="70"/>
      <c r="PF127" s="70"/>
      <c r="PG127" s="70"/>
      <c r="PH127" s="70"/>
      <c r="PI127" s="70"/>
      <c r="PJ127" s="70"/>
      <c r="PK127" s="70"/>
      <c r="PL127" s="70"/>
      <c r="PM127" s="70"/>
      <c r="PN127" s="70"/>
      <c r="PO127" s="70"/>
      <c r="PP127" s="70"/>
      <c r="PQ127" s="70"/>
      <c r="PR127" s="70"/>
      <c r="PS127" s="70"/>
      <c r="PT127" s="70"/>
      <c r="PU127" s="70"/>
      <c r="PV127" s="70"/>
      <c r="PW127" s="70"/>
      <c r="PX127" s="70"/>
      <c r="PY127" s="70"/>
      <c r="PZ127" s="70"/>
      <c r="QA127" s="70"/>
      <c r="QB127" s="70"/>
      <c r="QC127" s="70"/>
      <c r="QD127" s="70"/>
      <c r="QE127" s="70"/>
      <c r="QF127" s="70"/>
      <c r="QG127" s="70"/>
      <c r="QH127" s="70"/>
      <c r="QI127" s="70"/>
      <c r="QJ127" s="70"/>
      <c r="QK127" s="70"/>
      <c r="QL127" s="70"/>
      <c r="QM127" s="70"/>
      <c r="QN127" s="70"/>
      <c r="QO127" s="70"/>
      <c r="QP127" s="70"/>
      <c r="QQ127" s="70"/>
      <c r="QR127" s="70"/>
      <c r="QS127" s="70"/>
      <c r="QT127" s="70"/>
      <c r="QU127" s="70"/>
      <c r="QV127" s="70"/>
      <c r="QW127" s="70"/>
      <c r="QX127" s="70"/>
      <c r="QY127" s="70"/>
      <c r="QZ127" s="70"/>
      <c r="RA127" s="70"/>
      <c r="RB127" s="70"/>
      <c r="RC127" s="70"/>
      <c r="RD127" s="70"/>
      <c r="RE127" s="70"/>
      <c r="RF127" s="70"/>
      <c r="RG127" s="70"/>
      <c r="RH127" s="70"/>
      <c r="RI127" s="70"/>
      <c r="RJ127" s="70"/>
      <c r="RK127" s="70"/>
      <c r="RL127" s="70"/>
      <c r="RM127" s="70"/>
      <c r="RN127" s="70"/>
      <c r="RO127" s="70"/>
      <c r="RP127" s="70"/>
      <c r="RQ127" s="70"/>
      <c r="RR127" s="70"/>
      <c r="RS127" s="70"/>
      <c r="RT127" s="70"/>
      <c r="RU127" s="70"/>
      <c r="RV127" s="70"/>
      <c r="RW127" s="70"/>
      <c r="RX127" s="70"/>
      <c r="RY127" s="70"/>
      <c r="RZ127" s="70"/>
      <c r="SA127" s="70"/>
      <c r="SB127" s="70"/>
      <c r="SC127" s="70"/>
      <c r="SD127" s="70"/>
      <c r="SE127" s="70"/>
      <c r="SF127" s="70"/>
      <c r="SG127" s="70"/>
      <c r="SH127" s="70"/>
      <c r="SI127" s="70"/>
      <c r="SJ127" s="70"/>
      <c r="SK127" s="70"/>
      <c r="SL127" s="70"/>
      <c r="SM127" s="70"/>
      <c r="SN127" s="70"/>
      <c r="SO127" s="70"/>
      <c r="SP127" s="70"/>
      <c r="SQ127" s="70"/>
      <c r="SR127" s="70"/>
      <c r="SS127" s="70"/>
      <c r="ST127" s="70"/>
      <c r="SU127" s="70"/>
      <c r="SV127" s="70"/>
      <c r="SW127" s="70"/>
      <c r="SX127" s="70"/>
      <c r="SY127" s="70"/>
      <c r="SZ127" s="70"/>
      <c r="TA127" s="70"/>
      <c r="TB127" s="70"/>
      <c r="TC127" s="70"/>
      <c r="TD127" s="70"/>
      <c r="TE127" s="70"/>
      <c r="TF127" s="70"/>
      <c r="TG127" s="70"/>
      <c r="TH127" s="70"/>
      <c r="TI127" s="70"/>
      <c r="TJ127" s="70"/>
      <c r="TK127" s="70"/>
      <c r="TL127" s="70"/>
      <c r="TM127" s="70"/>
      <c r="TN127" s="70"/>
      <c r="TO127" s="70"/>
      <c r="TP127" s="70"/>
      <c r="TQ127" s="70"/>
      <c r="TR127" s="70"/>
      <c r="TS127" s="70"/>
      <c r="TT127" s="70"/>
      <c r="TU127" s="70"/>
      <c r="TV127" s="70"/>
      <c r="TW127" s="70"/>
      <c r="TX127" s="70"/>
      <c r="TY127" s="70"/>
      <c r="TZ127" s="70"/>
      <c r="UA127" s="70"/>
      <c r="UB127" s="70"/>
      <c r="UC127" s="70"/>
      <c r="UD127" s="70"/>
      <c r="UE127" s="70"/>
      <c r="UF127" s="70"/>
      <c r="UG127" s="70"/>
      <c r="UH127" s="70"/>
      <c r="UI127" s="70"/>
      <c r="UJ127" s="70"/>
      <c r="UK127" s="70"/>
      <c r="UL127" s="70"/>
      <c r="UM127" s="70"/>
      <c r="UN127" s="70"/>
      <c r="UO127" s="70"/>
      <c r="UP127" s="70"/>
      <c r="UQ127" s="70"/>
      <c r="UR127" s="70"/>
      <c r="US127" s="70"/>
      <c r="UT127" s="70"/>
      <c r="UU127" s="70"/>
      <c r="UV127" s="70"/>
      <c r="UW127" s="70"/>
      <c r="UX127" s="70"/>
      <c r="UY127" s="70"/>
      <c r="UZ127" s="70"/>
      <c r="VA127" s="70"/>
      <c r="VB127" s="70"/>
      <c r="VC127" s="70"/>
      <c r="VD127" s="70"/>
      <c r="VE127" s="70"/>
      <c r="VF127" s="70"/>
      <c r="VG127" s="70"/>
      <c r="VH127" s="70"/>
      <c r="VI127" s="70"/>
      <c r="VJ127" s="70"/>
      <c r="VK127" s="70"/>
      <c r="VL127" s="70"/>
      <c r="VM127" s="70"/>
      <c r="VN127" s="70"/>
      <c r="VO127" s="70"/>
      <c r="VP127" s="70"/>
      <c r="VQ127" s="70"/>
      <c r="VR127" s="70"/>
      <c r="VS127" s="70"/>
      <c r="VT127" s="70"/>
      <c r="VU127" s="70"/>
      <c r="VV127" s="70"/>
      <c r="VW127" s="70"/>
      <c r="VX127" s="70"/>
      <c r="VY127" s="70"/>
      <c r="VZ127" s="70"/>
      <c r="WA127" s="70"/>
      <c r="WB127" s="70"/>
      <c r="WC127" s="70"/>
      <c r="WD127" s="70"/>
      <c r="WE127" s="70"/>
      <c r="WF127" s="70"/>
      <c r="WG127" s="70"/>
      <c r="WH127" s="70"/>
      <c r="WI127" s="70"/>
      <c r="WJ127" s="70"/>
      <c r="WK127" s="70"/>
      <c r="WL127" s="70"/>
      <c r="WM127" s="70"/>
      <c r="WN127" s="70"/>
      <c r="WO127" s="70"/>
      <c r="WP127" s="70"/>
      <c r="WQ127" s="70"/>
      <c r="WR127" s="70"/>
      <c r="WS127" s="70"/>
      <c r="WT127" s="70"/>
      <c r="WU127" s="70"/>
      <c r="WV127" s="70"/>
      <c r="WW127" s="70"/>
      <c r="WX127" s="70"/>
      <c r="WY127" s="70"/>
      <c r="WZ127" s="70"/>
      <c r="XA127" s="70"/>
      <c r="XB127" s="70"/>
      <c r="XC127" s="70"/>
      <c r="XD127" s="70"/>
      <c r="XE127" s="70"/>
      <c r="XF127" s="70"/>
      <c r="XG127" s="70"/>
      <c r="XH127" s="70"/>
      <c r="XI127" s="70"/>
      <c r="XJ127" s="70"/>
      <c r="XK127" s="70"/>
      <c r="XL127" s="70"/>
      <c r="XM127" s="70"/>
      <c r="XN127" s="70"/>
      <c r="XO127" s="70"/>
      <c r="XP127" s="70"/>
      <c r="XQ127" s="70"/>
      <c r="XR127" s="70"/>
      <c r="XS127" s="70"/>
      <c r="XT127" s="70"/>
      <c r="XU127" s="70"/>
      <c r="XV127" s="70"/>
      <c r="XW127" s="70"/>
      <c r="XX127" s="70"/>
      <c r="XY127" s="70"/>
      <c r="XZ127" s="70"/>
      <c r="YA127" s="70"/>
      <c r="YB127" s="70"/>
      <c r="YC127" s="70"/>
      <c r="YD127" s="70"/>
      <c r="YE127" s="70"/>
      <c r="YF127" s="70"/>
      <c r="YG127" s="70"/>
      <c r="YH127" s="70"/>
      <c r="YI127" s="70"/>
      <c r="YJ127" s="70"/>
      <c r="YK127" s="70"/>
      <c r="YL127" s="70"/>
      <c r="YM127" s="70"/>
      <c r="YN127" s="70"/>
      <c r="YO127" s="70"/>
      <c r="YP127" s="70"/>
      <c r="YQ127" s="70"/>
      <c r="YR127" s="70"/>
      <c r="YS127" s="70"/>
      <c r="YT127" s="70"/>
      <c r="YU127" s="70"/>
      <c r="YV127" s="70"/>
      <c r="YW127" s="70"/>
      <c r="YX127" s="70"/>
      <c r="YY127" s="70"/>
      <c r="YZ127" s="70"/>
      <c r="ZA127" s="70"/>
      <c r="ZB127" s="70"/>
      <c r="ZC127" s="70"/>
      <c r="ZD127" s="70"/>
      <c r="ZE127" s="70"/>
      <c r="ZF127" s="70"/>
      <c r="ZG127" s="70"/>
      <c r="ZH127" s="70"/>
      <c r="ZI127" s="70"/>
      <c r="ZJ127" s="70"/>
      <c r="ZK127" s="70"/>
      <c r="ZL127" s="70"/>
      <c r="ZM127" s="70"/>
      <c r="ZN127" s="70"/>
      <c r="ZO127" s="70"/>
      <c r="ZP127" s="70"/>
      <c r="ZQ127" s="70"/>
      <c r="ZR127" s="70"/>
      <c r="ZS127" s="70"/>
      <c r="ZT127" s="70"/>
      <c r="ZU127" s="70"/>
      <c r="ZV127" s="70"/>
      <c r="ZW127" s="70"/>
      <c r="ZX127" s="70"/>
      <c r="ZY127" s="70"/>
      <c r="ZZ127" s="70"/>
      <c r="AAA127" s="70"/>
      <c r="AAB127" s="70"/>
      <c r="AAC127" s="70"/>
      <c r="AAD127" s="70"/>
      <c r="AAE127" s="70"/>
      <c r="AAF127" s="70"/>
      <c r="AAG127" s="70"/>
      <c r="AAH127" s="70"/>
      <c r="AAI127" s="70"/>
      <c r="AAJ127" s="70"/>
      <c r="AAK127" s="70"/>
      <c r="AAL127" s="70"/>
      <c r="AAM127" s="70"/>
      <c r="AAN127" s="70"/>
      <c r="AAO127" s="70"/>
      <c r="AAP127" s="70"/>
      <c r="AAQ127" s="70"/>
      <c r="AAR127" s="70"/>
      <c r="AAS127" s="70"/>
      <c r="AAT127" s="70"/>
      <c r="AAU127" s="70"/>
      <c r="AAV127" s="70"/>
      <c r="AAW127" s="70"/>
      <c r="AAX127" s="70"/>
      <c r="AAY127" s="70"/>
      <c r="AAZ127" s="70"/>
      <c r="ABA127" s="70"/>
      <c r="ABB127" s="70"/>
      <c r="ABC127" s="70"/>
      <c r="ABD127" s="70"/>
      <c r="ABE127" s="70"/>
      <c r="ABF127" s="70"/>
      <c r="ABG127" s="70"/>
      <c r="ABH127" s="70"/>
      <c r="ABI127" s="70"/>
      <c r="ABJ127" s="70"/>
      <c r="ABK127" s="70"/>
      <c r="ABL127" s="70"/>
      <c r="ABM127" s="70"/>
      <c r="ABN127" s="70"/>
      <c r="ABO127" s="70"/>
      <c r="ABP127" s="70"/>
      <c r="ABQ127" s="70"/>
      <c r="ABR127" s="70"/>
      <c r="ABS127" s="70"/>
      <c r="ABT127" s="70"/>
      <c r="ABU127" s="70"/>
      <c r="ABV127" s="70"/>
      <c r="ABW127" s="70"/>
      <c r="ABX127" s="70"/>
      <c r="ABY127" s="70"/>
      <c r="ABZ127" s="70"/>
      <c r="ACA127" s="70"/>
      <c r="ACB127" s="70"/>
      <c r="ACC127" s="70"/>
      <c r="ACD127" s="70"/>
      <c r="ACE127" s="70"/>
      <c r="ACF127" s="70"/>
      <c r="ACG127" s="70"/>
      <c r="ACH127" s="70"/>
      <c r="ACI127" s="70"/>
      <c r="ACJ127" s="70"/>
      <c r="ACK127" s="70"/>
      <c r="ACL127" s="70"/>
      <c r="ACM127" s="70"/>
      <c r="ACN127" s="70"/>
      <c r="ACO127" s="70"/>
      <c r="ACP127" s="70"/>
      <c r="ACQ127" s="70"/>
      <c r="ACR127" s="70"/>
      <c r="ACS127" s="70"/>
      <c r="ACT127" s="70"/>
      <c r="ACU127" s="70"/>
      <c r="ACV127" s="70"/>
      <c r="ACW127" s="70"/>
      <c r="ACX127" s="70"/>
      <c r="ACY127" s="70"/>
      <c r="ACZ127" s="70"/>
      <c r="ADA127" s="70"/>
      <c r="ADB127" s="70"/>
      <c r="ADC127" s="70"/>
      <c r="ADD127" s="70"/>
      <c r="ADE127" s="70"/>
      <c r="ADF127" s="70"/>
      <c r="ADG127" s="70"/>
      <c r="ADH127" s="70"/>
      <c r="ADI127" s="70"/>
      <c r="ADJ127" s="70"/>
      <c r="ADK127" s="70"/>
      <c r="ADL127" s="70"/>
      <c r="ADM127" s="70"/>
      <c r="ADN127" s="70"/>
      <c r="ADO127" s="70"/>
      <c r="ADP127" s="70"/>
      <c r="ADQ127" s="70"/>
      <c r="ADR127" s="70"/>
      <c r="ADS127" s="70"/>
      <c r="ADT127" s="70"/>
      <c r="ADU127" s="70"/>
      <c r="ADV127" s="70"/>
      <c r="ADW127" s="70"/>
      <c r="ADX127" s="70"/>
      <c r="ADY127" s="70"/>
      <c r="ADZ127" s="70"/>
      <c r="AEA127" s="70"/>
      <c r="AEB127" s="70"/>
      <c r="AEC127" s="70"/>
      <c r="AED127" s="70"/>
      <c r="AEE127" s="70"/>
      <c r="AEF127" s="70"/>
      <c r="AEG127" s="70"/>
      <c r="AEH127" s="70"/>
      <c r="AEI127" s="70"/>
      <c r="AEJ127" s="70"/>
      <c r="AEK127" s="70"/>
      <c r="AEL127" s="70"/>
      <c r="AEM127" s="70"/>
      <c r="AEN127" s="70"/>
      <c r="AEO127" s="70"/>
      <c r="AEP127" s="70"/>
      <c r="AEQ127" s="70"/>
      <c r="AER127" s="70"/>
      <c r="AES127" s="70"/>
      <c r="AET127" s="70"/>
      <c r="AEU127" s="70"/>
      <c r="AEV127" s="70"/>
      <c r="AEW127" s="70"/>
      <c r="AEX127" s="70"/>
      <c r="AEY127" s="70"/>
      <c r="AEZ127" s="70"/>
      <c r="AFA127" s="70"/>
      <c r="AFB127" s="70"/>
      <c r="AFC127" s="70"/>
      <c r="AFD127" s="70"/>
      <c r="AFE127" s="70"/>
      <c r="AFF127" s="70"/>
      <c r="AFG127" s="70"/>
      <c r="AFH127" s="70"/>
      <c r="AFI127" s="70"/>
      <c r="AFJ127" s="70"/>
      <c r="AFK127" s="70"/>
      <c r="AFL127" s="70"/>
      <c r="AFM127" s="70"/>
      <c r="AFN127" s="70"/>
      <c r="AFO127" s="70"/>
      <c r="AFP127" s="70"/>
      <c r="AFQ127" s="70"/>
      <c r="AFR127" s="70"/>
      <c r="AFS127" s="70"/>
      <c r="AFT127" s="70"/>
      <c r="AFU127" s="70"/>
      <c r="AFV127" s="70"/>
      <c r="AFW127" s="70"/>
      <c r="AFX127" s="70"/>
      <c r="AFY127" s="70"/>
      <c r="AFZ127" s="70"/>
      <c r="AGA127" s="70"/>
      <c r="AGB127" s="70"/>
      <c r="AGC127" s="70"/>
      <c r="AGD127" s="70"/>
      <c r="AGE127" s="70"/>
      <c r="AGF127" s="70"/>
      <c r="AGG127" s="70"/>
      <c r="AGH127" s="70"/>
      <c r="AGI127" s="70"/>
      <c r="AGJ127" s="70"/>
      <c r="AGK127" s="70"/>
      <c r="AGL127" s="70"/>
      <c r="AGM127" s="70"/>
      <c r="AGN127" s="70"/>
      <c r="AGO127" s="70"/>
      <c r="AGP127" s="70"/>
      <c r="AGQ127" s="70"/>
      <c r="AGR127" s="70"/>
      <c r="AGS127" s="70"/>
      <c r="AGT127" s="70"/>
      <c r="AGU127" s="70"/>
      <c r="AGV127" s="70"/>
      <c r="AGW127" s="70"/>
      <c r="AGX127" s="70"/>
      <c r="AGY127" s="70"/>
      <c r="AGZ127" s="70"/>
      <c r="AHA127" s="70"/>
      <c r="AHB127" s="70"/>
      <c r="AHC127" s="70"/>
      <c r="AHD127" s="70"/>
      <c r="AHE127" s="70"/>
      <c r="AHF127" s="70"/>
      <c r="AHG127" s="70"/>
      <c r="AHH127" s="70"/>
      <c r="AHI127" s="70"/>
      <c r="AHJ127" s="70"/>
      <c r="AHK127" s="70"/>
      <c r="AHL127" s="70"/>
      <c r="AHM127" s="70"/>
      <c r="AHN127" s="70"/>
      <c r="AHO127" s="70"/>
      <c r="AHP127" s="70"/>
      <c r="AHQ127" s="70"/>
      <c r="AHR127" s="70"/>
      <c r="AHS127" s="70"/>
      <c r="AHT127" s="70"/>
      <c r="AHU127" s="70"/>
      <c r="AHV127" s="70"/>
      <c r="AHW127" s="70"/>
      <c r="AHX127" s="70"/>
      <c r="AHY127" s="70"/>
      <c r="AHZ127" s="70"/>
      <c r="AIA127" s="70"/>
      <c r="AIB127" s="70"/>
      <c r="AIC127" s="70"/>
      <c r="AID127" s="70"/>
      <c r="AIE127" s="70"/>
      <c r="AIF127" s="70"/>
      <c r="AIG127" s="70"/>
      <c r="AIH127" s="70"/>
      <c r="AII127" s="70"/>
      <c r="AIJ127" s="70"/>
      <c r="AIK127" s="70"/>
      <c r="AIL127" s="70"/>
      <c r="AIM127" s="70"/>
      <c r="AIN127" s="70"/>
      <c r="AIO127" s="70"/>
      <c r="AIP127" s="70"/>
      <c r="AIQ127" s="70"/>
      <c r="AIR127" s="70"/>
      <c r="AIS127" s="70"/>
      <c r="AIT127" s="70"/>
      <c r="AIU127" s="70"/>
      <c r="AIV127" s="70"/>
      <c r="AIW127" s="70"/>
      <c r="AIX127" s="70"/>
      <c r="AIY127" s="70"/>
      <c r="AIZ127" s="70"/>
      <c r="AJA127" s="70"/>
      <c r="AJB127" s="70"/>
      <c r="AJC127" s="70"/>
      <c r="AJD127" s="70"/>
      <c r="AJE127" s="70"/>
      <c r="AJF127" s="70"/>
      <c r="AJG127" s="70"/>
      <c r="AJH127" s="70"/>
      <c r="AJI127" s="70"/>
      <c r="AJJ127" s="70"/>
      <c r="AJK127" s="70"/>
      <c r="AJL127" s="70"/>
      <c r="AJM127" s="70"/>
      <c r="AJN127" s="70"/>
      <c r="AJO127" s="70"/>
      <c r="AJP127" s="70"/>
      <c r="AJQ127" s="70"/>
      <c r="AJR127" s="70"/>
      <c r="AJS127" s="70"/>
      <c r="AJT127" s="70"/>
      <c r="AJU127" s="70"/>
      <c r="AJV127" s="70"/>
      <c r="AJW127" s="70"/>
      <c r="AJX127" s="70"/>
      <c r="AJY127" s="70"/>
      <c r="AJZ127" s="70"/>
      <c r="AKA127" s="70"/>
      <c r="AKB127" s="70"/>
      <c r="AKC127" s="70"/>
      <c r="AKD127" s="70"/>
      <c r="AKE127" s="70"/>
      <c r="AKF127" s="70"/>
      <c r="AKG127" s="70"/>
      <c r="AKH127" s="70"/>
      <c r="AKI127" s="70"/>
      <c r="AKJ127" s="70"/>
      <c r="AKK127" s="70"/>
      <c r="AKL127" s="70"/>
      <c r="AKM127" s="70"/>
      <c r="AKN127" s="70"/>
      <c r="AKO127" s="70"/>
      <c r="AKP127" s="70"/>
      <c r="AKQ127" s="70"/>
      <c r="AKR127" s="70"/>
      <c r="AKS127" s="70"/>
      <c r="AKT127" s="70"/>
      <c r="AKU127" s="70"/>
      <c r="AKV127" s="70"/>
      <c r="AKW127" s="70"/>
      <c r="AKX127" s="70"/>
      <c r="AKY127" s="70"/>
      <c r="AKZ127" s="70"/>
      <c r="ALA127" s="70"/>
      <c r="ALB127" s="70"/>
      <c r="ALC127" s="70"/>
      <c r="ALD127" s="70"/>
      <c r="ALE127" s="70"/>
      <c r="ALF127" s="70"/>
      <c r="ALG127" s="70"/>
      <c r="ALH127" s="70"/>
      <c r="ALI127" s="70"/>
      <c r="ALJ127" s="70"/>
      <c r="ALK127" s="70"/>
      <c r="ALL127" s="70"/>
      <c r="ALM127" s="70"/>
      <c r="ALN127" s="70"/>
      <c r="ALO127" s="70"/>
      <c r="ALP127" s="70"/>
      <c r="ALQ127" s="70"/>
      <c r="ALR127" s="70"/>
      <c r="ALS127" s="70"/>
      <c r="ALT127" s="70"/>
      <c r="ALU127" s="70"/>
      <c r="ALV127" s="70"/>
      <c r="ALW127" s="70"/>
      <c r="ALX127" s="70"/>
      <c r="ALY127" s="70"/>
      <c r="ALZ127" s="70"/>
      <c r="AMA127" s="70"/>
      <c r="AMB127" s="70"/>
      <c r="AMC127" s="70"/>
      <c r="AMD127" s="70"/>
      <c r="AME127" s="70"/>
      <c r="AMF127" s="70"/>
      <c r="AMG127" s="70"/>
      <c r="AMH127" s="70"/>
      <c r="AMI127" s="70"/>
      <c r="AMJ127" s="70"/>
      <c r="AMK127" s="70"/>
      <c r="AML127" s="70"/>
      <c r="AMM127" s="70"/>
      <c r="AMN127" s="70"/>
      <c r="AMO127" s="70"/>
      <c r="AMP127" s="70"/>
      <c r="AMQ127" s="70"/>
      <c r="AMR127" s="70"/>
      <c r="AMS127" s="70"/>
      <c r="AMT127" s="70"/>
      <c r="AMU127" s="70"/>
      <c r="AMV127" s="70"/>
      <c r="AMW127" s="70"/>
      <c r="AMX127" s="70"/>
      <c r="AMY127" s="70"/>
      <c r="AMZ127" s="70"/>
      <c r="ANA127" s="70"/>
      <c r="ANB127" s="70"/>
      <c r="ANC127" s="70"/>
      <c r="AND127" s="70"/>
      <c r="ANE127" s="70"/>
      <c r="ANF127" s="70"/>
      <c r="ANG127" s="70"/>
      <c r="ANH127" s="70"/>
      <c r="ANI127" s="70"/>
      <c r="ANJ127" s="70"/>
      <c r="ANK127" s="70"/>
      <c r="ANL127" s="70"/>
      <c r="ANM127" s="70"/>
      <c r="ANN127" s="70"/>
      <c r="ANO127" s="70"/>
      <c r="ANP127" s="70"/>
      <c r="ANQ127" s="70"/>
      <c r="ANR127" s="70"/>
      <c r="ANS127" s="70"/>
      <c r="ANT127" s="70"/>
      <c r="ANU127" s="70"/>
      <c r="ANV127" s="70"/>
      <c r="ANW127" s="70"/>
      <c r="ANX127" s="70"/>
      <c r="ANY127" s="70"/>
      <c r="ANZ127" s="70"/>
      <c r="AOA127" s="70"/>
      <c r="AOB127" s="70"/>
      <c r="AOC127" s="70"/>
      <c r="AOD127" s="70"/>
      <c r="AOE127" s="70"/>
      <c r="AOF127" s="70"/>
      <c r="AOG127" s="70"/>
      <c r="AOH127" s="70"/>
      <c r="AOI127" s="70"/>
      <c r="AOJ127" s="70"/>
      <c r="AOK127" s="70"/>
      <c r="AOL127" s="70"/>
      <c r="AOM127" s="70"/>
      <c r="AON127" s="70"/>
      <c r="AOO127" s="70"/>
      <c r="AOP127" s="70"/>
      <c r="AOQ127" s="70"/>
      <c r="AOR127" s="70"/>
      <c r="AOS127" s="70"/>
      <c r="AOT127" s="70"/>
      <c r="AOU127" s="70"/>
      <c r="AOV127" s="70"/>
      <c r="AOW127" s="70"/>
      <c r="AOX127" s="70"/>
      <c r="AOY127" s="70"/>
      <c r="AOZ127" s="70"/>
      <c r="APA127" s="70"/>
      <c r="APB127" s="70"/>
      <c r="APC127" s="70"/>
      <c r="APD127" s="70"/>
      <c r="APE127" s="70"/>
      <c r="APF127" s="70"/>
      <c r="APG127" s="70"/>
      <c r="APH127" s="70"/>
      <c r="API127" s="70"/>
      <c r="APJ127" s="70"/>
      <c r="APK127" s="70"/>
      <c r="APL127" s="70"/>
      <c r="APM127" s="70"/>
      <c r="APN127" s="70"/>
      <c r="APO127" s="70"/>
      <c r="APP127" s="70"/>
      <c r="APQ127" s="70"/>
      <c r="APR127" s="70"/>
      <c r="APS127" s="70"/>
      <c r="APT127" s="70"/>
      <c r="APU127" s="70"/>
      <c r="APV127" s="70"/>
      <c r="APW127" s="70"/>
      <c r="APX127" s="70"/>
      <c r="APY127" s="70"/>
      <c r="APZ127" s="70"/>
      <c r="AQA127" s="70"/>
      <c r="AQB127" s="70"/>
      <c r="AQC127" s="70"/>
      <c r="AQD127" s="70"/>
      <c r="AQE127" s="70"/>
      <c r="AQF127" s="70"/>
      <c r="AQG127" s="70"/>
      <c r="AQH127" s="70"/>
      <c r="AQI127" s="70"/>
      <c r="AQJ127" s="70"/>
      <c r="AQK127" s="70"/>
      <c r="AQL127" s="70"/>
      <c r="AQM127" s="70"/>
      <c r="AQN127" s="70"/>
      <c r="AQO127" s="70"/>
      <c r="AQP127" s="70"/>
      <c r="AQQ127" s="70"/>
      <c r="AQR127" s="70"/>
      <c r="AQS127" s="70"/>
      <c r="AQT127" s="70"/>
      <c r="AQU127" s="70"/>
      <c r="AQV127" s="70"/>
      <c r="AQW127" s="70"/>
      <c r="AQX127" s="70"/>
      <c r="AQY127" s="70"/>
      <c r="AQZ127" s="70"/>
      <c r="ARA127" s="70"/>
      <c r="ARB127" s="70"/>
      <c r="ARC127" s="70"/>
      <c r="ARD127" s="70"/>
      <c r="ARE127" s="70"/>
      <c r="ARF127" s="70"/>
      <c r="ARG127" s="70"/>
      <c r="ARH127" s="70"/>
      <c r="ARI127" s="70"/>
      <c r="ARJ127" s="70"/>
      <c r="ARK127" s="70"/>
      <c r="ARL127" s="70"/>
      <c r="ARM127" s="70"/>
      <c r="ARN127" s="70"/>
      <c r="ARO127" s="70"/>
      <c r="ARP127" s="70"/>
      <c r="ARQ127" s="70"/>
      <c r="ARR127" s="70"/>
      <c r="ARS127" s="70"/>
      <c r="ART127" s="70"/>
      <c r="ARU127" s="70"/>
      <c r="ARV127" s="70"/>
      <c r="ARW127" s="70"/>
      <c r="ARX127" s="70"/>
      <c r="ARY127" s="70"/>
      <c r="ARZ127" s="70"/>
      <c r="ASA127" s="70"/>
      <c r="ASB127" s="70"/>
      <c r="ASC127" s="70"/>
      <c r="ASD127" s="70"/>
      <c r="ASE127" s="70"/>
      <c r="ASF127" s="70"/>
      <c r="ASG127" s="70"/>
      <c r="ASH127" s="70"/>
      <c r="ASI127" s="70"/>
      <c r="ASJ127" s="70"/>
      <c r="ASK127" s="70"/>
      <c r="ASL127" s="70"/>
      <c r="ASM127" s="70"/>
      <c r="ASN127" s="70"/>
      <c r="ASO127" s="70"/>
      <c r="ASP127" s="70"/>
      <c r="ASQ127" s="70"/>
      <c r="ASR127" s="70"/>
      <c r="ASS127" s="70"/>
      <c r="AST127" s="70"/>
      <c r="ASU127" s="70"/>
      <c r="ASV127" s="70"/>
      <c r="ASW127" s="70"/>
      <c r="ASX127" s="70"/>
      <c r="ASY127" s="70"/>
      <c r="ASZ127" s="70"/>
      <c r="ATA127" s="70"/>
      <c r="ATB127" s="70"/>
      <c r="ATC127" s="70"/>
      <c r="ATD127" s="70"/>
      <c r="ATE127" s="70"/>
      <c r="ATF127" s="70"/>
      <c r="ATG127" s="70"/>
      <c r="ATH127" s="70"/>
      <c r="ATI127" s="70"/>
      <c r="ATJ127" s="70"/>
      <c r="ATK127" s="70"/>
      <c r="ATL127" s="70"/>
      <c r="ATM127" s="70"/>
      <c r="ATN127" s="70"/>
      <c r="ATO127" s="70"/>
      <c r="ATP127" s="70"/>
      <c r="ATQ127" s="70"/>
      <c r="ATR127" s="70"/>
      <c r="ATS127" s="70"/>
      <c r="ATT127" s="70"/>
      <c r="ATU127" s="70"/>
      <c r="ATV127" s="70"/>
      <c r="ATW127" s="70"/>
      <c r="ATX127" s="70"/>
      <c r="ATY127" s="70"/>
      <c r="ATZ127" s="70"/>
      <c r="AUA127" s="70"/>
      <c r="AUB127" s="70"/>
      <c r="AUC127" s="70"/>
      <c r="AUD127" s="70"/>
      <c r="AUE127" s="70"/>
      <c r="AUF127" s="70"/>
      <c r="AUG127" s="70"/>
      <c r="AUH127" s="70"/>
      <c r="AUI127" s="70"/>
      <c r="AUJ127" s="70"/>
      <c r="AUK127" s="70"/>
      <c r="AUL127" s="70"/>
      <c r="AUM127" s="70"/>
      <c r="AUN127" s="70"/>
      <c r="AUO127" s="70"/>
      <c r="AUP127" s="70"/>
      <c r="AUQ127" s="70"/>
      <c r="AUR127" s="70"/>
      <c r="AUS127" s="70"/>
      <c r="AUT127" s="70"/>
      <c r="AUU127" s="70"/>
      <c r="AUV127" s="70"/>
      <c r="AUW127" s="70"/>
      <c r="AUX127" s="70"/>
      <c r="AUY127" s="70"/>
      <c r="AUZ127" s="70"/>
      <c r="AVA127" s="70"/>
      <c r="AVB127" s="70"/>
      <c r="AVC127" s="70"/>
      <c r="AVD127" s="70"/>
      <c r="AVE127" s="70"/>
      <c r="AVF127" s="70"/>
      <c r="AVG127" s="70"/>
      <c r="AVH127" s="70"/>
      <c r="AVI127" s="70"/>
      <c r="AVJ127" s="70"/>
      <c r="AVK127" s="70"/>
      <c r="AVL127" s="70"/>
      <c r="AVM127" s="70"/>
      <c r="AVN127" s="70"/>
      <c r="AVO127" s="70"/>
      <c r="AVP127" s="70"/>
      <c r="AVQ127" s="70"/>
      <c r="AVR127" s="70"/>
      <c r="AVS127" s="70"/>
      <c r="AVT127" s="70"/>
      <c r="AVU127" s="70"/>
      <c r="AVV127" s="70"/>
      <c r="AVW127" s="70"/>
      <c r="AVX127" s="70"/>
      <c r="AVY127" s="70"/>
      <c r="AVZ127" s="70"/>
      <c r="AWA127" s="70"/>
      <c r="AWB127" s="70"/>
      <c r="AWC127" s="70"/>
      <c r="AWD127" s="70"/>
      <c r="AWE127" s="70"/>
      <c r="AWF127" s="70"/>
      <c r="AWG127" s="70"/>
      <c r="AWH127" s="70"/>
      <c r="AWI127" s="70"/>
      <c r="AWJ127" s="70"/>
      <c r="AWK127" s="70"/>
      <c r="AWL127" s="70"/>
      <c r="AWM127" s="70"/>
      <c r="AWN127" s="70"/>
      <c r="AWO127" s="70"/>
      <c r="AWP127" s="70"/>
      <c r="AWQ127" s="70"/>
      <c r="AWR127" s="70"/>
      <c r="AWS127" s="70"/>
      <c r="AWT127" s="70"/>
      <c r="AWU127" s="70"/>
      <c r="AWV127" s="70"/>
      <c r="AWW127" s="70"/>
      <c r="AWX127" s="70"/>
      <c r="AWY127" s="70"/>
      <c r="AWZ127" s="70"/>
      <c r="AXA127" s="70"/>
      <c r="AXB127" s="70"/>
      <c r="AXC127" s="70"/>
      <c r="AXD127" s="70"/>
      <c r="AXE127" s="70"/>
      <c r="AXF127" s="70"/>
      <c r="AXG127" s="70"/>
      <c r="AXH127" s="70"/>
      <c r="AXI127" s="70"/>
      <c r="AXJ127" s="70"/>
      <c r="AXK127" s="70"/>
      <c r="AXL127" s="70"/>
      <c r="AXM127" s="70"/>
      <c r="AXN127" s="70"/>
      <c r="AXO127" s="70"/>
      <c r="AXP127" s="70"/>
      <c r="AXQ127" s="70"/>
      <c r="AXR127" s="70"/>
      <c r="AXS127" s="70"/>
      <c r="AXT127" s="70"/>
      <c r="AXU127" s="70"/>
      <c r="AXV127" s="70"/>
      <c r="AXW127" s="70"/>
      <c r="AXX127" s="70"/>
      <c r="AXY127" s="70"/>
      <c r="AXZ127" s="70"/>
      <c r="AYA127" s="70"/>
      <c r="AYB127" s="70"/>
      <c r="AYC127" s="70"/>
      <c r="AYD127" s="70"/>
      <c r="AYE127" s="70"/>
      <c r="AYF127" s="70"/>
      <c r="AYG127" s="70"/>
      <c r="AYH127" s="70"/>
      <c r="AYI127" s="70"/>
      <c r="AYJ127" s="70"/>
      <c r="AYK127" s="70"/>
      <c r="AYL127" s="70"/>
      <c r="AYM127" s="70"/>
      <c r="AYN127" s="70"/>
      <c r="AYO127" s="70"/>
      <c r="AYP127" s="70"/>
      <c r="AYQ127" s="70"/>
      <c r="AYR127" s="70"/>
      <c r="AYS127" s="70"/>
      <c r="AYT127" s="70"/>
      <c r="AYU127" s="70"/>
      <c r="AYV127" s="70"/>
      <c r="AYW127" s="70"/>
      <c r="AYX127" s="70"/>
      <c r="AYY127" s="70"/>
      <c r="AYZ127" s="70"/>
      <c r="AZA127" s="70"/>
      <c r="AZB127" s="70"/>
      <c r="AZC127" s="70"/>
      <c r="AZD127" s="70"/>
      <c r="AZE127" s="70"/>
      <c r="AZF127" s="70"/>
      <c r="AZG127" s="70"/>
      <c r="AZH127" s="70"/>
      <c r="AZI127" s="70"/>
      <c r="AZJ127" s="70"/>
      <c r="AZK127" s="70"/>
      <c r="AZL127" s="70"/>
      <c r="AZM127" s="70"/>
      <c r="AZN127" s="70"/>
      <c r="AZO127" s="70"/>
      <c r="AZP127" s="70"/>
      <c r="AZQ127" s="70"/>
      <c r="AZR127" s="70"/>
      <c r="AZS127" s="70"/>
      <c r="AZT127" s="70"/>
      <c r="AZU127" s="70"/>
      <c r="AZV127" s="70"/>
      <c r="AZW127" s="70"/>
      <c r="AZX127" s="70"/>
      <c r="AZY127" s="70"/>
      <c r="AZZ127" s="70"/>
      <c r="BAA127" s="70"/>
      <c r="BAB127" s="70"/>
      <c r="BAC127" s="70"/>
      <c r="BAD127" s="70"/>
      <c r="BAE127" s="70"/>
      <c r="BAF127" s="70"/>
      <c r="BAG127" s="70"/>
      <c r="BAH127" s="70"/>
      <c r="BAI127" s="70"/>
      <c r="BAJ127" s="70"/>
      <c r="BAK127" s="70"/>
      <c r="BAL127" s="70"/>
      <c r="BAM127" s="70"/>
      <c r="BAN127" s="70"/>
      <c r="BAO127" s="70"/>
      <c r="BAP127" s="70"/>
      <c r="BAQ127" s="70"/>
      <c r="BAR127" s="70"/>
      <c r="BAS127" s="70"/>
      <c r="BAT127" s="70"/>
      <c r="BAU127" s="70"/>
      <c r="BAV127" s="70"/>
      <c r="BAW127" s="70"/>
      <c r="BAX127" s="70"/>
      <c r="BAY127" s="70"/>
      <c r="BAZ127" s="70"/>
      <c r="BBA127" s="70"/>
      <c r="BBB127" s="70"/>
      <c r="BBC127" s="70"/>
      <c r="BBD127" s="70"/>
      <c r="BBE127" s="70"/>
      <c r="BBF127" s="70"/>
      <c r="BBG127" s="70"/>
      <c r="BBH127" s="70"/>
      <c r="BBI127" s="70"/>
      <c r="BBJ127" s="70"/>
      <c r="BBK127" s="70"/>
      <c r="BBL127" s="70"/>
      <c r="BBM127" s="70"/>
      <c r="BBN127" s="70"/>
      <c r="BBO127" s="70"/>
      <c r="BBP127" s="70"/>
      <c r="BBQ127" s="70"/>
      <c r="BBR127" s="70"/>
      <c r="BBS127" s="70"/>
      <c r="BBT127" s="70"/>
      <c r="BBU127" s="70"/>
      <c r="BBV127" s="70"/>
      <c r="BBW127" s="70"/>
      <c r="BBX127" s="70"/>
      <c r="BBY127" s="70"/>
      <c r="BBZ127" s="70"/>
      <c r="BCA127" s="70"/>
      <c r="BCB127" s="70"/>
      <c r="BCC127" s="70"/>
      <c r="BCD127" s="70"/>
      <c r="BCE127" s="70"/>
      <c r="BCF127" s="70"/>
      <c r="BCG127" s="70"/>
      <c r="BCH127" s="70"/>
      <c r="BCI127" s="70"/>
      <c r="BCJ127" s="70"/>
      <c r="BCK127" s="70"/>
      <c r="BCL127" s="70"/>
      <c r="BCM127" s="70"/>
      <c r="BCN127" s="70"/>
      <c r="BCO127" s="70"/>
      <c r="BCP127" s="70"/>
      <c r="BCQ127" s="70"/>
      <c r="BCR127" s="70"/>
      <c r="BCS127" s="70"/>
      <c r="BCT127" s="70"/>
      <c r="BCU127" s="70"/>
      <c r="BCV127" s="70"/>
      <c r="BCW127" s="70"/>
    </row>
    <row r="128" spans="1:1454" s="69" customFormat="1" ht="24.75" customHeight="1" x14ac:dyDescent="0.25">
      <c r="A128" s="50">
        <v>6</v>
      </c>
      <c r="B128" s="71" t="s">
        <v>229</v>
      </c>
      <c r="C128" s="71" t="s">
        <v>234</v>
      </c>
      <c r="D128" s="52">
        <v>936900</v>
      </c>
      <c r="E128" s="76" t="s">
        <v>35</v>
      </c>
      <c r="F128" s="71" t="s">
        <v>143</v>
      </c>
      <c r="G128" s="77" t="s">
        <v>504</v>
      </c>
      <c r="H128" s="77">
        <v>936900</v>
      </c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  <c r="BO128" s="70"/>
      <c r="BP128" s="70"/>
      <c r="BQ128" s="70"/>
      <c r="BR128" s="70"/>
      <c r="BS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70"/>
      <c r="CG128" s="70"/>
      <c r="CH128" s="70"/>
      <c r="CI128" s="70"/>
      <c r="CJ128" s="70"/>
      <c r="CK128" s="70"/>
      <c r="CL128" s="70"/>
      <c r="CM128" s="70"/>
      <c r="CN128" s="70"/>
      <c r="CO128" s="70"/>
      <c r="CP128" s="70"/>
      <c r="CQ128" s="70"/>
      <c r="CR128" s="70"/>
      <c r="CS128" s="70"/>
      <c r="CT128" s="70"/>
      <c r="CU128" s="70"/>
      <c r="CV128" s="70"/>
      <c r="CW128" s="70"/>
      <c r="CX128" s="70"/>
      <c r="CY128" s="70"/>
      <c r="CZ128" s="70"/>
      <c r="DA128" s="70"/>
      <c r="DB128" s="70"/>
      <c r="DC128" s="70"/>
      <c r="DD128" s="70"/>
      <c r="DE128" s="70"/>
      <c r="DF128" s="70"/>
      <c r="DG128" s="70"/>
      <c r="DH128" s="70"/>
      <c r="DI128" s="70"/>
      <c r="DJ128" s="70"/>
      <c r="DK128" s="70"/>
      <c r="DL128" s="70"/>
      <c r="DM128" s="70"/>
      <c r="DN128" s="70"/>
      <c r="DO128" s="70"/>
      <c r="DP128" s="70"/>
      <c r="DQ128" s="70"/>
      <c r="DR128" s="70"/>
      <c r="DS128" s="70"/>
      <c r="DT128" s="70"/>
      <c r="DU128" s="70"/>
      <c r="DV128" s="70"/>
      <c r="DW128" s="70"/>
      <c r="DX128" s="70"/>
      <c r="DY128" s="70"/>
      <c r="DZ128" s="70"/>
      <c r="EA128" s="70"/>
      <c r="EB128" s="70"/>
      <c r="EC128" s="70"/>
      <c r="ED128" s="70"/>
      <c r="EE128" s="70"/>
      <c r="EF128" s="70"/>
      <c r="EG128" s="70"/>
      <c r="EH128" s="70"/>
      <c r="EI128" s="70"/>
      <c r="EJ128" s="70"/>
      <c r="EK128" s="70"/>
      <c r="EL128" s="70"/>
      <c r="EM128" s="70"/>
      <c r="EN128" s="70"/>
      <c r="EO128" s="70"/>
      <c r="EP128" s="70"/>
      <c r="EQ128" s="70"/>
      <c r="ER128" s="70"/>
      <c r="ES128" s="70"/>
      <c r="ET128" s="70"/>
      <c r="EU128" s="70"/>
      <c r="EV128" s="70"/>
      <c r="EW128" s="70"/>
      <c r="EX128" s="70"/>
      <c r="EY128" s="70"/>
      <c r="EZ128" s="70"/>
      <c r="FA128" s="70"/>
      <c r="FB128" s="70"/>
      <c r="FC128" s="70"/>
      <c r="FD128" s="70"/>
      <c r="FE128" s="70"/>
      <c r="FF128" s="70"/>
      <c r="FG128" s="70"/>
      <c r="FH128" s="70"/>
      <c r="FI128" s="70"/>
      <c r="FJ128" s="70"/>
      <c r="FK128" s="70"/>
      <c r="FL128" s="70"/>
      <c r="FM128" s="70"/>
      <c r="FN128" s="70"/>
      <c r="FO128" s="70"/>
      <c r="FP128" s="70"/>
      <c r="FQ128" s="70"/>
      <c r="FR128" s="70"/>
      <c r="FS128" s="70"/>
      <c r="FT128" s="70"/>
      <c r="FU128" s="70"/>
      <c r="FV128" s="70"/>
      <c r="FW128" s="70"/>
      <c r="FX128" s="70"/>
      <c r="FY128" s="70"/>
      <c r="FZ128" s="70"/>
      <c r="GA128" s="70"/>
      <c r="GB128" s="70"/>
      <c r="GC128" s="70"/>
      <c r="GD128" s="70"/>
      <c r="GE128" s="70"/>
      <c r="GF128" s="70"/>
      <c r="GG128" s="70"/>
      <c r="GH128" s="70"/>
      <c r="GI128" s="70"/>
      <c r="GJ128" s="70"/>
      <c r="GK128" s="70"/>
      <c r="GL128" s="70"/>
      <c r="GM128" s="70"/>
      <c r="GN128" s="70"/>
      <c r="GO128" s="70"/>
      <c r="GP128" s="70"/>
      <c r="GQ128" s="70"/>
      <c r="GR128" s="70"/>
      <c r="GS128" s="70"/>
      <c r="GT128" s="70"/>
      <c r="GU128" s="70"/>
      <c r="GV128" s="70"/>
      <c r="GW128" s="70"/>
      <c r="GX128" s="70"/>
      <c r="GY128" s="70"/>
      <c r="GZ128" s="70"/>
      <c r="HA128" s="70"/>
      <c r="HB128" s="70"/>
      <c r="HC128" s="70"/>
      <c r="HD128" s="70"/>
      <c r="HE128" s="70"/>
      <c r="HF128" s="70"/>
      <c r="HG128" s="70"/>
      <c r="HH128" s="70"/>
      <c r="HI128" s="70"/>
      <c r="HJ128" s="70"/>
      <c r="HK128" s="70"/>
      <c r="HL128" s="70"/>
      <c r="HM128" s="70"/>
      <c r="HN128" s="70"/>
      <c r="HO128" s="70"/>
      <c r="HP128" s="70"/>
      <c r="HQ128" s="70"/>
      <c r="HR128" s="70"/>
      <c r="HS128" s="70"/>
      <c r="HT128" s="70"/>
      <c r="HU128" s="70"/>
      <c r="HV128" s="70"/>
      <c r="HW128" s="70"/>
      <c r="HX128" s="70"/>
      <c r="HY128" s="70"/>
      <c r="HZ128" s="70"/>
      <c r="IA128" s="70"/>
      <c r="IB128" s="70"/>
      <c r="IC128" s="70"/>
      <c r="ID128" s="70"/>
      <c r="IE128" s="70"/>
      <c r="IF128" s="70"/>
      <c r="IG128" s="70"/>
      <c r="IH128" s="70"/>
      <c r="II128" s="70"/>
      <c r="IJ128" s="70"/>
      <c r="IK128" s="70"/>
      <c r="IL128" s="70"/>
      <c r="IM128" s="70"/>
      <c r="IN128" s="70"/>
      <c r="IO128" s="70"/>
      <c r="IP128" s="70"/>
      <c r="IQ128" s="70"/>
      <c r="IR128" s="70"/>
      <c r="IS128" s="70"/>
      <c r="IT128" s="70"/>
      <c r="IU128" s="70"/>
      <c r="IV128" s="70"/>
      <c r="IW128" s="70"/>
      <c r="IX128" s="70"/>
      <c r="IY128" s="70"/>
      <c r="IZ128" s="70"/>
      <c r="JA128" s="70"/>
      <c r="JB128" s="70"/>
      <c r="JC128" s="70"/>
      <c r="JD128" s="70"/>
      <c r="JE128" s="70"/>
      <c r="JF128" s="70"/>
      <c r="JG128" s="70"/>
      <c r="JH128" s="70"/>
      <c r="JI128" s="70"/>
      <c r="JJ128" s="70"/>
      <c r="JK128" s="70"/>
      <c r="JL128" s="70"/>
      <c r="JM128" s="70"/>
      <c r="JN128" s="70"/>
      <c r="JO128" s="70"/>
      <c r="JP128" s="70"/>
      <c r="JQ128" s="70"/>
      <c r="JR128" s="70"/>
      <c r="JS128" s="70"/>
      <c r="JT128" s="70"/>
      <c r="JU128" s="70"/>
      <c r="JV128" s="70"/>
      <c r="JW128" s="70"/>
      <c r="JX128" s="70"/>
      <c r="JY128" s="70"/>
      <c r="JZ128" s="70"/>
      <c r="KA128" s="70"/>
      <c r="KB128" s="70"/>
      <c r="KC128" s="70"/>
      <c r="KD128" s="70"/>
      <c r="KE128" s="70"/>
      <c r="KF128" s="70"/>
      <c r="KG128" s="70"/>
      <c r="KH128" s="70"/>
      <c r="KI128" s="70"/>
      <c r="KJ128" s="70"/>
      <c r="KK128" s="70"/>
      <c r="KL128" s="70"/>
      <c r="KM128" s="70"/>
      <c r="KN128" s="70"/>
      <c r="KO128" s="70"/>
      <c r="KP128" s="70"/>
      <c r="KQ128" s="70"/>
      <c r="KR128" s="70"/>
      <c r="KS128" s="70"/>
      <c r="KT128" s="70"/>
      <c r="KU128" s="70"/>
      <c r="KV128" s="70"/>
      <c r="KW128" s="70"/>
      <c r="KX128" s="70"/>
      <c r="KY128" s="70"/>
      <c r="KZ128" s="70"/>
      <c r="LA128" s="70"/>
      <c r="LB128" s="70"/>
      <c r="LC128" s="70"/>
      <c r="LD128" s="70"/>
      <c r="LE128" s="70"/>
      <c r="LF128" s="70"/>
      <c r="LG128" s="70"/>
      <c r="LH128" s="70"/>
      <c r="LI128" s="70"/>
      <c r="LJ128" s="70"/>
      <c r="LK128" s="70"/>
      <c r="LL128" s="70"/>
      <c r="LM128" s="70"/>
      <c r="LN128" s="70"/>
      <c r="LO128" s="70"/>
      <c r="LP128" s="70"/>
      <c r="LQ128" s="70"/>
      <c r="LR128" s="70"/>
      <c r="LS128" s="70"/>
      <c r="LT128" s="70"/>
      <c r="LU128" s="70"/>
      <c r="LV128" s="70"/>
      <c r="LW128" s="70"/>
      <c r="LX128" s="70"/>
      <c r="LY128" s="70"/>
      <c r="LZ128" s="70"/>
      <c r="MA128" s="70"/>
      <c r="MB128" s="70"/>
      <c r="MC128" s="70"/>
      <c r="MD128" s="70"/>
      <c r="ME128" s="70"/>
      <c r="MF128" s="70"/>
      <c r="MG128" s="70"/>
      <c r="MH128" s="70"/>
      <c r="MI128" s="70"/>
      <c r="MJ128" s="70"/>
      <c r="MK128" s="70"/>
      <c r="ML128" s="70"/>
      <c r="MM128" s="70"/>
      <c r="MN128" s="70"/>
      <c r="MO128" s="70"/>
      <c r="MP128" s="70"/>
      <c r="MQ128" s="70"/>
      <c r="MR128" s="70"/>
      <c r="MS128" s="70"/>
      <c r="MT128" s="70"/>
      <c r="MU128" s="70"/>
      <c r="MV128" s="70"/>
      <c r="MW128" s="70"/>
      <c r="MX128" s="70"/>
      <c r="MY128" s="70"/>
      <c r="MZ128" s="70"/>
      <c r="NA128" s="70"/>
      <c r="NB128" s="70"/>
      <c r="NC128" s="70"/>
      <c r="ND128" s="70"/>
      <c r="NE128" s="70"/>
      <c r="NF128" s="70"/>
      <c r="NG128" s="70"/>
      <c r="NH128" s="70"/>
      <c r="NI128" s="70"/>
      <c r="NJ128" s="70"/>
      <c r="NK128" s="70"/>
      <c r="NL128" s="70"/>
      <c r="NM128" s="70"/>
      <c r="NN128" s="70"/>
      <c r="NO128" s="70"/>
      <c r="NP128" s="70"/>
      <c r="NQ128" s="70"/>
      <c r="NR128" s="70"/>
      <c r="NS128" s="70"/>
      <c r="NT128" s="70"/>
      <c r="NU128" s="70"/>
      <c r="NV128" s="70"/>
      <c r="NW128" s="70"/>
      <c r="NX128" s="70"/>
      <c r="NY128" s="70"/>
      <c r="NZ128" s="70"/>
      <c r="OA128" s="70"/>
      <c r="OB128" s="70"/>
      <c r="OC128" s="70"/>
      <c r="OD128" s="70"/>
      <c r="OE128" s="70"/>
      <c r="OF128" s="70"/>
      <c r="OG128" s="70"/>
      <c r="OH128" s="70"/>
      <c r="OI128" s="70"/>
      <c r="OJ128" s="70"/>
      <c r="OK128" s="70"/>
      <c r="OL128" s="70"/>
      <c r="OM128" s="70"/>
      <c r="ON128" s="70"/>
      <c r="OO128" s="70"/>
      <c r="OP128" s="70"/>
      <c r="OQ128" s="70"/>
      <c r="OR128" s="70"/>
      <c r="OS128" s="70"/>
      <c r="OT128" s="70"/>
      <c r="OU128" s="70"/>
      <c r="OV128" s="70"/>
      <c r="OW128" s="70"/>
      <c r="OX128" s="70"/>
      <c r="OY128" s="70"/>
      <c r="OZ128" s="70"/>
      <c r="PA128" s="70"/>
      <c r="PB128" s="70"/>
      <c r="PC128" s="70"/>
      <c r="PD128" s="70"/>
      <c r="PE128" s="70"/>
      <c r="PF128" s="70"/>
      <c r="PG128" s="70"/>
      <c r="PH128" s="70"/>
      <c r="PI128" s="70"/>
      <c r="PJ128" s="70"/>
      <c r="PK128" s="70"/>
      <c r="PL128" s="70"/>
      <c r="PM128" s="70"/>
      <c r="PN128" s="70"/>
      <c r="PO128" s="70"/>
      <c r="PP128" s="70"/>
      <c r="PQ128" s="70"/>
      <c r="PR128" s="70"/>
      <c r="PS128" s="70"/>
      <c r="PT128" s="70"/>
      <c r="PU128" s="70"/>
      <c r="PV128" s="70"/>
      <c r="PW128" s="70"/>
      <c r="PX128" s="70"/>
      <c r="PY128" s="70"/>
      <c r="PZ128" s="70"/>
      <c r="QA128" s="70"/>
      <c r="QB128" s="70"/>
      <c r="QC128" s="70"/>
      <c r="QD128" s="70"/>
      <c r="QE128" s="70"/>
      <c r="QF128" s="70"/>
      <c r="QG128" s="70"/>
      <c r="QH128" s="70"/>
      <c r="QI128" s="70"/>
      <c r="QJ128" s="70"/>
      <c r="QK128" s="70"/>
      <c r="QL128" s="70"/>
      <c r="QM128" s="70"/>
      <c r="QN128" s="70"/>
      <c r="QO128" s="70"/>
      <c r="QP128" s="70"/>
      <c r="QQ128" s="70"/>
      <c r="QR128" s="70"/>
      <c r="QS128" s="70"/>
      <c r="QT128" s="70"/>
      <c r="QU128" s="70"/>
      <c r="QV128" s="70"/>
      <c r="QW128" s="70"/>
      <c r="QX128" s="70"/>
      <c r="QY128" s="70"/>
      <c r="QZ128" s="70"/>
      <c r="RA128" s="70"/>
      <c r="RB128" s="70"/>
      <c r="RC128" s="70"/>
      <c r="RD128" s="70"/>
      <c r="RE128" s="70"/>
      <c r="RF128" s="70"/>
      <c r="RG128" s="70"/>
      <c r="RH128" s="70"/>
      <c r="RI128" s="70"/>
      <c r="RJ128" s="70"/>
      <c r="RK128" s="70"/>
      <c r="RL128" s="70"/>
      <c r="RM128" s="70"/>
      <c r="RN128" s="70"/>
      <c r="RO128" s="70"/>
      <c r="RP128" s="70"/>
      <c r="RQ128" s="70"/>
      <c r="RR128" s="70"/>
      <c r="RS128" s="70"/>
      <c r="RT128" s="70"/>
      <c r="RU128" s="70"/>
      <c r="RV128" s="70"/>
      <c r="RW128" s="70"/>
      <c r="RX128" s="70"/>
      <c r="RY128" s="70"/>
      <c r="RZ128" s="70"/>
      <c r="SA128" s="70"/>
      <c r="SB128" s="70"/>
      <c r="SC128" s="70"/>
      <c r="SD128" s="70"/>
      <c r="SE128" s="70"/>
      <c r="SF128" s="70"/>
      <c r="SG128" s="70"/>
      <c r="SH128" s="70"/>
      <c r="SI128" s="70"/>
      <c r="SJ128" s="70"/>
      <c r="SK128" s="70"/>
      <c r="SL128" s="70"/>
      <c r="SM128" s="70"/>
      <c r="SN128" s="70"/>
      <c r="SO128" s="70"/>
      <c r="SP128" s="70"/>
      <c r="SQ128" s="70"/>
      <c r="SR128" s="70"/>
      <c r="SS128" s="70"/>
      <c r="ST128" s="70"/>
      <c r="SU128" s="70"/>
      <c r="SV128" s="70"/>
      <c r="SW128" s="70"/>
      <c r="SX128" s="70"/>
      <c r="SY128" s="70"/>
      <c r="SZ128" s="70"/>
      <c r="TA128" s="70"/>
      <c r="TB128" s="70"/>
      <c r="TC128" s="70"/>
      <c r="TD128" s="70"/>
      <c r="TE128" s="70"/>
      <c r="TF128" s="70"/>
      <c r="TG128" s="70"/>
      <c r="TH128" s="70"/>
      <c r="TI128" s="70"/>
      <c r="TJ128" s="70"/>
      <c r="TK128" s="70"/>
      <c r="TL128" s="70"/>
      <c r="TM128" s="70"/>
      <c r="TN128" s="70"/>
      <c r="TO128" s="70"/>
      <c r="TP128" s="70"/>
      <c r="TQ128" s="70"/>
      <c r="TR128" s="70"/>
      <c r="TS128" s="70"/>
      <c r="TT128" s="70"/>
      <c r="TU128" s="70"/>
      <c r="TV128" s="70"/>
      <c r="TW128" s="70"/>
      <c r="TX128" s="70"/>
      <c r="TY128" s="70"/>
      <c r="TZ128" s="70"/>
      <c r="UA128" s="70"/>
      <c r="UB128" s="70"/>
      <c r="UC128" s="70"/>
      <c r="UD128" s="70"/>
      <c r="UE128" s="70"/>
      <c r="UF128" s="70"/>
      <c r="UG128" s="70"/>
      <c r="UH128" s="70"/>
      <c r="UI128" s="70"/>
      <c r="UJ128" s="70"/>
      <c r="UK128" s="70"/>
      <c r="UL128" s="70"/>
      <c r="UM128" s="70"/>
      <c r="UN128" s="70"/>
      <c r="UO128" s="70"/>
      <c r="UP128" s="70"/>
      <c r="UQ128" s="70"/>
      <c r="UR128" s="70"/>
      <c r="US128" s="70"/>
      <c r="UT128" s="70"/>
      <c r="UU128" s="70"/>
      <c r="UV128" s="70"/>
      <c r="UW128" s="70"/>
      <c r="UX128" s="70"/>
      <c r="UY128" s="70"/>
      <c r="UZ128" s="70"/>
      <c r="VA128" s="70"/>
      <c r="VB128" s="70"/>
      <c r="VC128" s="70"/>
      <c r="VD128" s="70"/>
      <c r="VE128" s="70"/>
      <c r="VF128" s="70"/>
      <c r="VG128" s="70"/>
      <c r="VH128" s="70"/>
      <c r="VI128" s="70"/>
      <c r="VJ128" s="70"/>
      <c r="VK128" s="70"/>
      <c r="VL128" s="70"/>
      <c r="VM128" s="70"/>
      <c r="VN128" s="70"/>
      <c r="VO128" s="70"/>
      <c r="VP128" s="70"/>
      <c r="VQ128" s="70"/>
      <c r="VR128" s="70"/>
      <c r="VS128" s="70"/>
      <c r="VT128" s="70"/>
      <c r="VU128" s="70"/>
      <c r="VV128" s="70"/>
      <c r="VW128" s="70"/>
      <c r="VX128" s="70"/>
      <c r="VY128" s="70"/>
      <c r="VZ128" s="70"/>
      <c r="WA128" s="70"/>
      <c r="WB128" s="70"/>
      <c r="WC128" s="70"/>
      <c r="WD128" s="70"/>
      <c r="WE128" s="70"/>
      <c r="WF128" s="70"/>
      <c r="WG128" s="70"/>
      <c r="WH128" s="70"/>
      <c r="WI128" s="70"/>
      <c r="WJ128" s="70"/>
      <c r="WK128" s="70"/>
      <c r="WL128" s="70"/>
      <c r="WM128" s="70"/>
      <c r="WN128" s="70"/>
      <c r="WO128" s="70"/>
      <c r="WP128" s="70"/>
      <c r="WQ128" s="70"/>
      <c r="WR128" s="70"/>
      <c r="WS128" s="70"/>
      <c r="WT128" s="70"/>
      <c r="WU128" s="70"/>
      <c r="WV128" s="70"/>
      <c r="WW128" s="70"/>
      <c r="WX128" s="70"/>
      <c r="WY128" s="70"/>
      <c r="WZ128" s="70"/>
      <c r="XA128" s="70"/>
      <c r="XB128" s="70"/>
      <c r="XC128" s="70"/>
      <c r="XD128" s="70"/>
      <c r="XE128" s="70"/>
      <c r="XF128" s="70"/>
      <c r="XG128" s="70"/>
      <c r="XH128" s="70"/>
      <c r="XI128" s="70"/>
      <c r="XJ128" s="70"/>
      <c r="XK128" s="70"/>
      <c r="XL128" s="70"/>
      <c r="XM128" s="70"/>
      <c r="XN128" s="70"/>
      <c r="XO128" s="70"/>
      <c r="XP128" s="70"/>
      <c r="XQ128" s="70"/>
      <c r="XR128" s="70"/>
      <c r="XS128" s="70"/>
      <c r="XT128" s="70"/>
      <c r="XU128" s="70"/>
      <c r="XV128" s="70"/>
      <c r="XW128" s="70"/>
      <c r="XX128" s="70"/>
      <c r="XY128" s="70"/>
      <c r="XZ128" s="70"/>
      <c r="YA128" s="70"/>
      <c r="YB128" s="70"/>
      <c r="YC128" s="70"/>
      <c r="YD128" s="70"/>
      <c r="YE128" s="70"/>
      <c r="YF128" s="70"/>
      <c r="YG128" s="70"/>
      <c r="YH128" s="70"/>
      <c r="YI128" s="70"/>
      <c r="YJ128" s="70"/>
      <c r="YK128" s="70"/>
      <c r="YL128" s="70"/>
      <c r="YM128" s="70"/>
      <c r="YN128" s="70"/>
      <c r="YO128" s="70"/>
      <c r="YP128" s="70"/>
      <c r="YQ128" s="70"/>
      <c r="YR128" s="70"/>
      <c r="YS128" s="70"/>
      <c r="YT128" s="70"/>
      <c r="YU128" s="70"/>
      <c r="YV128" s="70"/>
      <c r="YW128" s="70"/>
      <c r="YX128" s="70"/>
      <c r="YY128" s="70"/>
      <c r="YZ128" s="70"/>
      <c r="ZA128" s="70"/>
      <c r="ZB128" s="70"/>
      <c r="ZC128" s="70"/>
      <c r="ZD128" s="70"/>
      <c r="ZE128" s="70"/>
      <c r="ZF128" s="70"/>
      <c r="ZG128" s="70"/>
      <c r="ZH128" s="70"/>
      <c r="ZI128" s="70"/>
      <c r="ZJ128" s="70"/>
      <c r="ZK128" s="70"/>
      <c r="ZL128" s="70"/>
      <c r="ZM128" s="70"/>
      <c r="ZN128" s="70"/>
      <c r="ZO128" s="70"/>
      <c r="ZP128" s="70"/>
      <c r="ZQ128" s="70"/>
      <c r="ZR128" s="70"/>
      <c r="ZS128" s="70"/>
      <c r="ZT128" s="70"/>
      <c r="ZU128" s="70"/>
      <c r="ZV128" s="70"/>
      <c r="ZW128" s="70"/>
      <c r="ZX128" s="70"/>
      <c r="ZY128" s="70"/>
      <c r="ZZ128" s="70"/>
      <c r="AAA128" s="70"/>
      <c r="AAB128" s="70"/>
      <c r="AAC128" s="70"/>
      <c r="AAD128" s="70"/>
      <c r="AAE128" s="70"/>
      <c r="AAF128" s="70"/>
      <c r="AAG128" s="70"/>
      <c r="AAH128" s="70"/>
      <c r="AAI128" s="70"/>
      <c r="AAJ128" s="70"/>
      <c r="AAK128" s="70"/>
      <c r="AAL128" s="70"/>
      <c r="AAM128" s="70"/>
      <c r="AAN128" s="70"/>
      <c r="AAO128" s="70"/>
      <c r="AAP128" s="70"/>
      <c r="AAQ128" s="70"/>
      <c r="AAR128" s="70"/>
      <c r="AAS128" s="70"/>
      <c r="AAT128" s="70"/>
      <c r="AAU128" s="70"/>
      <c r="AAV128" s="70"/>
      <c r="AAW128" s="70"/>
      <c r="AAX128" s="70"/>
      <c r="AAY128" s="70"/>
      <c r="AAZ128" s="70"/>
      <c r="ABA128" s="70"/>
      <c r="ABB128" s="70"/>
      <c r="ABC128" s="70"/>
      <c r="ABD128" s="70"/>
      <c r="ABE128" s="70"/>
      <c r="ABF128" s="70"/>
      <c r="ABG128" s="70"/>
      <c r="ABH128" s="70"/>
      <c r="ABI128" s="70"/>
      <c r="ABJ128" s="70"/>
      <c r="ABK128" s="70"/>
      <c r="ABL128" s="70"/>
      <c r="ABM128" s="70"/>
      <c r="ABN128" s="70"/>
      <c r="ABO128" s="70"/>
      <c r="ABP128" s="70"/>
      <c r="ABQ128" s="70"/>
      <c r="ABR128" s="70"/>
      <c r="ABS128" s="70"/>
      <c r="ABT128" s="70"/>
      <c r="ABU128" s="70"/>
      <c r="ABV128" s="70"/>
      <c r="ABW128" s="70"/>
      <c r="ABX128" s="70"/>
      <c r="ABY128" s="70"/>
      <c r="ABZ128" s="70"/>
      <c r="ACA128" s="70"/>
      <c r="ACB128" s="70"/>
      <c r="ACC128" s="70"/>
      <c r="ACD128" s="70"/>
      <c r="ACE128" s="70"/>
      <c r="ACF128" s="70"/>
      <c r="ACG128" s="70"/>
      <c r="ACH128" s="70"/>
      <c r="ACI128" s="70"/>
      <c r="ACJ128" s="70"/>
      <c r="ACK128" s="70"/>
      <c r="ACL128" s="70"/>
      <c r="ACM128" s="70"/>
      <c r="ACN128" s="70"/>
      <c r="ACO128" s="70"/>
      <c r="ACP128" s="70"/>
      <c r="ACQ128" s="70"/>
      <c r="ACR128" s="70"/>
      <c r="ACS128" s="70"/>
      <c r="ACT128" s="70"/>
      <c r="ACU128" s="70"/>
      <c r="ACV128" s="70"/>
      <c r="ACW128" s="70"/>
      <c r="ACX128" s="70"/>
      <c r="ACY128" s="70"/>
      <c r="ACZ128" s="70"/>
      <c r="ADA128" s="70"/>
      <c r="ADB128" s="70"/>
      <c r="ADC128" s="70"/>
      <c r="ADD128" s="70"/>
      <c r="ADE128" s="70"/>
      <c r="ADF128" s="70"/>
      <c r="ADG128" s="70"/>
      <c r="ADH128" s="70"/>
      <c r="ADI128" s="70"/>
      <c r="ADJ128" s="70"/>
      <c r="ADK128" s="70"/>
      <c r="ADL128" s="70"/>
      <c r="ADM128" s="70"/>
      <c r="ADN128" s="70"/>
      <c r="ADO128" s="70"/>
      <c r="ADP128" s="70"/>
      <c r="ADQ128" s="70"/>
      <c r="ADR128" s="70"/>
      <c r="ADS128" s="70"/>
      <c r="ADT128" s="70"/>
      <c r="ADU128" s="70"/>
      <c r="ADV128" s="70"/>
      <c r="ADW128" s="70"/>
      <c r="ADX128" s="70"/>
      <c r="ADY128" s="70"/>
      <c r="ADZ128" s="70"/>
      <c r="AEA128" s="70"/>
      <c r="AEB128" s="70"/>
      <c r="AEC128" s="70"/>
      <c r="AED128" s="70"/>
      <c r="AEE128" s="70"/>
      <c r="AEF128" s="70"/>
      <c r="AEG128" s="70"/>
      <c r="AEH128" s="70"/>
      <c r="AEI128" s="70"/>
      <c r="AEJ128" s="70"/>
      <c r="AEK128" s="70"/>
      <c r="AEL128" s="70"/>
      <c r="AEM128" s="70"/>
      <c r="AEN128" s="70"/>
      <c r="AEO128" s="70"/>
      <c r="AEP128" s="70"/>
      <c r="AEQ128" s="70"/>
      <c r="AER128" s="70"/>
      <c r="AES128" s="70"/>
      <c r="AET128" s="70"/>
      <c r="AEU128" s="70"/>
      <c r="AEV128" s="70"/>
      <c r="AEW128" s="70"/>
      <c r="AEX128" s="70"/>
      <c r="AEY128" s="70"/>
      <c r="AEZ128" s="70"/>
      <c r="AFA128" s="70"/>
      <c r="AFB128" s="70"/>
      <c r="AFC128" s="70"/>
      <c r="AFD128" s="70"/>
      <c r="AFE128" s="70"/>
      <c r="AFF128" s="70"/>
      <c r="AFG128" s="70"/>
      <c r="AFH128" s="70"/>
      <c r="AFI128" s="70"/>
      <c r="AFJ128" s="70"/>
      <c r="AFK128" s="70"/>
      <c r="AFL128" s="70"/>
      <c r="AFM128" s="70"/>
      <c r="AFN128" s="70"/>
      <c r="AFO128" s="70"/>
      <c r="AFP128" s="70"/>
      <c r="AFQ128" s="70"/>
      <c r="AFR128" s="70"/>
      <c r="AFS128" s="70"/>
      <c r="AFT128" s="70"/>
      <c r="AFU128" s="70"/>
      <c r="AFV128" s="70"/>
      <c r="AFW128" s="70"/>
      <c r="AFX128" s="70"/>
      <c r="AFY128" s="70"/>
      <c r="AFZ128" s="70"/>
      <c r="AGA128" s="70"/>
      <c r="AGB128" s="70"/>
      <c r="AGC128" s="70"/>
      <c r="AGD128" s="70"/>
      <c r="AGE128" s="70"/>
      <c r="AGF128" s="70"/>
      <c r="AGG128" s="70"/>
      <c r="AGH128" s="70"/>
      <c r="AGI128" s="70"/>
      <c r="AGJ128" s="70"/>
      <c r="AGK128" s="70"/>
      <c r="AGL128" s="70"/>
      <c r="AGM128" s="70"/>
      <c r="AGN128" s="70"/>
      <c r="AGO128" s="70"/>
      <c r="AGP128" s="70"/>
      <c r="AGQ128" s="70"/>
      <c r="AGR128" s="70"/>
      <c r="AGS128" s="70"/>
      <c r="AGT128" s="70"/>
      <c r="AGU128" s="70"/>
      <c r="AGV128" s="70"/>
      <c r="AGW128" s="70"/>
      <c r="AGX128" s="70"/>
      <c r="AGY128" s="70"/>
      <c r="AGZ128" s="70"/>
      <c r="AHA128" s="70"/>
      <c r="AHB128" s="70"/>
      <c r="AHC128" s="70"/>
      <c r="AHD128" s="70"/>
      <c r="AHE128" s="70"/>
      <c r="AHF128" s="70"/>
      <c r="AHG128" s="70"/>
      <c r="AHH128" s="70"/>
      <c r="AHI128" s="70"/>
      <c r="AHJ128" s="70"/>
      <c r="AHK128" s="70"/>
      <c r="AHL128" s="70"/>
      <c r="AHM128" s="70"/>
      <c r="AHN128" s="70"/>
      <c r="AHO128" s="70"/>
      <c r="AHP128" s="70"/>
      <c r="AHQ128" s="70"/>
      <c r="AHR128" s="70"/>
      <c r="AHS128" s="70"/>
      <c r="AHT128" s="70"/>
      <c r="AHU128" s="70"/>
      <c r="AHV128" s="70"/>
      <c r="AHW128" s="70"/>
      <c r="AHX128" s="70"/>
      <c r="AHY128" s="70"/>
      <c r="AHZ128" s="70"/>
      <c r="AIA128" s="70"/>
      <c r="AIB128" s="70"/>
      <c r="AIC128" s="70"/>
      <c r="AID128" s="70"/>
      <c r="AIE128" s="70"/>
      <c r="AIF128" s="70"/>
      <c r="AIG128" s="70"/>
      <c r="AIH128" s="70"/>
      <c r="AII128" s="70"/>
      <c r="AIJ128" s="70"/>
      <c r="AIK128" s="70"/>
      <c r="AIL128" s="70"/>
      <c r="AIM128" s="70"/>
      <c r="AIN128" s="70"/>
      <c r="AIO128" s="70"/>
      <c r="AIP128" s="70"/>
      <c r="AIQ128" s="70"/>
      <c r="AIR128" s="70"/>
      <c r="AIS128" s="70"/>
      <c r="AIT128" s="70"/>
      <c r="AIU128" s="70"/>
      <c r="AIV128" s="70"/>
      <c r="AIW128" s="70"/>
      <c r="AIX128" s="70"/>
      <c r="AIY128" s="70"/>
      <c r="AIZ128" s="70"/>
      <c r="AJA128" s="70"/>
      <c r="AJB128" s="70"/>
      <c r="AJC128" s="70"/>
      <c r="AJD128" s="70"/>
      <c r="AJE128" s="70"/>
      <c r="AJF128" s="70"/>
      <c r="AJG128" s="70"/>
      <c r="AJH128" s="70"/>
      <c r="AJI128" s="70"/>
      <c r="AJJ128" s="70"/>
      <c r="AJK128" s="70"/>
      <c r="AJL128" s="70"/>
      <c r="AJM128" s="70"/>
      <c r="AJN128" s="70"/>
      <c r="AJO128" s="70"/>
      <c r="AJP128" s="70"/>
      <c r="AJQ128" s="70"/>
      <c r="AJR128" s="70"/>
      <c r="AJS128" s="70"/>
      <c r="AJT128" s="70"/>
      <c r="AJU128" s="70"/>
      <c r="AJV128" s="70"/>
      <c r="AJW128" s="70"/>
      <c r="AJX128" s="70"/>
      <c r="AJY128" s="70"/>
      <c r="AJZ128" s="70"/>
      <c r="AKA128" s="70"/>
      <c r="AKB128" s="70"/>
      <c r="AKC128" s="70"/>
      <c r="AKD128" s="70"/>
      <c r="AKE128" s="70"/>
      <c r="AKF128" s="70"/>
      <c r="AKG128" s="70"/>
      <c r="AKH128" s="70"/>
      <c r="AKI128" s="70"/>
      <c r="AKJ128" s="70"/>
      <c r="AKK128" s="70"/>
      <c r="AKL128" s="70"/>
      <c r="AKM128" s="70"/>
      <c r="AKN128" s="70"/>
      <c r="AKO128" s="70"/>
      <c r="AKP128" s="70"/>
      <c r="AKQ128" s="70"/>
      <c r="AKR128" s="70"/>
      <c r="AKS128" s="70"/>
      <c r="AKT128" s="70"/>
      <c r="AKU128" s="70"/>
      <c r="AKV128" s="70"/>
      <c r="AKW128" s="70"/>
      <c r="AKX128" s="70"/>
      <c r="AKY128" s="70"/>
      <c r="AKZ128" s="70"/>
      <c r="ALA128" s="70"/>
      <c r="ALB128" s="70"/>
      <c r="ALC128" s="70"/>
      <c r="ALD128" s="70"/>
      <c r="ALE128" s="70"/>
      <c r="ALF128" s="70"/>
      <c r="ALG128" s="70"/>
      <c r="ALH128" s="70"/>
      <c r="ALI128" s="70"/>
      <c r="ALJ128" s="70"/>
      <c r="ALK128" s="70"/>
      <c r="ALL128" s="70"/>
      <c r="ALM128" s="70"/>
      <c r="ALN128" s="70"/>
      <c r="ALO128" s="70"/>
      <c r="ALP128" s="70"/>
      <c r="ALQ128" s="70"/>
      <c r="ALR128" s="70"/>
      <c r="ALS128" s="70"/>
      <c r="ALT128" s="70"/>
      <c r="ALU128" s="70"/>
      <c r="ALV128" s="70"/>
      <c r="ALW128" s="70"/>
      <c r="ALX128" s="70"/>
      <c r="ALY128" s="70"/>
      <c r="ALZ128" s="70"/>
      <c r="AMA128" s="70"/>
      <c r="AMB128" s="70"/>
      <c r="AMC128" s="70"/>
      <c r="AMD128" s="70"/>
      <c r="AME128" s="70"/>
      <c r="AMF128" s="70"/>
      <c r="AMG128" s="70"/>
      <c r="AMH128" s="70"/>
      <c r="AMI128" s="70"/>
      <c r="AMJ128" s="70"/>
      <c r="AMK128" s="70"/>
      <c r="AML128" s="70"/>
      <c r="AMM128" s="70"/>
      <c r="AMN128" s="70"/>
      <c r="AMO128" s="70"/>
      <c r="AMP128" s="70"/>
      <c r="AMQ128" s="70"/>
      <c r="AMR128" s="70"/>
      <c r="AMS128" s="70"/>
      <c r="AMT128" s="70"/>
      <c r="AMU128" s="70"/>
      <c r="AMV128" s="70"/>
      <c r="AMW128" s="70"/>
      <c r="AMX128" s="70"/>
      <c r="AMY128" s="70"/>
      <c r="AMZ128" s="70"/>
      <c r="ANA128" s="70"/>
      <c r="ANB128" s="70"/>
      <c r="ANC128" s="70"/>
      <c r="AND128" s="70"/>
      <c r="ANE128" s="70"/>
      <c r="ANF128" s="70"/>
      <c r="ANG128" s="70"/>
      <c r="ANH128" s="70"/>
      <c r="ANI128" s="70"/>
      <c r="ANJ128" s="70"/>
      <c r="ANK128" s="70"/>
      <c r="ANL128" s="70"/>
      <c r="ANM128" s="70"/>
      <c r="ANN128" s="70"/>
      <c r="ANO128" s="70"/>
      <c r="ANP128" s="70"/>
      <c r="ANQ128" s="70"/>
      <c r="ANR128" s="70"/>
      <c r="ANS128" s="70"/>
      <c r="ANT128" s="70"/>
      <c r="ANU128" s="70"/>
      <c r="ANV128" s="70"/>
      <c r="ANW128" s="70"/>
      <c r="ANX128" s="70"/>
      <c r="ANY128" s="70"/>
      <c r="ANZ128" s="70"/>
      <c r="AOA128" s="70"/>
      <c r="AOB128" s="70"/>
      <c r="AOC128" s="70"/>
      <c r="AOD128" s="70"/>
      <c r="AOE128" s="70"/>
      <c r="AOF128" s="70"/>
      <c r="AOG128" s="70"/>
      <c r="AOH128" s="70"/>
      <c r="AOI128" s="70"/>
      <c r="AOJ128" s="70"/>
      <c r="AOK128" s="70"/>
      <c r="AOL128" s="70"/>
      <c r="AOM128" s="70"/>
      <c r="AON128" s="70"/>
      <c r="AOO128" s="70"/>
      <c r="AOP128" s="70"/>
      <c r="AOQ128" s="70"/>
      <c r="AOR128" s="70"/>
      <c r="AOS128" s="70"/>
      <c r="AOT128" s="70"/>
      <c r="AOU128" s="70"/>
      <c r="AOV128" s="70"/>
      <c r="AOW128" s="70"/>
      <c r="AOX128" s="70"/>
      <c r="AOY128" s="70"/>
      <c r="AOZ128" s="70"/>
      <c r="APA128" s="70"/>
      <c r="APB128" s="70"/>
      <c r="APC128" s="70"/>
      <c r="APD128" s="70"/>
      <c r="APE128" s="70"/>
      <c r="APF128" s="70"/>
      <c r="APG128" s="70"/>
      <c r="APH128" s="70"/>
      <c r="API128" s="70"/>
      <c r="APJ128" s="70"/>
      <c r="APK128" s="70"/>
      <c r="APL128" s="70"/>
      <c r="APM128" s="70"/>
      <c r="APN128" s="70"/>
      <c r="APO128" s="70"/>
      <c r="APP128" s="70"/>
      <c r="APQ128" s="70"/>
      <c r="APR128" s="70"/>
      <c r="APS128" s="70"/>
      <c r="APT128" s="70"/>
      <c r="APU128" s="70"/>
      <c r="APV128" s="70"/>
      <c r="APW128" s="70"/>
      <c r="APX128" s="70"/>
      <c r="APY128" s="70"/>
      <c r="APZ128" s="70"/>
      <c r="AQA128" s="70"/>
      <c r="AQB128" s="70"/>
      <c r="AQC128" s="70"/>
      <c r="AQD128" s="70"/>
      <c r="AQE128" s="70"/>
      <c r="AQF128" s="70"/>
      <c r="AQG128" s="70"/>
      <c r="AQH128" s="70"/>
      <c r="AQI128" s="70"/>
      <c r="AQJ128" s="70"/>
      <c r="AQK128" s="70"/>
      <c r="AQL128" s="70"/>
      <c r="AQM128" s="70"/>
      <c r="AQN128" s="70"/>
      <c r="AQO128" s="70"/>
      <c r="AQP128" s="70"/>
      <c r="AQQ128" s="70"/>
      <c r="AQR128" s="70"/>
      <c r="AQS128" s="70"/>
      <c r="AQT128" s="70"/>
      <c r="AQU128" s="70"/>
      <c r="AQV128" s="70"/>
      <c r="AQW128" s="70"/>
      <c r="AQX128" s="70"/>
      <c r="AQY128" s="70"/>
      <c r="AQZ128" s="70"/>
      <c r="ARA128" s="70"/>
      <c r="ARB128" s="70"/>
      <c r="ARC128" s="70"/>
      <c r="ARD128" s="70"/>
      <c r="ARE128" s="70"/>
      <c r="ARF128" s="70"/>
      <c r="ARG128" s="70"/>
      <c r="ARH128" s="70"/>
      <c r="ARI128" s="70"/>
      <c r="ARJ128" s="70"/>
      <c r="ARK128" s="70"/>
      <c r="ARL128" s="70"/>
      <c r="ARM128" s="70"/>
      <c r="ARN128" s="70"/>
      <c r="ARO128" s="70"/>
      <c r="ARP128" s="70"/>
      <c r="ARQ128" s="70"/>
      <c r="ARR128" s="70"/>
      <c r="ARS128" s="70"/>
      <c r="ART128" s="70"/>
      <c r="ARU128" s="70"/>
      <c r="ARV128" s="70"/>
      <c r="ARW128" s="70"/>
      <c r="ARX128" s="70"/>
      <c r="ARY128" s="70"/>
      <c r="ARZ128" s="70"/>
      <c r="ASA128" s="70"/>
      <c r="ASB128" s="70"/>
      <c r="ASC128" s="70"/>
      <c r="ASD128" s="70"/>
      <c r="ASE128" s="70"/>
      <c r="ASF128" s="70"/>
      <c r="ASG128" s="70"/>
      <c r="ASH128" s="70"/>
      <c r="ASI128" s="70"/>
      <c r="ASJ128" s="70"/>
      <c r="ASK128" s="70"/>
      <c r="ASL128" s="70"/>
      <c r="ASM128" s="70"/>
      <c r="ASN128" s="70"/>
      <c r="ASO128" s="70"/>
      <c r="ASP128" s="70"/>
      <c r="ASQ128" s="70"/>
      <c r="ASR128" s="70"/>
      <c r="ASS128" s="70"/>
      <c r="AST128" s="70"/>
      <c r="ASU128" s="70"/>
      <c r="ASV128" s="70"/>
      <c r="ASW128" s="70"/>
      <c r="ASX128" s="70"/>
      <c r="ASY128" s="70"/>
      <c r="ASZ128" s="70"/>
      <c r="ATA128" s="70"/>
      <c r="ATB128" s="70"/>
      <c r="ATC128" s="70"/>
      <c r="ATD128" s="70"/>
      <c r="ATE128" s="70"/>
      <c r="ATF128" s="70"/>
      <c r="ATG128" s="70"/>
      <c r="ATH128" s="70"/>
      <c r="ATI128" s="70"/>
      <c r="ATJ128" s="70"/>
      <c r="ATK128" s="70"/>
      <c r="ATL128" s="70"/>
      <c r="ATM128" s="70"/>
      <c r="ATN128" s="70"/>
      <c r="ATO128" s="70"/>
      <c r="ATP128" s="70"/>
      <c r="ATQ128" s="70"/>
      <c r="ATR128" s="70"/>
      <c r="ATS128" s="70"/>
      <c r="ATT128" s="70"/>
      <c r="ATU128" s="70"/>
      <c r="ATV128" s="70"/>
      <c r="ATW128" s="70"/>
      <c r="ATX128" s="70"/>
      <c r="ATY128" s="70"/>
      <c r="ATZ128" s="70"/>
      <c r="AUA128" s="70"/>
      <c r="AUB128" s="70"/>
      <c r="AUC128" s="70"/>
      <c r="AUD128" s="70"/>
      <c r="AUE128" s="70"/>
      <c r="AUF128" s="70"/>
      <c r="AUG128" s="70"/>
      <c r="AUH128" s="70"/>
      <c r="AUI128" s="70"/>
      <c r="AUJ128" s="70"/>
      <c r="AUK128" s="70"/>
      <c r="AUL128" s="70"/>
      <c r="AUM128" s="70"/>
      <c r="AUN128" s="70"/>
      <c r="AUO128" s="70"/>
      <c r="AUP128" s="70"/>
      <c r="AUQ128" s="70"/>
      <c r="AUR128" s="70"/>
      <c r="AUS128" s="70"/>
      <c r="AUT128" s="70"/>
      <c r="AUU128" s="70"/>
      <c r="AUV128" s="70"/>
      <c r="AUW128" s="70"/>
      <c r="AUX128" s="70"/>
      <c r="AUY128" s="70"/>
      <c r="AUZ128" s="70"/>
      <c r="AVA128" s="70"/>
      <c r="AVB128" s="70"/>
      <c r="AVC128" s="70"/>
      <c r="AVD128" s="70"/>
      <c r="AVE128" s="70"/>
      <c r="AVF128" s="70"/>
      <c r="AVG128" s="70"/>
      <c r="AVH128" s="70"/>
      <c r="AVI128" s="70"/>
      <c r="AVJ128" s="70"/>
      <c r="AVK128" s="70"/>
      <c r="AVL128" s="70"/>
      <c r="AVM128" s="70"/>
      <c r="AVN128" s="70"/>
      <c r="AVO128" s="70"/>
      <c r="AVP128" s="70"/>
      <c r="AVQ128" s="70"/>
      <c r="AVR128" s="70"/>
      <c r="AVS128" s="70"/>
      <c r="AVT128" s="70"/>
      <c r="AVU128" s="70"/>
      <c r="AVV128" s="70"/>
      <c r="AVW128" s="70"/>
      <c r="AVX128" s="70"/>
      <c r="AVY128" s="70"/>
      <c r="AVZ128" s="70"/>
      <c r="AWA128" s="70"/>
      <c r="AWB128" s="70"/>
      <c r="AWC128" s="70"/>
      <c r="AWD128" s="70"/>
      <c r="AWE128" s="70"/>
      <c r="AWF128" s="70"/>
      <c r="AWG128" s="70"/>
      <c r="AWH128" s="70"/>
      <c r="AWI128" s="70"/>
      <c r="AWJ128" s="70"/>
      <c r="AWK128" s="70"/>
      <c r="AWL128" s="70"/>
      <c r="AWM128" s="70"/>
      <c r="AWN128" s="70"/>
      <c r="AWO128" s="70"/>
      <c r="AWP128" s="70"/>
      <c r="AWQ128" s="70"/>
      <c r="AWR128" s="70"/>
      <c r="AWS128" s="70"/>
      <c r="AWT128" s="70"/>
      <c r="AWU128" s="70"/>
      <c r="AWV128" s="70"/>
      <c r="AWW128" s="70"/>
      <c r="AWX128" s="70"/>
      <c r="AWY128" s="70"/>
      <c r="AWZ128" s="70"/>
      <c r="AXA128" s="70"/>
      <c r="AXB128" s="70"/>
      <c r="AXC128" s="70"/>
      <c r="AXD128" s="70"/>
      <c r="AXE128" s="70"/>
      <c r="AXF128" s="70"/>
      <c r="AXG128" s="70"/>
      <c r="AXH128" s="70"/>
      <c r="AXI128" s="70"/>
      <c r="AXJ128" s="70"/>
      <c r="AXK128" s="70"/>
      <c r="AXL128" s="70"/>
      <c r="AXM128" s="70"/>
      <c r="AXN128" s="70"/>
      <c r="AXO128" s="70"/>
      <c r="AXP128" s="70"/>
      <c r="AXQ128" s="70"/>
      <c r="AXR128" s="70"/>
      <c r="AXS128" s="70"/>
      <c r="AXT128" s="70"/>
      <c r="AXU128" s="70"/>
      <c r="AXV128" s="70"/>
      <c r="AXW128" s="70"/>
      <c r="AXX128" s="70"/>
      <c r="AXY128" s="70"/>
      <c r="AXZ128" s="70"/>
      <c r="AYA128" s="70"/>
      <c r="AYB128" s="70"/>
      <c r="AYC128" s="70"/>
      <c r="AYD128" s="70"/>
      <c r="AYE128" s="70"/>
      <c r="AYF128" s="70"/>
      <c r="AYG128" s="70"/>
      <c r="AYH128" s="70"/>
      <c r="AYI128" s="70"/>
      <c r="AYJ128" s="70"/>
      <c r="AYK128" s="70"/>
      <c r="AYL128" s="70"/>
      <c r="AYM128" s="70"/>
      <c r="AYN128" s="70"/>
      <c r="AYO128" s="70"/>
      <c r="AYP128" s="70"/>
      <c r="AYQ128" s="70"/>
      <c r="AYR128" s="70"/>
      <c r="AYS128" s="70"/>
      <c r="AYT128" s="70"/>
      <c r="AYU128" s="70"/>
      <c r="AYV128" s="70"/>
      <c r="AYW128" s="70"/>
      <c r="AYX128" s="70"/>
      <c r="AYY128" s="70"/>
      <c r="AYZ128" s="70"/>
      <c r="AZA128" s="70"/>
      <c r="AZB128" s="70"/>
      <c r="AZC128" s="70"/>
      <c r="AZD128" s="70"/>
      <c r="AZE128" s="70"/>
      <c r="AZF128" s="70"/>
      <c r="AZG128" s="70"/>
      <c r="AZH128" s="70"/>
      <c r="AZI128" s="70"/>
      <c r="AZJ128" s="70"/>
      <c r="AZK128" s="70"/>
      <c r="AZL128" s="70"/>
      <c r="AZM128" s="70"/>
      <c r="AZN128" s="70"/>
      <c r="AZO128" s="70"/>
      <c r="AZP128" s="70"/>
      <c r="AZQ128" s="70"/>
      <c r="AZR128" s="70"/>
      <c r="AZS128" s="70"/>
      <c r="AZT128" s="70"/>
      <c r="AZU128" s="70"/>
      <c r="AZV128" s="70"/>
      <c r="AZW128" s="70"/>
      <c r="AZX128" s="70"/>
      <c r="AZY128" s="70"/>
      <c r="AZZ128" s="70"/>
      <c r="BAA128" s="70"/>
      <c r="BAB128" s="70"/>
      <c r="BAC128" s="70"/>
      <c r="BAD128" s="70"/>
      <c r="BAE128" s="70"/>
      <c r="BAF128" s="70"/>
      <c r="BAG128" s="70"/>
      <c r="BAH128" s="70"/>
      <c r="BAI128" s="70"/>
      <c r="BAJ128" s="70"/>
      <c r="BAK128" s="70"/>
      <c r="BAL128" s="70"/>
      <c r="BAM128" s="70"/>
      <c r="BAN128" s="70"/>
      <c r="BAO128" s="70"/>
      <c r="BAP128" s="70"/>
      <c r="BAQ128" s="70"/>
      <c r="BAR128" s="70"/>
      <c r="BAS128" s="70"/>
      <c r="BAT128" s="70"/>
      <c r="BAU128" s="70"/>
      <c r="BAV128" s="70"/>
      <c r="BAW128" s="70"/>
      <c r="BAX128" s="70"/>
      <c r="BAY128" s="70"/>
      <c r="BAZ128" s="70"/>
      <c r="BBA128" s="70"/>
      <c r="BBB128" s="70"/>
      <c r="BBC128" s="70"/>
      <c r="BBD128" s="70"/>
      <c r="BBE128" s="70"/>
      <c r="BBF128" s="70"/>
      <c r="BBG128" s="70"/>
      <c r="BBH128" s="70"/>
      <c r="BBI128" s="70"/>
      <c r="BBJ128" s="70"/>
      <c r="BBK128" s="70"/>
      <c r="BBL128" s="70"/>
      <c r="BBM128" s="70"/>
      <c r="BBN128" s="70"/>
      <c r="BBO128" s="70"/>
      <c r="BBP128" s="70"/>
      <c r="BBQ128" s="70"/>
      <c r="BBR128" s="70"/>
      <c r="BBS128" s="70"/>
      <c r="BBT128" s="70"/>
      <c r="BBU128" s="70"/>
      <c r="BBV128" s="70"/>
      <c r="BBW128" s="70"/>
      <c r="BBX128" s="70"/>
      <c r="BBY128" s="70"/>
      <c r="BBZ128" s="70"/>
      <c r="BCA128" s="70"/>
      <c r="BCB128" s="70"/>
      <c r="BCC128" s="70"/>
      <c r="BCD128" s="70"/>
      <c r="BCE128" s="70"/>
      <c r="BCF128" s="70"/>
      <c r="BCG128" s="70"/>
      <c r="BCH128" s="70"/>
      <c r="BCI128" s="70"/>
      <c r="BCJ128" s="70"/>
      <c r="BCK128" s="70"/>
      <c r="BCL128" s="70"/>
      <c r="BCM128" s="70"/>
      <c r="BCN128" s="70"/>
      <c r="BCO128" s="70"/>
      <c r="BCP128" s="70"/>
      <c r="BCQ128" s="70"/>
      <c r="BCR128" s="70"/>
      <c r="BCS128" s="70"/>
      <c r="BCT128" s="70"/>
      <c r="BCU128" s="70"/>
      <c r="BCV128" s="70"/>
      <c r="BCW128" s="70"/>
    </row>
    <row r="129" spans="1:1453" s="69" customFormat="1" ht="49.5" customHeight="1" x14ac:dyDescent="0.25">
      <c r="A129" s="50">
        <v>7</v>
      </c>
      <c r="B129" s="73" t="s">
        <v>226</v>
      </c>
      <c r="C129" s="73" t="s">
        <v>227</v>
      </c>
      <c r="D129" s="52">
        <v>12888350</v>
      </c>
      <c r="E129" s="72" t="s">
        <v>56</v>
      </c>
      <c r="F129" s="73" t="s">
        <v>144</v>
      </c>
      <c r="G129" s="73" t="s">
        <v>505</v>
      </c>
      <c r="H129" s="77">
        <v>12888350</v>
      </c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  <c r="BR129" s="70"/>
      <c r="BS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70"/>
      <c r="CG129" s="70"/>
      <c r="CH129" s="70"/>
      <c r="CI129" s="70"/>
      <c r="CJ129" s="70"/>
      <c r="CK129" s="70"/>
      <c r="CL129" s="70"/>
      <c r="CM129" s="70"/>
      <c r="CN129" s="70"/>
      <c r="CO129" s="70"/>
      <c r="CP129" s="70"/>
      <c r="CQ129" s="70"/>
      <c r="CR129" s="70"/>
      <c r="CS129" s="70"/>
      <c r="CT129" s="70"/>
      <c r="CU129" s="70"/>
      <c r="CV129" s="70"/>
      <c r="CW129" s="70"/>
      <c r="CX129" s="70"/>
      <c r="CY129" s="70"/>
      <c r="CZ129" s="70"/>
      <c r="DA129" s="70"/>
      <c r="DB129" s="70"/>
      <c r="DC129" s="70"/>
      <c r="DD129" s="70"/>
      <c r="DE129" s="70"/>
      <c r="DF129" s="70"/>
      <c r="DG129" s="70"/>
      <c r="DH129" s="70"/>
      <c r="DI129" s="70"/>
      <c r="DJ129" s="70"/>
      <c r="DK129" s="70"/>
      <c r="DL129" s="70"/>
      <c r="DM129" s="70"/>
      <c r="DN129" s="70"/>
      <c r="DO129" s="70"/>
      <c r="DP129" s="70"/>
      <c r="DQ129" s="70"/>
      <c r="DR129" s="70"/>
      <c r="DS129" s="70"/>
      <c r="DT129" s="70"/>
      <c r="DU129" s="70"/>
      <c r="DV129" s="70"/>
      <c r="DW129" s="70"/>
      <c r="DX129" s="70"/>
      <c r="DY129" s="70"/>
      <c r="DZ129" s="70"/>
      <c r="EA129" s="70"/>
      <c r="EB129" s="70"/>
      <c r="EC129" s="70"/>
      <c r="ED129" s="70"/>
      <c r="EE129" s="70"/>
      <c r="EF129" s="70"/>
      <c r="EG129" s="70"/>
      <c r="EH129" s="70"/>
      <c r="EI129" s="70"/>
      <c r="EJ129" s="70"/>
      <c r="EK129" s="70"/>
      <c r="EL129" s="70"/>
      <c r="EM129" s="70"/>
      <c r="EN129" s="70"/>
      <c r="EO129" s="70"/>
      <c r="EP129" s="70"/>
      <c r="EQ129" s="70"/>
      <c r="ER129" s="70"/>
      <c r="ES129" s="70"/>
      <c r="ET129" s="70"/>
      <c r="EU129" s="70"/>
      <c r="EV129" s="70"/>
      <c r="EW129" s="70"/>
      <c r="EX129" s="70"/>
      <c r="EY129" s="70"/>
      <c r="EZ129" s="70"/>
      <c r="FA129" s="70"/>
      <c r="FB129" s="70"/>
      <c r="FC129" s="70"/>
      <c r="FD129" s="70"/>
      <c r="FE129" s="70"/>
      <c r="FF129" s="70"/>
      <c r="FG129" s="70"/>
      <c r="FH129" s="70"/>
      <c r="FI129" s="70"/>
      <c r="FJ129" s="70"/>
      <c r="FK129" s="70"/>
      <c r="FL129" s="70"/>
      <c r="FM129" s="70"/>
      <c r="FN129" s="70"/>
      <c r="FO129" s="70"/>
      <c r="FP129" s="70"/>
      <c r="FQ129" s="70"/>
      <c r="FR129" s="70"/>
      <c r="FS129" s="70"/>
      <c r="FT129" s="70"/>
      <c r="FU129" s="70"/>
      <c r="FV129" s="70"/>
      <c r="FW129" s="70"/>
      <c r="FX129" s="70"/>
      <c r="FY129" s="70"/>
      <c r="FZ129" s="70"/>
      <c r="GA129" s="70"/>
      <c r="GB129" s="70"/>
      <c r="GC129" s="70"/>
      <c r="GD129" s="70"/>
      <c r="GE129" s="70"/>
      <c r="GF129" s="70"/>
      <c r="GG129" s="70"/>
      <c r="GH129" s="70"/>
      <c r="GI129" s="70"/>
      <c r="GJ129" s="70"/>
      <c r="GK129" s="70"/>
      <c r="GL129" s="70"/>
      <c r="GM129" s="70"/>
      <c r="GN129" s="70"/>
      <c r="GO129" s="70"/>
      <c r="GP129" s="70"/>
      <c r="GQ129" s="70"/>
      <c r="GR129" s="70"/>
      <c r="GS129" s="70"/>
      <c r="GT129" s="70"/>
      <c r="GU129" s="70"/>
      <c r="GV129" s="70"/>
      <c r="GW129" s="70"/>
      <c r="GX129" s="70"/>
      <c r="GY129" s="70"/>
      <c r="GZ129" s="70"/>
      <c r="HA129" s="70"/>
      <c r="HB129" s="70"/>
      <c r="HC129" s="70"/>
      <c r="HD129" s="70"/>
      <c r="HE129" s="70"/>
      <c r="HF129" s="70"/>
      <c r="HG129" s="70"/>
      <c r="HH129" s="70"/>
      <c r="HI129" s="70"/>
      <c r="HJ129" s="70"/>
      <c r="HK129" s="70"/>
      <c r="HL129" s="70"/>
      <c r="HM129" s="70"/>
      <c r="HN129" s="70"/>
      <c r="HO129" s="70"/>
      <c r="HP129" s="70"/>
      <c r="HQ129" s="70"/>
      <c r="HR129" s="70"/>
      <c r="HS129" s="70"/>
      <c r="HT129" s="70"/>
      <c r="HU129" s="70"/>
      <c r="HV129" s="70"/>
      <c r="HW129" s="70"/>
      <c r="HX129" s="70"/>
      <c r="HY129" s="70"/>
      <c r="HZ129" s="70"/>
      <c r="IA129" s="70"/>
      <c r="IB129" s="70"/>
      <c r="IC129" s="70"/>
      <c r="ID129" s="70"/>
      <c r="IE129" s="70"/>
      <c r="IF129" s="70"/>
      <c r="IG129" s="70"/>
      <c r="IH129" s="70"/>
      <c r="II129" s="70"/>
      <c r="IJ129" s="70"/>
      <c r="IK129" s="70"/>
      <c r="IL129" s="70"/>
      <c r="IM129" s="70"/>
      <c r="IN129" s="70"/>
      <c r="IO129" s="70"/>
      <c r="IP129" s="70"/>
      <c r="IQ129" s="70"/>
      <c r="IR129" s="70"/>
      <c r="IS129" s="70"/>
      <c r="IT129" s="70"/>
      <c r="IU129" s="70"/>
      <c r="IV129" s="70"/>
      <c r="IW129" s="70"/>
      <c r="IX129" s="70"/>
      <c r="IY129" s="70"/>
      <c r="IZ129" s="70"/>
      <c r="JA129" s="70"/>
      <c r="JB129" s="70"/>
      <c r="JC129" s="70"/>
      <c r="JD129" s="70"/>
      <c r="JE129" s="70"/>
      <c r="JF129" s="70"/>
      <c r="JG129" s="70"/>
      <c r="JH129" s="70"/>
      <c r="JI129" s="70"/>
      <c r="JJ129" s="70"/>
      <c r="JK129" s="70"/>
      <c r="JL129" s="70"/>
      <c r="JM129" s="70"/>
      <c r="JN129" s="70"/>
      <c r="JO129" s="70"/>
      <c r="JP129" s="70"/>
      <c r="JQ129" s="70"/>
      <c r="JR129" s="70"/>
      <c r="JS129" s="70"/>
      <c r="JT129" s="70"/>
      <c r="JU129" s="70"/>
      <c r="JV129" s="70"/>
      <c r="JW129" s="70"/>
      <c r="JX129" s="70"/>
      <c r="JY129" s="70"/>
      <c r="JZ129" s="70"/>
      <c r="KA129" s="70"/>
      <c r="KB129" s="70"/>
      <c r="KC129" s="70"/>
      <c r="KD129" s="70"/>
      <c r="KE129" s="70"/>
      <c r="KF129" s="70"/>
      <c r="KG129" s="70"/>
      <c r="KH129" s="70"/>
      <c r="KI129" s="70"/>
      <c r="KJ129" s="70"/>
      <c r="KK129" s="70"/>
      <c r="KL129" s="70"/>
      <c r="KM129" s="70"/>
      <c r="KN129" s="70"/>
      <c r="KO129" s="70"/>
      <c r="KP129" s="70"/>
      <c r="KQ129" s="70"/>
      <c r="KR129" s="70"/>
      <c r="KS129" s="70"/>
      <c r="KT129" s="70"/>
      <c r="KU129" s="70"/>
      <c r="KV129" s="70"/>
      <c r="KW129" s="70"/>
      <c r="KX129" s="70"/>
      <c r="KY129" s="70"/>
      <c r="KZ129" s="70"/>
      <c r="LA129" s="70"/>
      <c r="LB129" s="70"/>
      <c r="LC129" s="70"/>
      <c r="LD129" s="70"/>
      <c r="LE129" s="70"/>
      <c r="LF129" s="70"/>
      <c r="LG129" s="70"/>
      <c r="LH129" s="70"/>
      <c r="LI129" s="70"/>
      <c r="LJ129" s="70"/>
      <c r="LK129" s="70"/>
      <c r="LL129" s="70"/>
      <c r="LM129" s="70"/>
      <c r="LN129" s="70"/>
      <c r="LO129" s="70"/>
      <c r="LP129" s="70"/>
      <c r="LQ129" s="70"/>
      <c r="LR129" s="70"/>
      <c r="LS129" s="70"/>
      <c r="LT129" s="70"/>
      <c r="LU129" s="70"/>
      <c r="LV129" s="70"/>
      <c r="LW129" s="70"/>
      <c r="LX129" s="70"/>
      <c r="LY129" s="70"/>
      <c r="LZ129" s="70"/>
      <c r="MA129" s="70"/>
      <c r="MB129" s="70"/>
      <c r="MC129" s="70"/>
      <c r="MD129" s="70"/>
      <c r="ME129" s="70"/>
      <c r="MF129" s="70"/>
      <c r="MG129" s="70"/>
      <c r="MH129" s="70"/>
      <c r="MI129" s="70"/>
      <c r="MJ129" s="70"/>
      <c r="MK129" s="70"/>
      <c r="ML129" s="70"/>
      <c r="MM129" s="70"/>
      <c r="MN129" s="70"/>
      <c r="MO129" s="70"/>
      <c r="MP129" s="70"/>
      <c r="MQ129" s="70"/>
      <c r="MR129" s="70"/>
      <c r="MS129" s="70"/>
      <c r="MT129" s="70"/>
      <c r="MU129" s="70"/>
      <c r="MV129" s="70"/>
      <c r="MW129" s="70"/>
      <c r="MX129" s="70"/>
      <c r="MY129" s="70"/>
      <c r="MZ129" s="70"/>
      <c r="NA129" s="70"/>
      <c r="NB129" s="70"/>
      <c r="NC129" s="70"/>
      <c r="ND129" s="70"/>
      <c r="NE129" s="70"/>
      <c r="NF129" s="70"/>
      <c r="NG129" s="70"/>
      <c r="NH129" s="70"/>
      <c r="NI129" s="70"/>
      <c r="NJ129" s="70"/>
      <c r="NK129" s="70"/>
      <c r="NL129" s="70"/>
      <c r="NM129" s="70"/>
      <c r="NN129" s="70"/>
      <c r="NO129" s="70"/>
      <c r="NP129" s="70"/>
      <c r="NQ129" s="70"/>
      <c r="NR129" s="70"/>
      <c r="NS129" s="70"/>
      <c r="NT129" s="70"/>
      <c r="NU129" s="70"/>
      <c r="NV129" s="70"/>
      <c r="NW129" s="70"/>
      <c r="NX129" s="70"/>
      <c r="NY129" s="70"/>
      <c r="NZ129" s="70"/>
      <c r="OA129" s="70"/>
      <c r="OB129" s="70"/>
      <c r="OC129" s="70"/>
      <c r="OD129" s="70"/>
      <c r="OE129" s="70"/>
      <c r="OF129" s="70"/>
      <c r="OG129" s="70"/>
      <c r="OH129" s="70"/>
      <c r="OI129" s="70"/>
      <c r="OJ129" s="70"/>
      <c r="OK129" s="70"/>
      <c r="OL129" s="70"/>
      <c r="OM129" s="70"/>
      <c r="ON129" s="70"/>
      <c r="OO129" s="70"/>
      <c r="OP129" s="70"/>
      <c r="OQ129" s="70"/>
      <c r="OR129" s="70"/>
      <c r="OS129" s="70"/>
      <c r="OT129" s="70"/>
      <c r="OU129" s="70"/>
      <c r="OV129" s="70"/>
      <c r="OW129" s="70"/>
      <c r="OX129" s="70"/>
      <c r="OY129" s="70"/>
      <c r="OZ129" s="70"/>
      <c r="PA129" s="70"/>
      <c r="PB129" s="70"/>
      <c r="PC129" s="70"/>
      <c r="PD129" s="70"/>
      <c r="PE129" s="70"/>
      <c r="PF129" s="70"/>
      <c r="PG129" s="70"/>
      <c r="PH129" s="70"/>
      <c r="PI129" s="70"/>
      <c r="PJ129" s="70"/>
      <c r="PK129" s="70"/>
      <c r="PL129" s="70"/>
      <c r="PM129" s="70"/>
      <c r="PN129" s="70"/>
      <c r="PO129" s="70"/>
      <c r="PP129" s="70"/>
      <c r="PQ129" s="70"/>
      <c r="PR129" s="70"/>
      <c r="PS129" s="70"/>
      <c r="PT129" s="70"/>
      <c r="PU129" s="70"/>
      <c r="PV129" s="70"/>
      <c r="PW129" s="70"/>
      <c r="PX129" s="70"/>
      <c r="PY129" s="70"/>
      <c r="PZ129" s="70"/>
      <c r="QA129" s="70"/>
      <c r="QB129" s="70"/>
      <c r="QC129" s="70"/>
      <c r="QD129" s="70"/>
      <c r="QE129" s="70"/>
      <c r="QF129" s="70"/>
      <c r="QG129" s="70"/>
      <c r="QH129" s="70"/>
      <c r="QI129" s="70"/>
      <c r="QJ129" s="70"/>
      <c r="QK129" s="70"/>
      <c r="QL129" s="70"/>
      <c r="QM129" s="70"/>
      <c r="QN129" s="70"/>
      <c r="QO129" s="70"/>
      <c r="QP129" s="70"/>
      <c r="QQ129" s="70"/>
      <c r="QR129" s="70"/>
      <c r="QS129" s="70"/>
      <c r="QT129" s="70"/>
      <c r="QU129" s="70"/>
      <c r="QV129" s="70"/>
      <c r="QW129" s="70"/>
      <c r="QX129" s="70"/>
      <c r="QY129" s="70"/>
      <c r="QZ129" s="70"/>
      <c r="RA129" s="70"/>
      <c r="RB129" s="70"/>
      <c r="RC129" s="70"/>
      <c r="RD129" s="70"/>
      <c r="RE129" s="70"/>
      <c r="RF129" s="70"/>
      <c r="RG129" s="70"/>
      <c r="RH129" s="70"/>
      <c r="RI129" s="70"/>
      <c r="RJ129" s="70"/>
      <c r="RK129" s="70"/>
      <c r="RL129" s="70"/>
      <c r="RM129" s="70"/>
      <c r="RN129" s="70"/>
      <c r="RO129" s="70"/>
      <c r="RP129" s="70"/>
      <c r="RQ129" s="70"/>
      <c r="RR129" s="70"/>
      <c r="RS129" s="70"/>
      <c r="RT129" s="70"/>
      <c r="RU129" s="70"/>
      <c r="RV129" s="70"/>
      <c r="RW129" s="70"/>
      <c r="RX129" s="70"/>
      <c r="RY129" s="70"/>
      <c r="RZ129" s="70"/>
      <c r="SA129" s="70"/>
      <c r="SB129" s="70"/>
      <c r="SC129" s="70"/>
      <c r="SD129" s="70"/>
      <c r="SE129" s="70"/>
      <c r="SF129" s="70"/>
      <c r="SG129" s="70"/>
      <c r="SH129" s="70"/>
      <c r="SI129" s="70"/>
      <c r="SJ129" s="70"/>
      <c r="SK129" s="70"/>
      <c r="SL129" s="70"/>
      <c r="SM129" s="70"/>
      <c r="SN129" s="70"/>
      <c r="SO129" s="70"/>
      <c r="SP129" s="70"/>
      <c r="SQ129" s="70"/>
      <c r="SR129" s="70"/>
      <c r="SS129" s="70"/>
      <c r="ST129" s="70"/>
      <c r="SU129" s="70"/>
      <c r="SV129" s="70"/>
      <c r="SW129" s="70"/>
      <c r="SX129" s="70"/>
      <c r="SY129" s="70"/>
      <c r="SZ129" s="70"/>
      <c r="TA129" s="70"/>
      <c r="TB129" s="70"/>
      <c r="TC129" s="70"/>
      <c r="TD129" s="70"/>
      <c r="TE129" s="70"/>
      <c r="TF129" s="70"/>
      <c r="TG129" s="70"/>
      <c r="TH129" s="70"/>
      <c r="TI129" s="70"/>
      <c r="TJ129" s="70"/>
      <c r="TK129" s="70"/>
      <c r="TL129" s="70"/>
      <c r="TM129" s="70"/>
      <c r="TN129" s="70"/>
      <c r="TO129" s="70"/>
      <c r="TP129" s="70"/>
      <c r="TQ129" s="70"/>
      <c r="TR129" s="70"/>
      <c r="TS129" s="70"/>
      <c r="TT129" s="70"/>
      <c r="TU129" s="70"/>
      <c r="TV129" s="70"/>
      <c r="TW129" s="70"/>
      <c r="TX129" s="70"/>
      <c r="TY129" s="70"/>
      <c r="TZ129" s="70"/>
      <c r="UA129" s="70"/>
      <c r="UB129" s="70"/>
      <c r="UC129" s="70"/>
      <c r="UD129" s="70"/>
      <c r="UE129" s="70"/>
      <c r="UF129" s="70"/>
      <c r="UG129" s="70"/>
      <c r="UH129" s="70"/>
      <c r="UI129" s="70"/>
      <c r="UJ129" s="70"/>
      <c r="UK129" s="70"/>
      <c r="UL129" s="70"/>
      <c r="UM129" s="70"/>
      <c r="UN129" s="70"/>
      <c r="UO129" s="70"/>
      <c r="UP129" s="70"/>
      <c r="UQ129" s="70"/>
      <c r="UR129" s="70"/>
      <c r="US129" s="70"/>
      <c r="UT129" s="70"/>
      <c r="UU129" s="70"/>
      <c r="UV129" s="70"/>
      <c r="UW129" s="70"/>
      <c r="UX129" s="70"/>
      <c r="UY129" s="70"/>
      <c r="UZ129" s="70"/>
      <c r="VA129" s="70"/>
      <c r="VB129" s="70"/>
      <c r="VC129" s="70"/>
      <c r="VD129" s="70"/>
      <c r="VE129" s="70"/>
      <c r="VF129" s="70"/>
      <c r="VG129" s="70"/>
      <c r="VH129" s="70"/>
      <c r="VI129" s="70"/>
      <c r="VJ129" s="70"/>
      <c r="VK129" s="70"/>
      <c r="VL129" s="70"/>
      <c r="VM129" s="70"/>
      <c r="VN129" s="70"/>
      <c r="VO129" s="70"/>
      <c r="VP129" s="70"/>
      <c r="VQ129" s="70"/>
      <c r="VR129" s="70"/>
      <c r="VS129" s="70"/>
      <c r="VT129" s="70"/>
      <c r="VU129" s="70"/>
      <c r="VV129" s="70"/>
      <c r="VW129" s="70"/>
      <c r="VX129" s="70"/>
      <c r="VY129" s="70"/>
      <c r="VZ129" s="70"/>
      <c r="WA129" s="70"/>
      <c r="WB129" s="70"/>
      <c r="WC129" s="70"/>
      <c r="WD129" s="70"/>
      <c r="WE129" s="70"/>
      <c r="WF129" s="70"/>
      <c r="WG129" s="70"/>
      <c r="WH129" s="70"/>
      <c r="WI129" s="70"/>
      <c r="WJ129" s="70"/>
      <c r="WK129" s="70"/>
      <c r="WL129" s="70"/>
      <c r="WM129" s="70"/>
      <c r="WN129" s="70"/>
      <c r="WO129" s="70"/>
      <c r="WP129" s="70"/>
      <c r="WQ129" s="70"/>
      <c r="WR129" s="70"/>
      <c r="WS129" s="70"/>
      <c r="WT129" s="70"/>
      <c r="WU129" s="70"/>
      <c r="WV129" s="70"/>
      <c r="WW129" s="70"/>
      <c r="WX129" s="70"/>
      <c r="WY129" s="70"/>
      <c r="WZ129" s="70"/>
      <c r="XA129" s="70"/>
      <c r="XB129" s="70"/>
      <c r="XC129" s="70"/>
      <c r="XD129" s="70"/>
      <c r="XE129" s="70"/>
      <c r="XF129" s="70"/>
      <c r="XG129" s="70"/>
      <c r="XH129" s="70"/>
      <c r="XI129" s="70"/>
      <c r="XJ129" s="70"/>
      <c r="XK129" s="70"/>
      <c r="XL129" s="70"/>
      <c r="XM129" s="70"/>
      <c r="XN129" s="70"/>
      <c r="XO129" s="70"/>
      <c r="XP129" s="70"/>
      <c r="XQ129" s="70"/>
      <c r="XR129" s="70"/>
      <c r="XS129" s="70"/>
      <c r="XT129" s="70"/>
      <c r="XU129" s="70"/>
      <c r="XV129" s="70"/>
      <c r="XW129" s="70"/>
      <c r="XX129" s="70"/>
      <c r="XY129" s="70"/>
      <c r="XZ129" s="70"/>
      <c r="YA129" s="70"/>
      <c r="YB129" s="70"/>
      <c r="YC129" s="70"/>
      <c r="YD129" s="70"/>
      <c r="YE129" s="70"/>
      <c r="YF129" s="70"/>
      <c r="YG129" s="70"/>
      <c r="YH129" s="70"/>
      <c r="YI129" s="70"/>
      <c r="YJ129" s="70"/>
      <c r="YK129" s="70"/>
      <c r="YL129" s="70"/>
      <c r="YM129" s="70"/>
      <c r="YN129" s="70"/>
      <c r="YO129" s="70"/>
      <c r="YP129" s="70"/>
      <c r="YQ129" s="70"/>
      <c r="YR129" s="70"/>
      <c r="YS129" s="70"/>
      <c r="YT129" s="70"/>
      <c r="YU129" s="70"/>
      <c r="YV129" s="70"/>
      <c r="YW129" s="70"/>
      <c r="YX129" s="70"/>
      <c r="YY129" s="70"/>
      <c r="YZ129" s="70"/>
      <c r="ZA129" s="70"/>
      <c r="ZB129" s="70"/>
      <c r="ZC129" s="70"/>
      <c r="ZD129" s="70"/>
      <c r="ZE129" s="70"/>
      <c r="ZF129" s="70"/>
      <c r="ZG129" s="70"/>
      <c r="ZH129" s="70"/>
      <c r="ZI129" s="70"/>
      <c r="ZJ129" s="70"/>
      <c r="ZK129" s="70"/>
      <c r="ZL129" s="70"/>
      <c r="ZM129" s="70"/>
      <c r="ZN129" s="70"/>
      <c r="ZO129" s="70"/>
      <c r="ZP129" s="70"/>
      <c r="ZQ129" s="70"/>
      <c r="ZR129" s="70"/>
      <c r="ZS129" s="70"/>
      <c r="ZT129" s="70"/>
      <c r="ZU129" s="70"/>
      <c r="ZV129" s="70"/>
      <c r="ZW129" s="70"/>
      <c r="ZX129" s="70"/>
      <c r="ZY129" s="70"/>
      <c r="ZZ129" s="70"/>
      <c r="AAA129" s="70"/>
      <c r="AAB129" s="70"/>
      <c r="AAC129" s="70"/>
      <c r="AAD129" s="70"/>
      <c r="AAE129" s="70"/>
      <c r="AAF129" s="70"/>
      <c r="AAG129" s="70"/>
      <c r="AAH129" s="70"/>
      <c r="AAI129" s="70"/>
      <c r="AAJ129" s="70"/>
      <c r="AAK129" s="70"/>
      <c r="AAL129" s="70"/>
      <c r="AAM129" s="70"/>
      <c r="AAN129" s="70"/>
      <c r="AAO129" s="70"/>
      <c r="AAP129" s="70"/>
      <c r="AAQ129" s="70"/>
      <c r="AAR129" s="70"/>
      <c r="AAS129" s="70"/>
      <c r="AAT129" s="70"/>
      <c r="AAU129" s="70"/>
      <c r="AAV129" s="70"/>
      <c r="AAW129" s="70"/>
      <c r="AAX129" s="70"/>
      <c r="AAY129" s="70"/>
      <c r="AAZ129" s="70"/>
      <c r="ABA129" s="70"/>
      <c r="ABB129" s="70"/>
      <c r="ABC129" s="70"/>
      <c r="ABD129" s="70"/>
      <c r="ABE129" s="70"/>
      <c r="ABF129" s="70"/>
      <c r="ABG129" s="70"/>
      <c r="ABH129" s="70"/>
      <c r="ABI129" s="70"/>
      <c r="ABJ129" s="70"/>
      <c r="ABK129" s="70"/>
      <c r="ABL129" s="70"/>
      <c r="ABM129" s="70"/>
      <c r="ABN129" s="70"/>
      <c r="ABO129" s="70"/>
      <c r="ABP129" s="70"/>
      <c r="ABQ129" s="70"/>
      <c r="ABR129" s="70"/>
      <c r="ABS129" s="70"/>
      <c r="ABT129" s="70"/>
      <c r="ABU129" s="70"/>
      <c r="ABV129" s="70"/>
      <c r="ABW129" s="70"/>
      <c r="ABX129" s="70"/>
      <c r="ABY129" s="70"/>
      <c r="ABZ129" s="70"/>
      <c r="ACA129" s="70"/>
      <c r="ACB129" s="70"/>
      <c r="ACC129" s="70"/>
      <c r="ACD129" s="70"/>
      <c r="ACE129" s="70"/>
      <c r="ACF129" s="70"/>
      <c r="ACG129" s="70"/>
      <c r="ACH129" s="70"/>
      <c r="ACI129" s="70"/>
      <c r="ACJ129" s="70"/>
      <c r="ACK129" s="70"/>
      <c r="ACL129" s="70"/>
      <c r="ACM129" s="70"/>
      <c r="ACN129" s="70"/>
      <c r="ACO129" s="70"/>
      <c r="ACP129" s="70"/>
      <c r="ACQ129" s="70"/>
      <c r="ACR129" s="70"/>
      <c r="ACS129" s="70"/>
      <c r="ACT129" s="70"/>
      <c r="ACU129" s="70"/>
      <c r="ACV129" s="70"/>
      <c r="ACW129" s="70"/>
      <c r="ACX129" s="70"/>
      <c r="ACY129" s="70"/>
      <c r="ACZ129" s="70"/>
      <c r="ADA129" s="70"/>
      <c r="ADB129" s="70"/>
      <c r="ADC129" s="70"/>
      <c r="ADD129" s="70"/>
      <c r="ADE129" s="70"/>
      <c r="ADF129" s="70"/>
      <c r="ADG129" s="70"/>
      <c r="ADH129" s="70"/>
      <c r="ADI129" s="70"/>
      <c r="ADJ129" s="70"/>
      <c r="ADK129" s="70"/>
      <c r="ADL129" s="70"/>
      <c r="ADM129" s="70"/>
      <c r="ADN129" s="70"/>
      <c r="ADO129" s="70"/>
      <c r="ADP129" s="70"/>
      <c r="ADQ129" s="70"/>
      <c r="ADR129" s="70"/>
      <c r="ADS129" s="70"/>
      <c r="ADT129" s="70"/>
      <c r="ADU129" s="70"/>
      <c r="ADV129" s="70"/>
      <c r="ADW129" s="70"/>
      <c r="ADX129" s="70"/>
      <c r="ADY129" s="70"/>
      <c r="ADZ129" s="70"/>
      <c r="AEA129" s="70"/>
      <c r="AEB129" s="70"/>
      <c r="AEC129" s="70"/>
      <c r="AED129" s="70"/>
      <c r="AEE129" s="70"/>
      <c r="AEF129" s="70"/>
      <c r="AEG129" s="70"/>
      <c r="AEH129" s="70"/>
      <c r="AEI129" s="70"/>
      <c r="AEJ129" s="70"/>
      <c r="AEK129" s="70"/>
      <c r="AEL129" s="70"/>
      <c r="AEM129" s="70"/>
      <c r="AEN129" s="70"/>
      <c r="AEO129" s="70"/>
      <c r="AEP129" s="70"/>
      <c r="AEQ129" s="70"/>
      <c r="AER129" s="70"/>
      <c r="AES129" s="70"/>
      <c r="AET129" s="70"/>
      <c r="AEU129" s="70"/>
      <c r="AEV129" s="70"/>
      <c r="AEW129" s="70"/>
      <c r="AEX129" s="70"/>
      <c r="AEY129" s="70"/>
      <c r="AEZ129" s="70"/>
      <c r="AFA129" s="70"/>
      <c r="AFB129" s="70"/>
      <c r="AFC129" s="70"/>
      <c r="AFD129" s="70"/>
      <c r="AFE129" s="70"/>
      <c r="AFF129" s="70"/>
      <c r="AFG129" s="70"/>
      <c r="AFH129" s="70"/>
      <c r="AFI129" s="70"/>
      <c r="AFJ129" s="70"/>
      <c r="AFK129" s="70"/>
      <c r="AFL129" s="70"/>
      <c r="AFM129" s="70"/>
      <c r="AFN129" s="70"/>
      <c r="AFO129" s="70"/>
      <c r="AFP129" s="70"/>
      <c r="AFQ129" s="70"/>
      <c r="AFR129" s="70"/>
      <c r="AFS129" s="70"/>
      <c r="AFT129" s="70"/>
      <c r="AFU129" s="70"/>
      <c r="AFV129" s="70"/>
      <c r="AFW129" s="70"/>
      <c r="AFX129" s="70"/>
      <c r="AFY129" s="70"/>
      <c r="AFZ129" s="70"/>
      <c r="AGA129" s="70"/>
      <c r="AGB129" s="70"/>
      <c r="AGC129" s="70"/>
      <c r="AGD129" s="70"/>
      <c r="AGE129" s="70"/>
      <c r="AGF129" s="70"/>
      <c r="AGG129" s="70"/>
      <c r="AGH129" s="70"/>
      <c r="AGI129" s="70"/>
      <c r="AGJ129" s="70"/>
      <c r="AGK129" s="70"/>
      <c r="AGL129" s="70"/>
      <c r="AGM129" s="70"/>
      <c r="AGN129" s="70"/>
      <c r="AGO129" s="70"/>
      <c r="AGP129" s="70"/>
      <c r="AGQ129" s="70"/>
      <c r="AGR129" s="70"/>
      <c r="AGS129" s="70"/>
      <c r="AGT129" s="70"/>
      <c r="AGU129" s="70"/>
      <c r="AGV129" s="70"/>
      <c r="AGW129" s="70"/>
      <c r="AGX129" s="70"/>
      <c r="AGY129" s="70"/>
      <c r="AGZ129" s="70"/>
      <c r="AHA129" s="70"/>
      <c r="AHB129" s="70"/>
      <c r="AHC129" s="70"/>
      <c r="AHD129" s="70"/>
      <c r="AHE129" s="70"/>
      <c r="AHF129" s="70"/>
      <c r="AHG129" s="70"/>
      <c r="AHH129" s="70"/>
      <c r="AHI129" s="70"/>
      <c r="AHJ129" s="70"/>
      <c r="AHK129" s="70"/>
      <c r="AHL129" s="70"/>
      <c r="AHM129" s="70"/>
      <c r="AHN129" s="70"/>
      <c r="AHO129" s="70"/>
      <c r="AHP129" s="70"/>
      <c r="AHQ129" s="70"/>
      <c r="AHR129" s="70"/>
      <c r="AHS129" s="70"/>
      <c r="AHT129" s="70"/>
      <c r="AHU129" s="70"/>
      <c r="AHV129" s="70"/>
      <c r="AHW129" s="70"/>
      <c r="AHX129" s="70"/>
      <c r="AHY129" s="70"/>
      <c r="AHZ129" s="70"/>
      <c r="AIA129" s="70"/>
      <c r="AIB129" s="70"/>
      <c r="AIC129" s="70"/>
      <c r="AID129" s="70"/>
      <c r="AIE129" s="70"/>
      <c r="AIF129" s="70"/>
      <c r="AIG129" s="70"/>
      <c r="AIH129" s="70"/>
      <c r="AII129" s="70"/>
      <c r="AIJ129" s="70"/>
      <c r="AIK129" s="70"/>
      <c r="AIL129" s="70"/>
      <c r="AIM129" s="70"/>
      <c r="AIN129" s="70"/>
      <c r="AIO129" s="70"/>
      <c r="AIP129" s="70"/>
      <c r="AIQ129" s="70"/>
      <c r="AIR129" s="70"/>
      <c r="AIS129" s="70"/>
      <c r="AIT129" s="70"/>
      <c r="AIU129" s="70"/>
      <c r="AIV129" s="70"/>
      <c r="AIW129" s="70"/>
      <c r="AIX129" s="70"/>
      <c r="AIY129" s="70"/>
      <c r="AIZ129" s="70"/>
      <c r="AJA129" s="70"/>
      <c r="AJB129" s="70"/>
      <c r="AJC129" s="70"/>
      <c r="AJD129" s="70"/>
      <c r="AJE129" s="70"/>
      <c r="AJF129" s="70"/>
      <c r="AJG129" s="70"/>
      <c r="AJH129" s="70"/>
      <c r="AJI129" s="70"/>
      <c r="AJJ129" s="70"/>
      <c r="AJK129" s="70"/>
      <c r="AJL129" s="70"/>
      <c r="AJM129" s="70"/>
      <c r="AJN129" s="70"/>
      <c r="AJO129" s="70"/>
      <c r="AJP129" s="70"/>
      <c r="AJQ129" s="70"/>
      <c r="AJR129" s="70"/>
      <c r="AJS129" s="70"/>
      <c r="AJT129" s="70"/>
      <c r="AJU129" s="70"/>
      <c r="AJV129" s="70"/>
      <c r="AJW129" s="70"/>
      <c r="AJX129" s="70"/>
      <c r="AJY129" s="70"/>
      <c r="AJZ129" s="70"/>
      <c r="AKA129" s="70"/>
      <c r="AKB129" s="70"/>
      <c r="AKC129" s="70"/>
      <c r="AKD129" s="70"/>
      <c r="AKE129" s="70"/>
      <c r="AKF129" s="70"/>
      <c r="AKG129" s="70"/>
      <c r="AKH129" s="70"/>
      <c r="AKI129" s="70"/>
      <c r="AKJ129" s="70"/>
      <c r="AKK129" s="70"/>
      <c r="AKL129" s="70"/>
      <c r="AKM129" s="70"/>
      <c r="AKN129" s="70"/>
      <c r="AKO129" s="70"/>
      <c r="AKP129" s="70"/>
      <c r="AKQ129" s="70"/>
      <c r="AKR129" s="70"/>
      <c r="AKS129" s="70"/>
      <c r="AKT129" s="70"/>
      <c r="AKU129" s="70"/>
      <c r="AKV129" s="70"/>
      <c r="AKW129" s="70"/>
      <c r="AKX129" s="70"/>
      <c r="AKY129" s="70"/>
      <c r="AKZ129" s="70"/>
      <c r="ALA129" s="70"/>
      <c r="ALB129" s="70"/>
      <c r="ALC129" s="70"/>
      <c r="ALD129" s="70"/>
      <c r="ALE129" s="70"/>
      <c r="ALF129" s="70"/>
      <c r="ALG129" s="70"/>
      <c r="ALH129" s="70"/>
      <c r="ALI129" s="70"/>
      <c r="ALJ129" s="70"/>
      <c r="ALK129" s="70"/>
      <c r="ALL129" s="70"/>
      <c r="ALM129" s="70"/>
      <c r="ALN129" s="70"/>
      <c r="ALO129" s="70"/>
      <c r="ALP129" s="70"/>
      <c r="ALQ129" s="70"/>
      <c r="ALR129" s="70"/>
      <c r="ALS129" s="70"/>
      <c r="ALT129" s="70"/>
      <c r="ALU129" s="70"/>
      <c r="ALV129" s="70"/>
      <c r="ALW129" s="70"/>
      <c r="ALX129" s="70"/>
      <c r="ALY129" s="70"/>
      <c r="ALZ129" s="70"/>
      <c r="AMA129" s="70"/>
      <c r="AMB129" s="70"/>
      <c r="AMC129" s="70"/>
      <c r="AMD129" s="70"/>
      <c r="AME129" s="70"/>
      <c r="AMF129" s="70"/>
      <c r="AMG129" s="70"/>
      <c r="AMH129" s="70"/>
      <c r="AMI129" s="70"/>
      <c r="AMJ129" s="70"/>
      <c r="AMK129" s="70"/>
      <c r="AML129" s="70"/>
      <c r="AMM129" s="70"/>
      <c r="AMN129" s="70"/>
      <c r="AMO129" s="70"/>
      <c r="AMP129" s="70"/>
      <c r="AMQ129" s="70"/>
      <c r="AMR129" s="70"/>
      <c r="AMS129" s="70"/>
      <c r="AMT129" s="70"/>
      <c r="AMU129" s="70"/>
      <c r="AMV129" s="70"/>
      <c r="AMW129" s="70"/>
      <c r="AMX129" s="70"/>
      <c r="AMY129" s="70"/>
      <c r="AMZ129" s="70"/>
      <c r="ANA129" s="70"/>
      <c r="ANB129" s="70"/>
      <c r="ANC129" s="70"/>
      <c r="AND129" s="70"/>
      <c r="ANE129" s="70"/>
      <c r="ANF129" s="70"/>
      <c r="ANG129" s="70"/>
      <c r="ANH129" s="70"/>
      <c r="ANI129" s="70"/>
      <c r="ANJ129" s="70"/>
      <c r="ANK129" s="70"/>
      <c r="ANL129" s="70"/>
      <c r="ANM129" s="70"/>
      <c r="ANN129" s="70"/>
      <c r="ANO129" s="70"/>
      <c r="ANP129" s="70"/>
      <c r="ANQ129" s="70"/>
      <c r="ANR129" s="70"/>
      <c r="ANS129" s="70"/>
      <c r="ANT129" s="70"/>
      <c r="ANU129" s="70"/>
      <c r="ANV129" s="70"/>
      <c r="ANW129" s="70"/>
      <c r="ANX129" s="70"/>
      <c r="ANY129" s="70"/>
      <c r="ANZ129" s="70"/>
      <c r="AOA129" s="70"/>
      <c r="AOB129" s="70"/>
      <c r="AOC129" s="70"/>
      <c r="AOD129" s="70"/>
      <c r="AOE129" s="70"/>
      <c r="AOF129" s="70"/>
      <c r="AOG129" s="70"/>
      <c r="AOH129" s="70"/>
      <c r="AOI129" s="70"/>
      <c r="AOJ129" s="70"/>
      <c r="AOK129" s="70"/>
      <c r="AOL129" s="70"/>
      <c r="AOM129" s="70"/>
      <c r="AON129" s="70"/>
      <c r="AOO129" s="70"/>
      <c r="AOP129" s="70"/>
      <c r="AOQ129" s="70"/>
      <c r="AOR129" s="70"/>
      <c r="AOS129" s="70"/>
      <c r="AOT129" s="70"/>
      <c r="AOU129" s="70"/>
      <c r="AOV129" s="70"/>
      <c r="AOW129" s="70"/>
      <c r="AOX129" s="70"/>
      <c r="AOY129" s="70"/>
      <c r="AOZ129" s="70"/>
      <c r="APA129" s="70"/>
      <c r="APB129" s="70"/>
      <c r="APC129" s="70"/>
      <c r="APD129" s="70"/>
      <c r="APE129" s="70"/>
      <c r="APF129" s="70"/>
      <c r="APG129" s="70"/>
      <c r="APH129" s="70"/>
      <c r="API129" s="70"/>
      <c r="APJ129" s="70"/>
      <c r="APK129" s="70"/>
      <c r="APL129" s="70"/>
      <c r="APM129" s="70"/>
      <c r="APN129" s="70"/>
      <c r="APO129" s="70"/>
      <c r="APP129" s="70"/>
      <c r="APQ129" s="70"/>
      <c r="APR129" s="70"/>
      <c r="APS129" s="70"/>
      <c r="APT129" s="70"/>
      <c r="APU129" s="70"/>
      <c r="APV129" s="70"/>
      <c r="APW129" s="70"/>
      <c r="APX129" s="70"/>
      <c r="APY129" s="70"/>
      <c r="APZ129" s="70"/>
      <c r="AQA129" s="70"/>
      <c r="AQB129" s="70"/>
      <c r="AQC129" s="70"/>
      <c r="AQD129" s="70"/>
      <c r="AQE129" s="70"/>
      <c r="AQF129" s="70"/>
      <c r="AQG129" s="70"/>
      <c r="AQH129" s="70"/>
      <c r="AQI129" s="70"/>
      <c r="AQJ129" s="70"/>
      <c r="AQK129" s="70"/>
      <c r="AQL129" s="70"/>
      <c r="AQM129" s="70"/>
      <c r="AQN129" s="70"/>
      <c r="AQO129" s="70"/>
      <c r="AQP129" s="70"/>
      <c r="AQQ129" s="70"/>
      <c r="AQR129" s="70"/>
      <c r="AQS129" s="70"/>
      <c r="AQT129" s="70"/>
      <c r="AQU129" s="70"/>
      <c r="AQV129" s="70"/>
      <c r="AQW129" s="70"/>
      <c r="AQX129" s="70"/>
      <c r="AQY129" s="70"/>
      <c r="AQZ129" s="70"/>
      <c r="ARA129" s="70"/>
      <c r="ARB129" s="70"/>
      <c r="ARC129" s="70"/>
      <c r="ARD129" s="70"/>
      <c r="ARE129" s="70"/>
      <c r="ARF129" s="70"/>
      <c r="ARG129" s="70"/>
      <c r="ARH129" s="70"/>
      <c r="ARI129" s="70"/>
      <c r="ARJ129" s="70"/>
      <c r="ARK129" s="70"/>
      <c r="ARL129" s="70"/>
      <c r="ARM129" s="70"/>
      <c r="ARN129" s="70"/>
      <c r="ARO129" s="70"/>
      <c r="ARP129" s="70"/>
      <c r="ARQ129" s="70"/>
      <c r="ARR129" s="70"/>
      <c r="ARS129" s="70"/>
      <c r="ART129" s="70"/>
      <c r="ARU129" s="70"/>
      <c r="ARV129" s="70"/>
      <c r="ARW129" s="70"/>
      <c r="ARX129" s="70"/>
      <c r="ARY129" s="70"/>
      <c r="ARZ129" s="70"/>
      <c r="ASA129" s="70"/>
      <c r="ASB129" s="70"/>
      <c r="ASC129" s="70"/>
      <c r="ASD129" s="70"/>
      <c r="ASE129" s="70"/>
      <c r="ASF129" s="70"/>
      <c r="ASG129" s="70"/>
      <c r="ASH129" s="70"/>
      <c r="ASI129" s="70"/>
      <c r="ASJ129" s="70"/>
      <c r="ASK129" s="70"/>
      <c r="ASL129" s="70"/>
      <c r="ASM129" s="70"/>
      <c r="ASN129" s="70"/>
      <c r="ASO129" s="70"/>
      <c r="ASP129" s="70"/>
      <c r="ASQ129" s="70"/>
      <c r="ASR129" s="70"/>
      <c r="ASS129" s="70"/>
      <c r="AST129" s="70"/>
      <c r="ASU129" s="70"/>
      <c r="ASV129" s="70"/>
      <c r="ASW129" s="70"/>
      <c r="ASX129" s="70"/>
      <c r="ASY129" s="70"/>
      <c r="ASZ129" s="70"/>
      <c r="ATA129" s="70"/>
      <c r="ATB129" s="70"/>
      <c r="ATC129" s="70"/>
      <c r="ATD129" s="70"/>
      <c r="ATE129" s="70"/>
      <c r="ATF129" s="70"/>
      <c r="ATG129" s="70"/>
      <c r="ATH129" s="70"/>
      <c r="ATI129" s="70"/>
      <c r="ATJ129" s="70"/>
      <c r="ATK129" s="70"/>
      <c r="ATL129" s="70"/>
      <c r="ATM129" s="70"/>
      <c r="ATN129" s="70"/>
      <c r="ATO129" s="70"/>
      <c r="ATP129" s="70"/>
      <c r="ATQ129" s="70"/>
      <c r="ATR129" s="70"/>
      <c r="ATS129" s="70"/>
      <c r="ATT129" s="70"/>
      <c r="ATU129" s="70"/>
      <c r="ATV129" s="70"/>
      <c r="ATW129" s="70"/>
      <c r="ATX129" s="70"/>
      <c r="ATY129" s="70"/>
      <c r="ATZ129" s="70"/>
      <c r="AUA129" s="70"/>
      <c r="AUB129" s="70"/>
      <c r="AUC129" s="70"/>
      <c r="AUD129" s="70"/>
      <c r="AUE129" s="70"/>
      <c r="AUF129" s="70"/>
      <c r="AUG129" s="70"/>
      <c r="AUH129" s="70"/>
      <c r="AUI129" s="70"/>
      <c r="AUJ129" s="70"/>
      <c r="AUK129" s="70"/>
      <c r="AUL129" s="70"/>
      <c r="AUM129" s="70"/>
      <c r="AUN129" s="70"/>
      <c r="AUO129" s="70"/>
      <c r="AUP129" s="70"/>
      <c r="AUQ129" s="70"/>
      <c r="AUR129" s="70"/>
      <c r="AUS129" s="70"/>
      <c r="AUT129" s="70"/>
      <c r="AUU129" s="70"/>
      <c r="AUV129" s="70"/>
      <c r="AUW129" s="70"/>
      <c r="AUX129" s="70"/>
      <c r="AUY129" s="70"/>
      <c r="AUZ129" s="70"/>
      <c r="AVA129" s="70"/>
      <c r="AVB129" s="70"/>
      <c r="AVC129" s="70"/>
      <c r="AVD129" s="70"/>
      <c r="AVE129" s="70"/>
      <c r="AVF129" s="70"/>
      <c r="AVG129" s="70"/>
      <c r="AVH129" s="70"/>
      <c r="AVI129" s="70"/>
      <c r="AVJ129" s="70"/>
      <c r="AVK129" s="70"/>
      <c r="AVL129" s="70"/>
      <c r="AVM129" s="70"/>
      <c r="AVN129" s="70"/>
      <c r="AVO129" s="70"/>
      <c r="AVP129" s="70"/>
      <c r="AVQ129" s="70"/>
      <c r="AVR129" s="70"/>
      <c r="AVS129" s="70"/>
      <c r="AVT129" s="70"/>
      <c r="AVU129" s="70"/>
      <c r="AVV129" s="70"/>
      <c r="AVW129" s="70"/>
      <c r="AVX129" s="70"/>
      <c r="AVY129" s="70"/>
      <c r="AVZ129" s="70"/>
      <c r="AWA129" s="70"/>
      <c r="AWB129" s="70"/>
      <c r="AWC129" s="70"/>
      <c r="AWD129" s="70"/>
      <c r="AWE129" s="70"/>
      <c r="AWF129" s="70"/>
      <c r="AWG129" s="70"/>
      <c r="AWH129" s="70"/>
      <c r="AWI129" s="70"/>
      <c r="AWJ129" s="70"/>
      <c r="AWK129" s="70"/>
      <c r="AWL129" s="70"/>
      <c r="AWM129" s="70"/>
      <c r="AWN129" s="70"/>
      <c r="AWO129" s="70"/>
      <c r="AWP129" s="70"/>
      <c r="AWQ129" s="70"/>
      <c r="AWR129" s="70"/>
      <c r="AWS129" s="70"/>
      <c r="AWT129" s="70"/>
      <c r="AWU129" s="70"/>
      <c r="AWV129" s="70"/>
      <c r="AWW129" s="70"/>
      <c r="AWX129" s="70"/>
      <c r="AWY129" s="70"/>
      <c r="AWZ129" s="70"/>
      <c r="AXA129" s="70"/>
      <c r="AXB129" s="70"/>
      <c r="AXC129" s="70"/>
      <c r="AXD129" s="70"/>
      <c r="AXE129" s="70"/>
      <c r="AXF129" s="70"/>
      <c r="AXG129" s="70"/>
      <c r="AXH129" s="70"/>
      <c r="AXI129" s="70"/>
      <c r="AXJ129" s="70"/>
      <c r="AXK129" s="70"/>
      <c r="AXL129" s="70"/>
      <c r="AXM129" s="70"/>
      <c r="AXN129" s="70"/>
      <c r="AXO129" s="70"/>
      <c r="AXP129" s="70"/>
      <c r="AXQ129" s="70"/>
      <c r="AXR129" s="70"/>
      <c r="AXS129" s="70"/>
      <c r="AXT129" s="70"/>
      <c r="AXU129" s="70"/>
      <c r="AXV129" s="70"/>
      <c r="AXW129" s="70"/>
      <c r="AXX129" s="70"/>
      <c r="AXY129" s="70"/>
      <c r="AXZ129" s="70"/>
      <c r="AYA129" s="70"/>
      <c r="AYB129" s="70"/>
      <c r="AYC129" s="70"/>
      <c r="AYD129" s="70"/>
      <c r="AYE129" s="70"/>
      <c r="AYF129" s="70"/>
      <c r="AYG129" s="70"/>
      <c r="AYH129" s="70"/>
      <c r="AYI129" s="70"/>
      <c r="AYJ129" s="70"/>
      <c r="AYK129" s="70"/>
      <c r="AYL129" s="70"/>
      <c r="AYM129" s="70"/>
      <c r="AYN129" s="70"/>
      <c r="AYO129" s="70"/>
      <c r="AYP129" s="70"/>
      <c r="AYQ129" s="70"/>
      <c r="AYR129" s="70"/>
      <c r="AYS129" s="70"/>
      <c r="AYT129" s="70"/>
      <c r="AYU129" s="70"/>
      <c r="AYV129" s="70"/>
      <c r="AYW129" s="70"/>
      <c r="AYX129" s="70"/>
      <c r="AYY129" s="70"/>
      <c r="AYZ129" s="70"/>
      <c r="AZA129" s="70"/>
      <c r="AZB129" s="70"/>
      <c r="AZC129" s="70"/>
      <c r="AZD129" s="70"/>
      <c r="AZE129" s="70"/>
      <c r="AZF129" s="70"/>
      <c r="AZG129" s="70"/>
      <c r="AZH129" s="70"/>
      <c r="AZI129" s="70"/>
      <c r="AZJ129" s="70"/>
      <c r="AZK129" s="70"/>
      <c r="AZL129" s="70"/>
      <c r="AZM129" s="70"/>
      <c r="AZN129" s="70"/>
      <c r="AZO129" s="70"/>
      <c r="AZP129" s="70"/>
      <c r="AZQ129" s="70"/>
      <c r="AZR129" s="70"/>
      <c r="AZS129" s="70"/>
      <c r="AZT129" s="70"/>
      <c r="AZU129" s="70"/>
      <c r="AZV129" s="70"/>
      <c r="AZW129" s="70"/>
      <c r="AZX129" s="70"/>
      <c r="AZY129" s="70"/>
      <c r="AZZ129" s="70"/>
      <c r="BAA129" s="70"/>
      <c r="BAB129" s="70"/>
      <c r="BAC129" s="70"/>
      <c r="BAD129" s="70"/>
      <c r="BAE129" s="70"/>
      <c r="BAF129" s="70"/>
      <c r="BAG129" s="70"/>
      <c r="BAH129" s="70"/>
      <c r="BAI129" s="70"/>
      <c r="BAJ129" s="70"/>
      <c r="BAK129" s="70"/>
      <c r="BAL129" s="70"/>
      <c r="BAM129" s="70"/>
      <c r="BAN129" s="70"/>
      <c r="BAO129" s="70"/>
      <c r="BAP129" s="70"/>
      <c r="BAQ129" s="70"/>
      <c r="BAR129" s="70"/>
      <c r="BAS129" s="70"/>
      <c r="BAT129" s="70"/>
      <c r="BAU129" s="70"/>
      <c r="BAV129" s="70"/>
      <c r="BAW129" s="70"/>
      <c r="BAX129" s="70"/>
      <c r="BAY129" s="70"/>
      <c r="BAZ129" s="70"/>
      <c r="BBA129" s="70"/>
      <c r="BBB129" s="70"/>
      <c r="BBC129" s="70"/>
      <c r="BBD129" s="70"/>
      <c r="BBE129" s="70"/>
      <c r="BBF129" s="70"/>
      <c r="BBG129" s="70"/>
      <c r="BBH129" s="70"/>
      <c r="BBI129" s="70"/>
      <c r="BBJ129" s="70"/>
      <c r="BBK129" s="70"/>
      <c r="BBL129" s="70"/>
      <c r="BBM129" s="70"/>
      <c r="BBN129" s="70"/>
      <c r="BBO129" s="70"/>
      <c r="BBP129" s="70"/>
      <c r="BBQ129" s="70"/>
      <c r="BBR129" s="70"/>
      <c r="BBS129" s="70"/>
      <c r="BBT129" s="70"/>
      <c r="BBU129" s="70"/>
      <c r="BBV129" s="70"/>
      <c r="BBW129" s="70"/>
      <c r="BBX129" s="70"/>
      <c r="BBY129" s="70"/>
      <c r="BBZ129" s="70"/>
      <c r="BCA129" s="70"/>
      <c r="BCB129" s="70"/>
      <c r="BCC129" s="70"/>
      <c r="BCD129" s="70"/>
      <c r="BCE129" s="70"/>
      <c r="BCF129" s="70"/>
      <c r="BCG129" s="70"/>
      <c r="BCH129" s="70"/>
      <c r="BCI129" s="70"/>
      <c r="BCJ129" s="70"/>
      <c r="BCK129" s="70"/>
      <c r="BCL129" s="70"/>
      <c r="BCM129" s="70"/>
      <c r="BCN129" s="70"/>
      <c r="BCO129" s="70"/>
      <c r="BCP129" s="70"/>
      <c r="BCQ129" s="70"/>
      <c r="BCR129" s="70"/>
      <c r="BCS129" s="70"/>
      <c r="BCT129" s="70"/>
      <c r="BCU129" s="70"/>
      <c r="BCV129" s="70"/>
      <c r="BCW129" s="70"/>
    </row>
    <row r="130" spans="1:1453" s="69" customFormat="1" ht="24.75" customHeight="1" x14ac:dyDescent="0.25">
      <c r="A130" s="50">
        <v>8</v>
      </c>
      <c r="B130" s="71" t="s">
        <v>195</v>
      </c>
      <c r="C130" s="71" t="s">
        <v>512</v>
      </c>
      <c r="D130" s="52">
        <v>3926746</v>
      </c>
      <c r="E130" s="71"/>
      <c r="F130" s="71" t="s">
        <v>196</v>
      </c>
      <c r="G130" s="71"/>
      <c r="H130" s="71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  <c r="BR130" s="70"/>
      <c r="BS130" s="70"/>
      <c r="BT130" s="70"/>
      <c r="BU130" s="70"/>
      <c r="BV130" s="70"/>
      <c r="BW130" s="70"/>
      <c r="BX130" s="70"/>
      <c r="BY130" s="70"/>
      <c r="BZ130" s="70"/>
      <c r="CA130" s="70"/>
      <c r="CB130" s="70"/>
      <c r="CC130" s="70"/>
      <c r="CD130" s="70"/>
      <c r="CE130" s="70"/>
      <c r="CF130" s="70"/>
      <c r="CG130" s="70"/>
      <c r="CH130" s="70"/>
      <c r="CI130" s="70"/>
      <c r="CJ130" s="70"/>
      <c r="CK130" s="70"/>
      <c r="CL130" s="70"/>
      <c r="CM130" s="70"/>
      <c r="CN130" s="70"/>
      <c r="CO130" s="70"/>
      <c r="CP130" s="70"/>
      <c r="CQ130" s="70"/>
      <c r="CR130" s="70"/>
      <c r="CS130" s="70"/>
      <c r="CT130" s="70"/>
      <c r="CU130" s="70"/>
      <c r="CV130" s="70"/>
      <c r="CW130" s="70"/>
      <c r="CX130" s="70"/>
      <c r="CY130" s="70"/>
      <c r="CZ130" s="70"/>
      <c r="DA130" s="70"/>
      <c r="DB130" s="70"/>
      <c r="DC130" s="70"/>
      <c r="DD130" s="70"/>
      <c r="DE130" s="70"/>
      <c r="DF130" s="70"/>
      <c r="DG130" s="70"/>
      <c r="DH130" s="70"/>
      <c r="DI130" s="70"/>
      <c r="DJ130" s="70"/>
      <c r="DK130" s="70"/>
      <c r="DL130" s="70"/>
      <c r="DM130" s="70"/>
      <c r="DN130" s="70"/>
      <c r="DO130" s="70"/>
      <c r="DP130" s="70"/>
      <c r="DQ130" s="70"/>
      <c r="DR130" s="70"/>
      <c r="DS130" s="70"/>
      <c r="DT130" s="70"/>
      <c r="DU130" s="70"/>
      <c r="DV130" s="70"/>
      <c r="DW130" s="70"/>
      <c r="DX130" s="70"/>
      <c r="DY130" s="70"/>
      <c r="DZ130" s="70"/>
      <c r="EA130" s="70"/>
      <c r="EB130" s="70"/>
      <c r="EC130" s="70"/>
      <c r="ED130" s="70"/>
      <c r="EE130" s="70"/>
      <c r="EF130" s="70"/>
      <c r="EG130" s="70"/>
      <c r="EH130" s="70"/>
      <c r="EI130" s="70"/>
      <c r="EJ130" s="70"/>
      <c r="EK130" s="70"/>
      <c r="EL130" s="70"/>
      <c r="EM130" s="70"/>
      <c r="EN130" s="70"/>
      <c r="EO130" s="70"/>
      <c r="EP130" s="70"/>
      <c r="EQ130" s="70"/>
      <c r="ER130" s="70"/>
      <c r="ES130" s="70"/>
      <c r="ET130" s="70"/>
      <c r="EU130" s="70"/>
      <c r="EV130" s="70"/>
      <c r="EW130" s="70"/>
      <c r="EX130" s="70"/>
      <c r="EY130" s="70"/>
      <c r="EZ130" s="70"/>
      <c r="FA130" s="70"/>
      <c r="FB130" s="70"/>
      <c r="FC130" s="70"/>
      <c r="FD130" s="70"/>
      <c r="FE130" s="70"/>
      <c r="FF130" s="70"/>
      <c r="FG130" s="70"/>
      <c r="FH130" s="70"/>
      <c r="FI130" s="70"/>
      <c r="FJ130" s="70"/>
      <c r="FK130" s="70"/>
      <c r="FL130" s="70"/>
      <c r="FM130" s="70"/>
      <c r="FN130" s="70"/>
      <c r="FO130" s="70"/>
      <c r="FP130" s="70"/>
      <c r="FQ130" s="70"/>
      <c r="FR130" s="70"/>
      <c r="FS130" s="70"/>
      <c r="FT130" s="70"/>
      <c r="FU130" s="70"/>
      <c r="FV130" s="70"/>
      <c r="FW130" s="70"/>
      <c r="FX130" s="70"/>
      <c r="FY130" s="70"/>
      <c r="FZ130" s="70"/>
      <c r="GA130" s="70"/>
      <c r="GB130" s="70"/>
      <c r="GC130" s="70"/>
      <c r="GD130" s="70"/>
      <c r="GE130" s="70"/>
      <c r="GF130" s="70"/>
      <c r="GG130" s="70"/>
      <c r="GH130" s="70"/>
      <c r="GI130" s="70"/>
      <c r="GJ130" s="70"/>
      <c r="GK130" s="70"/>
      <c r="GL130" s="70"/>
      <c r="GM130" s="70"/>
      <c r="GN130" s="70"/>
      <c r="GO130" s="70"/>
      <c r="GP130" s="70"/>
      <c r="GQ130" s="70"/>
      <c r="GR130" s="70"/>
      <c r="GS130" s="70"/>
      <c r="GT130" s="70"/>
      <c r="GU130" s="70"/>
      <c r="GV130" s="70"/>
      <c r="GW130" s="70"/>
      <c r="GX130" s="70"/>
      <c r="GY130" s="70"/>
      <c r="GZ130" s="70"/>
      <c r="HA130" s="70"/>
      <c r="HB130" s="70"/>
      <c r="HC130" s="70"/>
      <c r="HD130" s="70"/>
      <c r="HE130" s="70"/>
      <c r="HF130" s="70"/>
      <c r="HG130" s="70"/>
      <c r="HH130" s="70"/>
      <c r="HI130" s="70"/>
      <c r="HJ130" s="70"/>
      <c r="HK130" s="70"/>
      <c r="HL130" s="70"/>
      <c r="HM130" s="70"/>
      <c r="HN130" s="70"/>
      <c r="HO130" s="70"/>
      <c r="HP130" s="70"/>
      <c r="HQ130" s="70"/>
      <c r="HR130" s="70"/>
      <c r="HS130" s="70"/>
      <c r="HT130" s="70"/>
      <c r="HU130" s="70"/>
      <c r="HV130" s="70"/>
      <c r="HW130" s="70"/>
      <c r="HX130" s="70"/>
      <c r="HY130" s="70"/>
      <c r="HZ130" s="70"/>
      <c r="IA130" s="70"/>
      <c r="IB130" s="70"/>
      <c r="IC130" s="70"/>
      <c r="ID130" s="70"/>
      <c r="IE130" s="70"/>
      <c r="IF130" s="70"/>
      <c r="IG130" s="70"/>
      <c r="IH130" s="70"/>
      <c r="II130" s="70"/>
      <c r="IJ130" s="70"/>
      <c r="IK130" s="70"/>
      <c r="IL130" s="70"/>
      <c r="IM130" s="70"/>
      <c r="IN130" s="70"/>
      <c r="IO130" s="70"/>
      <c r="IP130" s="70"/>
      <c r="IQ130" s="70"/>
      <c r="IR130" s="70"/>
      <c r="IS130" s="70"/>
      <c r="IT130" s="70"/>
      <c r="IU130" s="70"/>
      <c r="IV130" s="70"/>
      <c r="IW130" s="70"/>
      <c r="IX130" s="70"/>
      <c r="IY130" s="70"/>
      <c r="IZ130" s="70"/>
      <c r="JA130" s="70"/>
      <c r="JB130" s="70"/>
      <c r="JC130" s="70"/>
      <c r="JD130" s="70"/>
      <c r="JE130" s="70"/>
      <c r="JF130" s="70"/>
      <c r="JG130" s="70"/>
      <c r="JH130" s="70"/>
      <c r="JI130" s="70"/>
      <c r="JJ130" s="70"/>
      <c r="JK130" s="70"/>
      <c r="JL130" s="70"/>
      <c r="JM130" s="70"/>
      <c r="JN130" s="70"/>
      <c r="JO130" s="70"/>
      <c r="JP130" s="70"/>
      <c r="JQ130" s="70"/>
      <c r="JR130" s="70"/>
      <c r="JS130" s="70"/>
      <c r="JT130" s="70"/>
      <c r="JU130" s="70"/>
      <c r="JV130" s="70"/>
      <c r="JW130" s="70"/>
      <c r="JX130" s="70"/>
      <c r="JY130" s="70"/>
      <c r="JZ130" s="70"/>
      <c r="KA130" s="70"/>
      <c r="KB130" s="70"/>
      <c r="KC130" s="70"/>
      <c r="KD130" s="70"/>
      <c r="KE130" s="70"/>
      <c r="KF130" s="70"/>
      <c r="KG130" s="70"/>
      <c r="KH130" s="70"/>
      <c r="KI130" s="70"/>
      <c r="KJ130" s="70"/>
      <c r="KK130" s="70"/>
      <c r="KL130" s="70"/>
      <c r="KM130" s="70"/>
      <c r="KN130" s="70"/>
      <c r="KO130" s="70"/>
      <c r="KP130" s="70"/>
      <c r="KQ130" s="70"/>
      <c r="KR130" s="70"/>
      <c r="KS130" s="70"/>
      <c r="KT130" s="70"/>
      <c r="KU130" s="70"/>
      <c r="KV130" s="70"/>
      <c r="KW130" s="70"/>
      <c r="KX130" s="70"/>
      <c r="KY130" s="70"/>
      <c r="KZ130" s="70"/>
      <c r="LA130" s="70"/>
      <c r="LB130" s="70"/>
      <c r="LC130" s="70"/>
      <c r="LD130" s="70"/>
      <c r="LE130" s="70"/>
      <c r="LF130" s="70"/>
      <c r="LG130" s="70"/>
      <c r="LH130" s="70"/>
      <c r="LI130" s="70"/>
      <c r="LJ130" s="70"/>
      <c r="LK130" s="70"/>
      <c r="LL130" s="70"/>
      <c r="LM130" s="70"/>
      <c r="LN130" s="70"/>
      <c r="LO130" s="70"/>
      <c r="LP130" s="70"/>
      <c r="LQ130" s="70"/>
      <c r="LR130" s="70"/>
      <c r="LS130" s="70"/>
      <c r="LT130" s="70"/>
      <c r="LU130" s="70"/>
      <c r="LV130" s="70"/>
      <c r="LW130" s="70"/>
      <c r="LX130" s="70"/>
      <c r="LY130" s="70"/>
      <c r="LZ130" s="70"/>
      <c r="MA130" s="70"/>
      <c r="MB130" s="70"/>
      <c r="MC130" s="70"/>
      <c r="MD130" s="70"/>
      <c r="ME130" s="70"/>
      <c r="MF130" s="70"/>
      <c r="MG130" s="70"/>
      <c r="MH130" s="70"/>
      <c r="MI130" s="70"/>
      <c r="MJ130" s="70"/>
      <c r="MK130" s="70"/>
      <c r="ML130" s="70"/>
      <c r="MM130" s="70"/>
      <c r="MN130" s="70"/>
      <c r="MO130" s="70"/>
      <c r="MP130" s="70"/>
      <c r="MQ130" s="70"/>
      <c r="MR130" s="70"/>
      <c r="MS130" s="70"/>
      <c r="MT130" s="70"/>
      <c r="MU130" s="70"/>
      <c r="MV130" s="70"/>
      <c r="MW130" s="70"/>
      <c r="MX130" s="70"/>
      <c r="MY130" s="70"/>
      <c r="MZ130" s="70"/>
      <c r="NA130" s="70"/>
      <c r="NB130" s="70"/>
      <c r="NC130" s="70"/>
      <c r="ND130" s="70"/>
      <c r="NE130" s="70"/>
      <c r="NF130" s="70"/>
      <c r="NG130" s="70"/>
      <c r="NH130" s="70"/>
      <c r="NI130" s="70"/>
      <c r="NJ130" s="70"/>
      <c r="NK130" s="70"/>
      <c r="NL130" s="70"/>
      <c r="NM130" s="70"/>
      <c r="NN130" s="70"/>
      <c r="NO130" s="70"/>
      <c r="NP130" s="70"/>
      <c r="NQ130" s="70"/>
      <c r="NR130" s="70"/>
      <c r="NS130" s="70"/>
      <c r="NT130" s="70"/>
      <c r="NU130" s="70"/>
      <c r="NV130" s="70"/>
      <c r="NW130" s="70"/>
      <c r="NX130" s="70"/>
      <c r="NY130" s="70"/>
      <c r="NZ130" s="70"/>
      <c r="OA130" s="70"/>
      <c r="OB130" s="70"/>
      <c r="OC130" s="70"/>
      <c r="OD130" s="70"/>
      <c r="OE130" s="70"/>
      <c r="OF130" s="70"/>
      <c r="OG130" s="70"/>
      <c r="OH130" s="70"/>
      <c r="OI130" s="70"/>
      <c r="OJ130" s="70"/>
      <c r="OK130" s="70"/>
      <c r="OL130" s="70"/>
      <c r="OM130" s="70"/>
      <c r="ON130" s="70"/>
      <c r="OO130" s="70"/>
      <c r="OP130" s="70"/>
      <c r="OQ130" s="70"/>
      <c r="OR130" s="70"/>
      <c r="OS130" s="70"/>
      <c r="OT130" s="70"/>
      <c r="OU130" s="70"/>
      <c r="OV130" s="70"/>
      <c r="OW130" s="70"/>
      <c r="OX130" s="70"/>
      <c r="OY130" s="70"/>
      <c r="OZ130" s="70"/>
      <c r="PA130" s="70"/>
      <c r="PB130" s="70"/>
      <c r="PC130" s="70"/>
      <c r="PD130" s="70"/>
      <c r="PE130" s="70"/>
      <c r="PF130" s="70"/>
      <c r="PG130" s="70"/>
      <c r="PH130" s="70"/>
      <c r="PI130" s="70"/>
      <c r="PJ130" s="70"/>
      <c r="PK130" s="70"/>
      <c r="PL130" s="70"/>
      <c r="PM130" s="70"/>
      <c r="PN130" s="70"/>
      <c r="PO130" s="70"/>
      <c r="PP130" s="70"/>
      <c r="PQ130" s="70"/>
      <c r="PR130" s="70"/>
      <c r="PS130" s="70"/>
      <c r="PT130" s="70"/>
      <c r="PU130" s="70"/>
      <c r="PV130" s="70"/>
      <c r="PW130" s="70"/>
      <c r="PX130" s="70"/>
      <c r="PY130" s="70"/>
      <c r="PZ130" s="70"/>
      <c r="QA130" s="70"/>
      <c r="QB130" s="70"/>
      <c r="QC130" s="70"/>
      <c r="QD130" s="70"/>
      <c r="QE130" s="70"/>
      <c r="QF130" s="70"/>
      <c r="QG130" s="70"/>
      <c r="QH130" s="70"/>
      <c r="QI130" s="70"/>
      <c r="QJ130" s="70"/>
      <c r="QK130" s="70"/>
      <c r="QL130" s="70"/>
      <c r="QM130" s="70"/>
      <c r="QN130" s="70"/>
      <c r="QO130" s="70"/>
      <c r="QP130" s="70"/>
      <c r="QQ130" s="70"/>
      <c r="QR130" s="70"/>
      <c r="QS130" s="70"/>
      <c r="QT130" s="70"/>
      <c r="QU130" s="70"/>
      <c r="QV130" s="70"/>
      <c r="QW130" s="70"/>
      <c r="QX130" s="70"/>
      <c r="QY130" s="70"/>
      <c r="QZ130" s="70"/>
      <c r="RA130" s="70"/>
      <c r="RB130" s="70"/>
      <c r="RC130" s="70"/>
      <c r="RD130" s="70"/>
      <c r="RE130" s="70"/>
      <c r="RF130" s="70"/>
      <c r="RG130" s="70"/>
      <c r="RH130" s="70"/>
      <c r="RI130" s="70"/>
      <c r="RJ130" s="70"/>
      <c r="RK130" s="70"/>
      <c r="RL130" s="70"/>
      <c r="RM130" s="70"/>
      <c r="RN130" s="70"/>
      <c r="RO130" s="70"/>
      <c r="RP130" s="70"/>
      <c r="RQ130" s="70"/>
      <c r="RR130" s="70"/>
      <c r="RS130" s="70"/>
      <c r="RT130" s="70"/>
      <c r="RU130" s="70"/>
      <c r="RV130" s="70"/>
      <c r="RW130" s="70"/>
      <c r="RX130" s="70"/>
      <c r="RY130" s="70"/>
      <c r="RZ130" s="70"/>
      <c r="SA130" s="70"/>
      <c r="SB130" s="70"/>
      <c r="SC130" s="70"/>
      <c r="SD130" s="70"/>
      <c r="SE130" s="70"/>
      <c r="SF130" s="70"/>
      <c r="SG130" s="70"/>
      <c r="SH130" s="70"/>
      <c r="SI130" s="70"/>
      <c r="SJ130" s="70"/>
      <c r="SK130" s="70"/>
      <c r="SL130" s="70"/>
      <c r="SM130" s="70"/>
      <c r="SN130" s="70"/>
      <c r="SO130" s="70"/>
      <c r="SP130" s="70"/>
      <c r="SQ130" s="70"/>
      <c r="SR130" s="70"/>
      <c r="SS130" s="70"/>
      <c r="ST130" s="70"/>
      <c r="SU130" s="70"/>
      <c r="SV130" s="70"/>
      <c r="SW130" s="70"/>
      <c r="SX130" s="70"/>
      <c r="SY130" s="70"/>
      <c r="SZ130" s="70"/>
      <c r="TA130" s="70"/>
      <c r="TB130" s="70"/>
      <c r="TC130" s="70"/>
      <c r="TD130" s="70"/>
      <c r="TE130" s="70"/>
      <c r="TF130" s="70"/>
      <c r="TG130" s="70"/>
      <c r="TH130" s="70"/>
      <c r="TI130" s="70"/>
      <c r="TJ130" s="70"/>
      <c r="TK130" s="70"/>
      <c r="TL130" s="70"/>
      <c r="TM130" s="70"/>
      <c r="TN130" s="70"/>
      <c r="TO130" s="70"/>
      <c r="TP130" s="70"/>
      <c r="TQ130" s="70"/>
      <c r="TR130" s="70"/>
      <c r="TS130" s="70"/>
      <c r="TT130" s="70"/>
      <c r="TU130" s="70"/>
      <c r="TV130" s="70"/>
      <c r="TW130" s="70"/>
      <c r="TX130" s="70"/>
      <c r="TY130" s="70"/>
      <c r="TZ130" s="70"/>
      <c r="UA130" s="70"/>
      <c r="UB130" s="70"/>
      <c r="UC130" s="70"/>
      <c r="UD130" s="70"/>
      <c r="UE130" s="70"/>
      <c r="UF130" s="70"/>
      <c r="UG130" s="70"/>
      <c r="UH130" s="70"/>
      <c r="UI130" s="70"/>
      <c r="UJ130" s="70"/>
      <c r="UK130" s="70"/>
      <c r="UL130" s="70"/>
      <c r="UM130" s="70"/>
      <c r="UN130" s="70"/>
      <c r="UO130" s="70"/>
      <c r="UP130" s="70"/>
      <c r="UQ130" s="70"/>
      <c r="UR130" s="70"/>
      <c r="US130" s="70"/>
      <c r="UT130" s="70"/>
      <c r="UU130" s="70"/>
      <c r="UV130" s="70"/>
      <c r="UW130" s="70"/>
      <c r="UX130" s="70"/>
      <c r="UY130" s="70"/>
      <c r="UZ130" s="70"/>
      <c r="VA130" s="70"/>
      <c r="VB130" s="70"/>
      <c r="VC130" s="70"/>
      <c r="VD130" s="70"/>
      <c r="VE130" s="70"/>
      <c r="VF130" s="70"/>
      <c r="VG130" s="70"/>
      <c r="VH130" s="70"/>
      <c r="VI130" s="70"/>
      <c r="VJ130" s="70"/>
      <c r="VK130" s="70"/>
      <c r="VL130" s="70"/>
      <c r="VM130" s="70"/>
      <c r="VN130" s="70"/>
      <c r="VO130" s="70"/>
      <c r="VP130" s="70"/>
      <c r="VQ130" s="70"/>
      <c r="VR130" s="70"/>
      <c r="VS130" s="70"/>
      <c r="VT130" s="70"/>
      <c r="VU130" s="70"/>
      <c r="VV130" s="70"/>
      <c r="VW130" s="70"/>
      <c r="VX130" s="70"/>
      <c r="VY130" s="70"/>
      <c r="VZ130" s="70"/>
      <c r="WA130" s="70"/>
      <c r="WB130" s="70"/>
      <c r="WC130" s="70"/>
      <c r="WD130" s="70"/>
      <c r="WE130" s="70"/>
      <c r="WF130" s="70"/>
      <c r="WG130" s="70"/>
      <c r="WH130" s="70"/>
      <c r="WI130" s="70"/>
      <c r="WJ130" s="70"/>
      <c r="WK130" s="70"/>
      <c r="WL130" s="70"/>
      <c r="WM130" s="70"/>
      <c r="WN130" s="70"/>
      <c r="WO130" s="70"/>
      <c r="WP130" s="70"/>
      <c r="WQ130" s="70"/>
      <c r="WR130" s="70"/>
      <c r="WS130" s="70"/>
      <c r="WT130" s="70"/>
      <c r="WU130" s="70"/>
      <c r="WV130" s="70"/>
      <c r="WW130" s="70"/>
      <c r="WX130" s="70"/>
      <c r="WY130" s="70"/>
      <c r="WZ130" s="70"/>
      <c r="XA130" s="70"/>
      <c r="XB130" s="70"/>
      <c r="XC130" s="70"/>
      <c r="XD130" s="70"/>
      <c r="XE130" s="70"/>
      <c r="XF130" s="70"/>
      <c r="XG130" s="70"/>
      <c r="XH130" s="70"/>
      <c r="XI130" s="70"/>
      <c r="XJ130" s="70"/>
      <c r="XK130" s="70"/>
      <c r="XL130" s="70"/>
      <c r="XM130" s="70"/>
      <c r="XN130" s="70"/>
      <c r="XO130" s="70"/>
      <c r="XP130" s="70"/>
      <c r="XQ130" s="70"/>
      <c r="XR130" s="70"/>
      <c r="XS130" s="70"/>
      <c r="XT130" s="70"/>
      <c r="XU130" s="70"/>
      <c r="XV130" s="70"/>
      <c r="XW130" s="70"/>
      <c r="XX130" s="70"/>
      <c r="XY130" s="70"/>
      <c r="XZ130" s="70"/>
      <c r="YA130" s="70"/>
      <c r="YB130" s="70"/>
      <c r="YC130" s="70"/>
      <c r="YD130" s="70"/>
      <c r="YE130" s="70"/>
      <c r="YF130" s="70"/>
      <c r="YG130" s="70"/>
      <c r="YH130" s="70"/>
      <c r="YI130" s="70"/>
      <c r="YJ130" s="70"/>
      <c r="YK130" s="70"/>
      <c r="YL130" s="70"/>
      <c r="YM130" s="70"/>
      <c r="YN130" s="70"/>
      <c r="YO130" s="70"/>
      <c r="YP130" s="70"/>
      <c r="YQ130" s="70"/>
      <c r="YR130" s="70"/>
      <c r="YS130" s="70"/>
      <c r="YT130" s="70"/>
      <c r="YU130" s="70"/>
      <c r="YV130" s="70"/>
      <c r="YW130" s="70"/>
      <c r="YX130" s="70"/>
      <c r="YY130" s="70"/>
      <c r="YZ130" s="70"/>
      <c r="ZA130" s="70"/>
      <c r="ZB130" s="70"/>
      <c r="ZC130" s="70"/>
      <c r="ZD130" s="70"/>
      <c r="ZE130" s="70"/>
      <c r="ZF130" s="70"/>
      <c r="ZG130" s="70"/>
      <c r="ZH130" s="70"/>
      <c r="ZI130" s="70"/>
      <c r="ZJ130" s="70"/>
      <c r="ZK130" s="70"/>
      <c r="ZL130" s="70"/>
      <c r="ZM130" s="70"/>
      <c r="ZN130" s="70"/>
      <c r="ZO130" s="70"/>
      <c r="ZP130" s="70"/>
      <c r="ZQ130" s="70"/>
      <c r="ZR130" s="70"/>
      <c r="ZS130" s="70"/>
      <c r="ZT130" s="70"/>
      <c r="ZU130" s="70"/>
      <c r="ZV130" s="70"/>
      <c r="ZW130" s="70"/>
      <c r="ZX130" s="70"/>
      <c r="ZY130" s="70"/>
      <c r="ZZ130" s="70"/>
      <c r="AAA130" s="70"/>
      <c r="AAB130" s="70"/>
      <c r="AAC130" s="70"/>
      <c r="AAD130" s="70"/>
      <c r="AAE130" s="70"/>
      <c r="AAF130" s="70"/>
      <c r="AAG130" s="70"/>
      <c r="AAH130" s="70"/>
      <c r="AAI130" s="70"/>
      <c r="AAJ130" s="70"/>
      <c r="AAK130" s="70"/>
      <c r="AAL130" s="70"/>
      <c r="AAM130" s="70"/>
      <c r="AAN130" s="70"/>
      <c r="AAO130" s="70"/>
      <c r="AAP130" s="70"/>
      <c r="AAQ130" s="70"/>
      <c r="AAR130" s="70"/>
      <c r="AAS130" s="70"/>
      <c r="AAT130" s="70"/>
      <c r="AAU130" s="70"/>
      <c r="AAV130" s="70"/>
      <c r="AAW130" s="70"/>
      <c r="AAX130" s="70"/>
      <c r="AAY130" s="70"/>
      <c r="AAZ130" s="70"/>
      <c r="ABA130" s="70"/>
      <c r="ABB130" s="70"/>
      <c r="ABC130" s="70"/>
      <c r="ABD130" s="70"/>
      <c r="ABE130" s="70"/>
      <c r="ABF130" s="70"/>
      <c r="ABG130" s="70"/>
      <c r="ABH130" s="70"/>
      <c r="ABI130" s="70"/>
      <c r="ABJ130" s="70"/>
      <c r="ABK130" s="70"/>
      <c r="ABL130" s="70"/>
      <c r="ABM130" s="70"/>
      <c r="ABN130" s="70"/>
      <c r="ABO130" s="70"/>
      <c r="ABP130" s="70"/>
      <c r="ABQ130" s="70"/>
      <c r="ABR130" s="70"/>
      <c r="ABS130" s="70"/>
      <c r="ABT130" s="70"/>
      <c r="ABU130" s="70"/>
      <c r="ABV130" s="70"/>
      <c r="ABW130" s="70"/>
      <c r="ABX130" s="70"/>
      <c r="ABY130" s="70"/>
      <c r="ABZ130" s="70"/>
      <c r="ACA130" s="70"/>
      <c r="ACB130" s="70"/>
      <c r="ACC130" s="70"/>
      <c r="ACD130" s="70"/>
      <c r="ACE130" s="70"/>
      <c r="ACF130" s="70"/>
      <c r="ACG130" s="70"/>
      <c r="ACH130" s="70"/>
      <c r="ACI130" s="70"/>
      <c r="ACJ130" s="70"/>
      <c r="ACK130" s="70"/>
      <c r="ACL130" s="70"/>
      <c r="ACM130" s="70"/>
      <c r="ACN130" s="70"/>
      <c r="ACO130" s="70"/>
      <c r="ACP130" s="70"/>
      <c r="ACQ130" s="70"/>
      <c r="ACR130" s="70"/>
      <c r="ACS130" s="70"/>
      <c r="ACT130" s="70"/>
      <c r="ACU130" s="70"/>
      <c r="ACV130" s="70"/>
      <c r="ACW130" s="70"/>
      <c r="ACX130" s="70"/>
      <c r="ACY130" s="70"/>
      <c r="ACZ130" s="70"/>
      <c r="ADA130" s="70"/>
      <c r="ADB130" s="70"/>
      <c r="ADC130" s="70"/>
      <c r="ADD130" s="70"/>
      <c r="ADE130" s="70"/>
      <c r="ADF130" s="70"/>
      <c r="ADG130" s="70"/>
      <c r="ADH130" s="70"/>
      <c r="ADI130" s="70"/>
      <c r="ADJ130" s="70"/>
      <c r="ADK130" s="70"/>
      <c r="ADL130" s="70"/>
      <c r="ADM130" s="70"/>
      <c r="ADN130" s="70"/>
      <c r="ADO130" s="70"/>
      <c r="ADP130" s="70"/>
      <c r="ADQ130" s="70"/>
      <c r="ADR130" s="70"/>
      <c r="ADS130" s="70"/>
      <c r="ADT130" s="70"/>
      <c r="ADU130" s="70"/>
      <c r="ADV130" s="70"/>
      <c r="ADW130" s="70"/>
      <c r="ADX130" s="70"/>
      <c r="ADY130" s="70"/>
      <c r="ADZ130" s="70"/>
      <c r="AEA130" s="70"/>
      <c r="AEB130" s="70"/>
      <c r="AEC130" s="70"/>
      <c r="AED130" s="70"/>
      <c r="AEE130" s="70"/>
      <c r="AEF130" s="70"/>
      <c r="AEG130" s="70"/>
      <c r="AEH130" s="70"/>
      <c r="AEI130" s="70"/>
      <c r="AEJ130" s="70"/>
      <c r="AEK130" s="70"/>
      <c r="AEL130" s="70"/>
      <c r="AEM130" s="70"/>
      <c r="AEN130" s="70"/>
      <c r="AEO130" s="70"/>
      <c r="AEP130" s="70"/>
      <c r="AEQ130" s="70"/>
      <c r="AER130" s="70"/>
      <c r="AES130" s="70"/>
      <c r="AET130" s="70"/>
      <c r="AEU130" s="70"/>
      <c r="AEV130" s="70"/>
      <c r="AEW130" s="70"/>
      <c r="AEX130" s="70"/>
      <c r="AEY130" s="70"/>
      <c r="AEZ130" s="70"/>
      <c r="AFA130" s="70"/>
      <c r="AFB130" s="70"/>
      <c r="AFC130" s="70"/>
      <c r="AFD130" s="70"/>
      <c r="AFE130" s="70"/>
      <c r="AFF130" s="70"/>
      <c r="AFG130" s="70"/>
      <c r="AFH130" s="70"/>
      <c r="AFI130" s="70"/>
      <c r="AFJ130" s="70"/>
      <c r="AFK130" s="70"/>
      <c r="AFL130" s="70"/>
      <c r="AFM130" s="70"/>
      <c r="AFN130" s="70"/>
      <c r="AFO130" s="70"/>
      <c r="AFP130" s="70"/>
      <c r="AFQ130" s="70"/>
      <c r="AFR130" s="70"/>
      <c r="AFS130" s="70"/>
      <c r="AFT130" s="70"/>
      <c r="AFU130" s="70"/>
      <c r="AFV130" s="70"/>
      <c r="AFW130" s="70"/>
      <c r="AFX130" s="70"/>
      <c r="AFY130" s="70"/>
      <c r="AFZ130" s="70"/>
      <c r="AGA130" s="70"/>
      <c r="AGB130" s="70"/>
      <c r="AGC130" s="70"/>
      <c r="AGD130" s="70"/>
      <c r="AGE130" s="70"/>
      <c r="AGF130" s="70"/>
      <c r="AGG130" s="70"/>
      <c r="AGH130" s="70"/>
      <c r="AGI130" s="70"/>
      <c r="AGJ130" s="70"/>
      <c r="AGK130" s="70"/>
      <c r="AGL130" s="70"/>
      <c r="AGM130" s="70"/>
      <c r="AGN130" s="70"/>
      <c r="AGO130" s="70"/>
      <c r="AGP130" s="70"/>
      <c r="AGQ130" s="70"/>
      <c r="AGR130" s="70"/>
      <c r="AGS130" s="70"/>
      <c r="AGT130" s="70"/>
      <c r="AGU130" s="70"/>
      <c r="AGV130" s="70"/>
      <c r="AGW130" s="70"/>
      <c r="AGX130" s="70"/>
      <c r="AGY130" s="70"/>
      <c r="AGZ130" s="70"/>
      <c r="AHA130" s="70"/>
      <c r="AHB130" s="70"/>
      <c r="AHC130" s="70"/>
      <c r="AHD130" s="70"/>
      <c r="AHE130" s="70"/>
      <c r="AHF130" s="70"/>
      <c r="AHG130" s="70"/>
      <c r="AHH130" s="70"/>
      <c r="AHI130" s="70"/>
      <c r="AHJ130" s="70"/>
      <c r="AHK130" s="70"/>
      <c r="AHL130" s="70"/>
      <c r="AHM130" s="70"/>
      <c r="AHN130" s="70"/>
      <c r="AHO130" s="70"/>
      <c r="AHP130" s="70"/>
      <c r="AHQ130" s="70"/>
      <c r="AHR130" s="70"/>
      <c r="AHS130" s="70"/>
      <c r="AHT130" s="70"/>
      <c r="AHU130" s="70"/>
      <c r="AHV130" s="70"/>
      <c r="AHW130" s="70"/>
      <c r="AHX130" s="70"/>
      <c r="AHY130" s="70"/>
      <c r="AHZ130" s="70"/>
      <c r="AIA130" s="70"/>
      <c r="AIB130" s="70"/>
      <c r="AIC130" s="70"/>
      <c r="AID130" s="70"/>
      <c r="AIE130" s="70"/>
      <c r="AIF130" s="70"/>
      <c r="AIG130" s="70"/>
      <c r="AIH130" s="70"/>
      <c r="AII130" s="70"/>
      <c r="AIJ130" s="70"/>
      <c r="AIK130" s="70"/>
      <c r="AIL130" s="70"/>
      <c r="AIM130" s="70"/>
      <c r="AIN130" s="70"/>
      <c r="AIO130" s="70"/>
      <c r="AIP130" s="70"/>
      <c r="AIQ130" s="70"/>
      <c r="AIR130" s="70"/>
      <c r="AIS130" s="70"/>
      <c r="AIT130" s="70"/>
      <c r="AIU130" s="70"/>
      <c r="AIV130" s="70"/>
      <c r="AIW130" s="70"/>
      <c r="AIX130" s="70"/>
      <c r="AIY130" s="70"/>
      <c r="AIZ130" s="70"/>
      <c r="AJA130" s="70"/>
      <c r="AJB130" s="70"/>
      <c r="AJC130" s="70"/>
      <c r="AJD130" s="70"/>
      <c r="AJE130" s="70"/>
      <c r="AJF130" s="70"/>
      <c r="AJG130" s="70"/>
      <c r="AJH130" s="70"/>
      <c r="AJI130" s="70"/>
      <c r="AJJ130" s="70"/>
      <c r="AJK130" s="70"/>
      <c r="AJL130" s="70"/>
      <c r="AJM130" s="70"/>
      <c r="AJN130" s="70"/>
      <c r="AJO130" s="70"/>
      <c r="AJP130" s="70"/>
      <c r="AJQ130" s="70"/>
      <c r="AJR130" s="70"/>
      <c r="AJS130" s="70"/>
      <c r="AJT130" s="70"/>
      <c r="AJU130" s="70"/>
      <c r="AJV130" s="70"/>
      <c r="AJW130" s="70"/>
      <c r="AJX130" s="70"/>
      <c r="AJY130" s="70"/>
      <c r="AJZ130" s="70"/>
      <c r="AKA130" s="70"/>
      <c r="AKB130" s="70"/>
      <c r="AKC130" s="70"/>
      <c r="AKD130" s="70"/>
      <c r="AKE130" s="70"/>
      <c r="AKF130" s="70"/>
      <c r="AKG130" s="70"/>
      <c r="AKH130" s="70"/>
      <c r="AKI130" s="70"/>
      <c r="AKJ130" s="70"/>
      <c r="AKK130" s="70"/>
      <c r="AKL130" s="70"/>
      <c r="AKM130" s="70"/>
      <c r="AKN130" s="70"/>
      <c r="AKO130" s="70"/>
      <c r="AKP130" s="70"/>
      <c r="AKQ130" s="70"/>
      <c r="AKR130" s="70"/>
      <c r="AKS130" s="70"/>
      <c r="AKT130" s="70"/>
      <c r="AKU130" s="70"/>
      <c r="AKV130" s="70"/>
      <c r="AKW130" s="70"/>
      <c r="AKX130" s="70"/>
      <c r="AKY130" s="70"/>
      <c r="AKZ130" s="70"/>
      <c r="ALA130" s="70"/>
      <c r="ALB130" s="70"/>
      <c r="ALC130" s="70"/>
      <c r="ALD130" s="70"/>
      <c r="ALE130" s="70"/>
      <c r="ALF130" s="70"/>
      <c r="ALG130" s="70"/>
      <c r="ALH130" s="70"/>
      <c r="ALI130" s="70"/>
      <c r="ALJ130" s="70"/>
      <c r="ALK130" s="70"/>
      <c r="ALL130" s="70"/>
      <c r="ALM130" s="70"/>
      <c r="ALN130" s="70"/>
      <c r="ALO130" s="70"/>
      <c r="ALP130" s="70"/>
      <c r="ALQ130" s="70"/>
      <c r="ALR130" s="70"/>
      <c r="ALS130" s="70"/>
      <c r="ALT130" s="70"/>
      <c r="ALU130" s="70"/>
      <c r="ALV130" s="70"/>
      <c r="ALW130" s="70"/>
      <c r="ALX130" s="70"/>
      <c r="ALY130" s="70"/>
      <c r="ALZ130" s="70"/>
      <c r="AMA130" s="70"/>
      <c r="AMB130" s="70"/>
      <c r="AMC130" s="70"/>
      <c r="AMD130" s="70"/>
      <c r="AME130" s="70"/>
      <c r="AMF130" s="70"/>
      <c r="AMG130" s="70"/>
      <c r="AMH130" s="70"/>
      <c r="AMI130" s="70"/>
      <c r="AMJ130" s="70"/>
      <c r="AMK130" s="70"/>
      <c r="AML130" s="70"/>
      <c r="AMM130" s="70"/>
      <c r="AMN130" s="70"/>
      <c r="AMO130" s="70"/>
      <c r="AMP130" s="70"/>
      <c r="AMQ130" s="70"/>
      <c r="AMR130" s="70"/>
      <c r="AMS130" s="70"/>
      <c r="AMT130" s="70"/>
      <c r="AMU130" s="70"/>
      <c r="AMV130" s="70"/>
      <c r="AMW130" s="70"/>
      <c r="AMX130" s="70"/>
      <c r="AMY130" s="70"/>
      <c r="AMZ130" s="70"/>
      <c r="ANA130" s="70"/>
      <c r="ANB130" s="70"/>
      <c r="ANC130" s="70"/>
      <c r="AND130" s="70"/>
      <c r="ANE130" s="70"/>
      <c r="ANF130" s="70"/>
      <c r="ANG130" s="70"/>
      <c r="ANH130" s="70"/>
      <c r="ANI130" s="70"/>
      <c r="ANJ130" s="70"/>
      <c r="ANK130" s="70"/>
      <c r="ANL130" s="70"/>
      <c r="ANM130" s="70"/>
      <c r="ANN130" s="70"/>
      <c r="ANO130" s="70"/>
      <c r="ANP130" s="70"/>
      <c r="ANQ130" s="70"/>
      <c r="ANR130" s="70"/>
      <c r="ANS130" s="70"/>
      <c r="ANT130" s="70"/>
      <c r="ANU130" s="70"/>
      <c r="ANV130" s="70"/>
      <c r="ANW130" s="70"/>
      <c r="ANX130" s="70"/>
      <c r="ANY130" s="70"/>
      <c r="ANZ130" s="70"/>
      <c r="AOA130" s="70"/>
      <c r="AOB130" s="70"/>
      <c r="AOC130" s="70"/>
      <c r="AOD130" s="70"/>
      <c r="AOE130" s="70"/>
      <c r="AOF130" s="70"/>
      <c r="AOG130" s="70"/>
      <c r="AOH130" s="70"/>
      <c r="AOI130" s="70"/>
      <c r="AOJ130" s="70"/>
      <c r="AOK130" s="70"/>
      <c r="AOL130" s="70"/>
      <c r="AOM130" s="70"/>
      <c r="AON130" s="70"/>
      <c r="AOO130" s="70"/>
      <c r="AOP130" s="70"/>
      <c r="AOQ130" s="70"/>
      <c r="AOR130" s="70"/>
      <c r="AOS130" s="70"/>
      <c r="AOT130" s="70"/>
      <c r="AOU130" s="70"/>
      <c r="AOV130" s="70"/>
      <c r="AOW130" s="70"/>
      <c r="AOX130" s="70"/>
      <c r="AOY130" s="70"/>
      <c r="AOZ130" s="70"/>
      <c r="APA130" s="70"/>
      <c r="APB130" s="70"/>
      <c r="APC130" s="70"/>
      <c r="APD130" s="70"/>
      <c r="APE130" s="70"/>
      <c r="APF130" s="70"/>
      <c r="APG130" s="70"/>
      <c r="APH130" s="70"/>
      <c r="API130" s="70"/>
      <c r="APJ130" s="70"/>
      <c r="APK130" s="70"/>
      <c r="APL130" s="70"/>
      <c r="APM130" s="70"/>
      <c r="APN130" s="70"/>
      <c r="APO130" s="70"/>
      <c r="APP130" s="70"/>
      <c r="APQ130" s="70"/>
      <c r="APR130" s="70"/>
      <c r="APS130" s="70"/>
      <c r="APT130" s="70"/>
      <c r="APU130" s="70"/>
      <c r="APV130" s="70"/>
      <c r="APW130" s="70"/>
      <c r="APX130" s="70"/>
      <c r="APY130" s="70"/>
      <c r="APZ130" s="70"/>
      <c r="AQA130" s="70"/>
      <c r="AQB130" s="70"/>
      <c r="AQC130" s="70"/>
      <c r="AQD130" s="70"/>
      <c r="AQE130" s="70"/>
      <c r="AQF130" s="70"/>
      <c r="AQG130" s="70"/>
      <c r="AQH130" s="70"/>
      <c r="AQI130" s="70"/>
      <c r="AQJ130" s="70"/>
      <c r="AQK130" s="70"/>
      <c r="AQL130" s="70"/>
      <c r="AQM130" s="70"/>
      <c r="AQN130" s="70"/>
      <c r="AQO130" s="70"/>
      <c r="AQP130" s="70"/>
      <c r="AQQ130" s="70"/>
      <c r="AQR130" s="70"/>
      <c r="AQS130" s="70"/>
      <c r="AQT130" s="70"/>
      <c r="AQU130" s="70"/>
      <c r="AQV130" s="70"/>
      <c r="AQW130" s="70"/>
      <c r="AQX130" s="70"/>
      <c r="AQY130" s="70"/>
      <c r="AQZ130" s="70"/>
      <c r="ARA130" s="70"/>
      <c r="ARB130" s="70"/>
      <c r="ARC130" s="70"/>
      <c r="ARD130" s="70"/>
      <c r="ARE130" s="70"/>
      <c r="ARF130" s="70"/>
      <c r="ARG130" s="70"/>
      <c r="ARH130" s="70"/>
      <c r="ARI130" s="70"/>
      <c r="ARJ130" s="70"/>
      <c r="ARK130" s="70"/>
      <c r="ARL130" s="70"/>
      <c r="ARM130" s="70"/>
      <c r="ARN130" s="70"/>
      <c r="ARO130" s="70"/>
      <c r="ARP130" s="70"/>
      <c r="ARQ130" s="70"/>
      <c r="ARR130" s="70"/>
      <c r="ARS130" s="70"/>
      <c r="ART130" s="70"/>
      <c r="ARU130" s="70"/>
      <c r="ARV130" s="70"/>
      <c r="ARW130" s="70"/>
      <c r="ARX130" s="70"/>
      <c r="ARY130" s="70"/>
      <c r="ARZ130" s="70"/>
      <c r="ASA130" s="70"/>
      <c r="ASB130" s="70"/>
      <c r="ASC130" s="70"/>
      <c r="ASD130" s="70"/>
      <c r="ASE130" s="70"/>
      <c r="ASF130" s="70"/>
      <c r="ASG130" s="70"/>
      <c r="ASH130" s="70"/>
      <c r="ASI130" s="70"/>
      <c r="ASJ130" s="70"/>
      <c r="ASK130" s="70"/>
      <c r="ASL130" s="70"/>
      <c r="ASM130" s="70"/>
      <c r="ASN130" s="70"/>
      <c r="ASO130" s="70"/>
      <c r="ASP130" s="70"/>
      <c r="ASQ130" s="70"/>
      <c r="ASR130" s="70"/>
      <c r="ASS130" s="70"/>
      <c r="AST130" s="70"/>
      <c r="ASU130" s="70"/>
      <c r="ASV130" s="70"/>
      <c r="ASW130" s="70"/>
      <c r="ASX130" s="70"/>
      <c r="ASY130" s="70"/>
      <c r="ASZ130" s="70"/>
      <c r="ATA130" s="70"/>
      <c r="ATB130" s="70"/>
      <c r="ATC130" s="70"/>
      <c r="ATD130" s="70"/>
      <c r="ATE130" s="70"/>
      <c r="ATF130" s="70"/>
      <c r="ATG130" s="70"/>
      <c r="ATH130" s="70"/>
      <c r="ATI130" s="70"/>
      <c r="ATJ130" s="70"/>
      <c r="ATK130" s="70"/>
      <c r="ATL130" s="70"/>
      <c r="ATM130" s="70"/>
      <c r="ATN130" s="70"/>
      <c r="ATO130" s="70"/>
      <c r="ATP130" s="70"/>
      <c r="ATQ130" s="70"/>
      <c r="ATR130" s="70"/>
      <c r="ATS130" s="70"/>
      <c r="ATT130" s="70"/>
      <c r="ATU130" s="70"/>
      <c r="ATV130" s="70"/>
      <c r="ATW130" s="70"/>
      <c r="ATX130" s="70"/>
      <c r="ATY130" s="70"/>
      <c r="ATZ130" s="70"/>
      <c r="AUA130" s="70"/>
      <c r="AUB130" s="70"/>
      <c r="AUC130" s="70"/>
      <c r="AUD130" s="70"/>
      <c r="AUE130" s="70"/>
      <c r="AUF130" s="70"/>
      <c r="AUG130" s="70"/>
      <c r="AUH130" s="70"/>
      <c r="AUI130" s="70"/>
      <c r="AUJ130" s="70"/>
      <c r="AUK130" s="70"/>
      <c r="AUL130" s="70"/>
      <c r="AUM130" s="70"/>
      <c r="AUN130" s="70"/>
      <c r="AUO130" s="70"/>
      <c r="AUP130" s="70"/>
      <c r="AUQ130" s="70"/>
      <c r="AUR130" s="70"/>
      <c r="AUS130" s="70"/>
      <c r="AUT130" s="70"/>
      <c r="AUU130" s="70"/>
      <c r="AUV130" s="70"/>
      <c r="AUW130" s="70"/>
      <c r="AUX130" s="70"/>
      <c r="AUY130" s="70"/>
      <c r="AUZ130" s="70"/>
      <c r="AVA130" s="70"/>
      <c r="AVB130" s="70"/>
      <c r="AVC130" s="70"/>
      <c r="AVD130" s="70"/>
      <c r="AVE130" s="70"/>
      <c r="AVF130" s="70"/>
      <c r="AVG130" s="70"/>
      <c r="AVH130" s="70"/>
      <c r="AVI130" s="70"/>
      <c r="AVJ130" s="70"/>
      <c r="AVK130" s="70"/>
      <c r="AVL130" s="70"/>
      <c r="AVM130" s="70"/>
      <c r="AVN130" s="70"/>
      <c r="AVO130" s="70"/>
      <c r="AVP130" s="70"/>
      <c r="AVQ130" s="70"/>
      <c r="AVR130" s="70"/>
      <c r="AVS130" s="70"/>
      <c r="AVT130" s="70"/>
      <c r="AVU130" s="70"/>
      <c r="AVV130" s="70"/>
      <c r="AVW130" s="70"/>
      <c r="AVX130" s="70"/>
      <c r="AVY130" s="70"/>
      <c r="AVZ130" s="70"/>
      <c r="AWA130" s="70"/>
      <c r="AWB130" s="70"/>
      <c r="AWC130" s="70"/>
      <c r="AWD130" s="70"/>
      <c r="AWE130" s="70"/>
      <c r="AWF130" s="70"/>
      <c r="AWG130" s="70"/>
      <c r="AWH130" s="70"/>
      <c r="AWI130" s="70"/>
      <c r="AWJ130" s="70"/>
      <c r="AWK130" s="70"/>
      <c r="AWL130" s="70"/>
      <c r="AWM130" s="70"/>
      <c r="AWN130" s="70"/>
      <c r="AWO130" s="70"/>
      <c r="AWP130" s="70"/>
      <c r="AWQ130" s="70"/>
      <c r="AWR130" s="70"/>
      <c r="AWS130" s="70"/>
      <c r="AWT130" s="70"/>
      <c r="AWU130" s="70"/>
      <c r="AWV130" s="70"/>
      <c r="AWW130" s="70"/>
      <c r="AWX130" s="70"/>
      <c r="AWY130" s="70"/>
      <c r="AWZ130" s="70"/>
      <c r="AXA130" s="70"/>
      <c r="AXB130" s="70"/>
      <c r="AXC130" s="70"/>
      <c r="AXD130" s="70"/>
      <c r="AXE130" s="70"/>
      <c r="AXF130" s="70"/>
      <c r="AXG130" s="70"/>
      <c r="AXH130" s="70"/>
      <c r="AXI130" s="70"/>
      <c r="AXJ130" s="70"/>
      <c r="AXK130" s="70"/>
      <c r="AXL130" s="70"/>
      <c r="AXM130" s="70"/>
      <c r="AXN130" s="70"/>
      <c r="AXO130" s="70"/>
      <c r="AXP130" s="70"/>
      <c r="AXQ130" s="70"/>
      <c r="AXR130" s="70"/>
      <c r="AXS130" s="70"/>
      <c r="AXT130" s="70"/>
      <c r="AXU130" s="70"/>
      <c r="AXV130" s="70"/>
      <c r="AXW130" s="70"/>
      <c r="AXX130" s="70"/>
      <c r="AXY130" s="70"/>
      <c r="AXZ130" s="70"/>
      <c r="AYA130" s="70"/>
      <c r="AYB130" s="70"/>
      <c r="AYC130" s="70"/>
      <c r="AYD130" s="70"/>
      <c r="AYE130" s="70"/>
      <c r="AYF130" s="70"/>
      <c r="AYG130" s="70"/>
      <c r="AYH130" s="70"/>
      <c r="AYI130" s="70"/>
      <c r="AYJ130" s="70"/>
      <c r="AYK130" s="70"/>
      <c r="AYL130" s="70"/>
      <c r="AYM130" s="70"/>
      <c r="AYN130" s="70"/>
      <c r="AYO130" s="70"/>
      <c r="AYP130" s="70"/>
      <c r="AYQ130" s="70"/>
      <c r="AYR130" s="70"/>
      <c r="AYS130" s="70"/>
      <c r="AYT130" s="70"/>
      <c r="AYU130" s="70"/>
      <c r="AYV130" s="70"/>
      <c r="AYW130" s="70"/>
      <c r="AYX130" s="70"/>
      <c r="AYY130" s="70"/>
      <c r="AYZ130" s="70"/>
      <c r="AZA130" s="70"/>
      <c r="AZB130" s="70"/>
      <c r="AZC130" s="70"/>
      <c r="AZD130" s="70"/>
      <c r="AZE130" s="70"/>
      <c r="AZF130" s="70"/>
      <c r="AZG130" s="70"/>
      <c r="AZH130" s="70"/>
      <c r="AZI130" s="70"/>
      <c r="AZJ130" s="70"/>
      <c r="AZK130" s="70"/>
      <c r="AZL130" s="70"/>
      <c r="AZM130" s="70"/>
      <c r="AZN130" s="70"/>
      <c r="AZO130" s="70"/>
      <c r="AZP130" s="70"/>
      <c r="AZQ130" s="70"/>
      <c r="AZR130" s="70"/>
      <c r="AZS130" s="70"/>
      <c r="AZT130" s="70"/>
      <c r="AZU130" s="70"/>
      <c r="AZV130" s="70"/>
      <c r="AZW130" s="70"/>
      <c r="AZX130" s="70"/>
      <c r="AZY130" s="70"/>
      <c r="AZZ130" s="70"/>
      <c r="BAA130" s="70"/>
      <c r="BAB130" s="70"/>
      <c r="BAC130" s="70"/>
      <c r="BAD130" s="70"/>
      <c r="BAE130" s="70"/>
      <c r="BAF130" s="70"/>
      <c r="BAG130" s="70"/>
      <c r="BAH130" s="70"/>
      <c r="BAI130" s="70"/>
      <c r="BAJ130" s="70"/>
      <c r="BAK130" s="70"/>
      <c r="BAL130" s="70"/>
      <c r="BAM130" s="70"/>
      <c r="BAN130" s="70"/>
      <c r="BAO130" s="70"/>
      <c r="BAP130" s="70"/>
      <c r="BAQ130" s="70"/>
      <c r="BAR130" s="70"/>
      <c r="BAS130" s="70"/>
      <c r="BAT130" s="70"/>
      <c r="BAU130" s="70"/>
      <c r="BAV130" s="70"/>
      <c r="BAW130" s="70"/>
      <c r="BAX130" s="70"/>
      <c r="BAY130" s="70"/>
      <c r="BAZ130" s="70"/>
      <c r="BBA130" s="70"/>
      <c r="BBB130" s="70"/>
      <c r="BBC130" s="70"/>
      <c r="BBD130" s="70"/>
      <c r="BBE130" s="70"/>
      <c r="BBF130" s="70"/>
      <c r="BBG130" s="70"/>
      <c r="BBH130" s="70"/>
      <c r="BBI130" s="70"/>
      <c r="BBJ130" s="70"/>
      <c r="BBK130" s="70"/>
      <c r="BBL130" s="70"/>
      <c r="BBM130" s="70"/>
      <c r="BBN130" s="70"/>
      <c r="BBO130" s="70"/>
      <c r="BBP130" s="70"/>
      <c r="BBQ130" s="70"/>
      <c r="BBR130" s="70"/>
      <c r="BBS130" s="70"/>
      <c r="BBT130" s="70"/>
      <c r="BBU130" s="70"/>
      <c r="BBV130" s="70"/>
      <c r="BBW130" s="70"/>
      <c r="BBX130" s="70"/>
      <c r="BBY130" s="70"/>
      <c r="BBZ130" s="70"/>
      <c r="BCA130" s="70"/>
      <c r="BCB130" s="70"/>
      <c r="BCC130" s="70"/>
      <c r="BCD130" s="70"/>
      <c r="BCE130" s="70"/>
      <c r="BCF130" s="70"/>
      <c r="BCG130" s="70"/>
      <c r="BCH130" s="70"/>
      <c r="BCI130" s="70"/>
      <c r="BCJ130" s="70"/>
      <c r="BCK130" s="70"/>
      <c r="BCL130" s="70"/>
      <c r="BCM130" s="70"/>
      <c r="BCN130" s="70"/>
      <c r="BCO130" s="70"/>
      <c r="BCP130" s="70"/>
      <c r="BCQ130" s="70"/>
      <c r="BCR130" s="70"/>
      <c r="BCS130" s="70"/>
      <c r="BCT130" s="70"/>
      <c r="BCU130" s="70"/>
      <c r="BCV130" s="70"/>
      <c r="BCW130" s="70"/>
    </row>
    <row r="131" spans="1:1453" s="69" customFormat="1" ht="30.75" customHeight="1" x14ac:dyDescent="0.25">
      <c r="A131" s="50">
        <v>9</v>
      </c>
      <c r="B131" s="73" t="s">
        <v>211</v>
      </c>
      <c r="C131" s="73" t="s">
        <v>212</v>
      </c>
      <c r="D131" s="52">
        <v>8167200</v>
      </c>
      <c r="E131" s="72" t="s">
        <v>221</v>
      </c>
      <c r="F131" s="73" t="s">
        <v>213</v>
      </c>
      <c r="G131" s="71"/>
      <c r="H131" s="71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70"/>
      <c r="CM131" s="70"/>
      <c r="CN131" s="70"/>
      <c r="CO131" s="70"/>
      <c r="CP131" s="70"/>
      <c r="CQ131" s="70"/>
      <c r="CR131" s="70"/>
      <c r="CS131" s="70"/>
      <c r="CT131" s="70"/>
      <c r="CU131" s="70"/>
      <c r="CV131" s="70"/>
      <c r="CW131" s="70"/>
      <c r="CX131" s="70"/>
      <c r="CY131" s="70"/>
      <c r="CZ131" s="70"/>
      <c r="DA131" s="70"/>
      <c r="DB131" s="70"/>
      <c r="DC131" s="70"/>
      <c r="DD131" s="70"/>
      <c r="DE131" s="70"/>
      <c r="DF131" s="70"/>
      <c r="DG131" s="70"/>
      <c r="DH131" s="70"/>
      <c r="DI131" s="70"/>
      <c r="DJ131" s="70"/>
      <c r="DK131" s="70"/>
      <c r="DL131" s="70"/>
      <c r="DM131" s="70"/>
      <c r="DN131" s="70"/>
      <c r="DO131" s="70"/>
      <c r="DP131" s="70"/>
      <c r="DQ131" s="70"/>
      <c r="DR131" s="70"/>
      <c r="DS131" s="70"/>
      <c r="DT131" s="70"/>
      <c r="DU131" s="70"/>
      <c r="DV131" s="70"/>
      <c r="DW131" s="70"/>
      <c r="DX131" s="70"/>
      <c r="DY131" s="70"/>
      <c r="DZ131" s="70"/>
      <c r="EA131" s="70"/>
      <c r="EB131" s="70"/>
      <c r="EC131" s="70"/>
      <c r="ED131" s="70"/>
      <c r="EE131" s="70"/>
      <c r="EF131" s="70"/>
      <c r="EG131" s="70"/>
      <c r="EH131" s="70"/>
      <c r="EI131" s="70"/>
      <c r="EJ131" s="70"/>
      <c r="EK131" s="70"/>
      <c r="EL131" s="70"/>
      <c r="EM131" s="70"/>
      <c r="EN131" s="70"/>
      <c r="EO131" s="70"/>
      <c r="EP131" s="70"/>
      <c r="EQ131" s="70"/>
      <c r="ER131" s="70"/>
      <c r="ES131" s="70"/>
      <c r="ET131" s="70"/>
      <c r="EU131" s="70"/>
      <c r="EV131" s="70"/>
      <c r="EW131" s="70"/>
      <c r="EX131" s="70"/>
      <c r="EY131" s="70"/>
      <c r="EZ131" s="70"/>
      <c r="FA131" s="70"/>
      <c r="FB131" s="70"/>
      <c r="FC131" s="70"/>
      <c r="FD131" s="70"/>
      <c r="FE131" s="70"/>
      <c r="FF131" s="70"/>
      <c r="FG131" s="70"/>
      <c r="FH131" s="70"/>
      <c r="FI131" s="70"/>
      <c r="FJ131" s="70"/>
      <c r="FK131" s="70"/>
      <c r="FL131" s="70"/>
      <c r="FM131" s="70"/>
      <c r="FN131" s="70"/>
      <c r="FO131" s="70"/>
      <c r="FP131" s="70"/>
      <c r="FQ131" s="70"/>
      <c r="FR131" s="70"/>
      <c r="FS131" s="70"/>
      <c r="FT131" s="70"/>
      <c r="FU131" s="70"/>
      <c r="FV131" s="70"/>
      <c r="FW131" s="70"/>
      <c r="FX131" s="70"/>
      <c r="FY131" s="70"/>
      <c r="FZ131" s="70"/>
      <c r="GA131" s="70"/>
      <c r="GB131" s="70"/>
      <c r="GC131" s="70"/>
      <c r="GD131" s="70"/>
      <c r="GE131" s="70"/>
      <c r="GF131" s="70"/>
      <c r="GG131" s="70"/>
      <c r="GH131" s="70"/>
      <c r="GI131" s="70"/>
      <c r="GJ131" s="70"/>
      <c r="GK131" s="70"/>
      <c r="GL131" s="70"/>
      <c r="GM131" s="70"/>
      <c r="GN131" s="70"/>
      <c r="GO131" s="70"/>
      <c r="GP131" s="70"/>
      <c r="GQ131" s="70"/>
      <c r="GR131" s="70"/>
      <c r="GS131" s="70"/>
      <c r="GT131" s="70"/>
      <c r="GU131" s="70"/>
      <c r="GV131" s="70"/>
      <c r="GW131" s="70"/>
      <c r="GX131" s="70"/>
      <c r="GY131" s="70"/>
      <c r="GZ131" s="70"/>
      <c r="HA131" s="70"/>
      <c r="HB131" s="70"/>
      <c r="HC131" s="70"/>
      <c r="HD131" s="70"/>
      <c r="HE131" s="70"/>
      <c r="HF131" s="70"/>
      <c r="HG131" s="70"/>
      <c r="HH131" s="70"/>
      <c r="HI131" s="70"/>
      <c r="HJ131" s="70"/>
      <c r="HK131" s="70"/>
      <c r="HL131" s="70"/>
      <c r="HM131" s="70"/>
      <c r="HN131" s="70"/>
      <c r="HO131" s="70"/>
      <c r="HP131" s="70"/>
      <c r="HQ131" s="70"/>
      <c r="HR131" s="70"/>
      <c r="HS131" s="70"/>
      <c r="HT131" s="70"/>
      <c r="HU131" s="70"/>
      <c r="HV131" s="70"/>
      <c r="HW131" s="70"/>
      <c r="HX131" s="70"/>
      <c r="HY131" s="70"/>
      <c r="HZ131" s="70"/>
      <c r="IA131" s="70"/>
      <c r="IB131" s="70"/>
      <c r="IC131" s="70"/>
      <c r="ID131" s="70"/>
      <c r="IE131" s="70"/>
      <c r="IF131" s="70"/>
      <c r="IG131" s="70"/>
      <c r="IH131" s="70"/>
      <c r="II131" s="70"/>
      <c r="IJ131" s="70"/>
      <c r="IK131" s="70"/>
      <c r="IL131" s="70"/>
      <c r="IM131" s="70"/>
      <c r="IN131" s="70"/>
      <c r="IO131" s="70"/>
      <c r="IP131" s="70"/>
      <c r="IQ131" s="70"/>
      <c r="IR131" s="70"/>
      <c r="IS131" s="70"/>
      <c r="IT131" s="70"/>
      <c r="IU131" s="70"/>
      <c r="IV131" s="70"/>
      <c r="IW131" s="70"/>
      <c r="IX131" s="70"/>
      <c r="IY131" s="70"/>
      <c r="IZ131" s="70"/>
      <c r="JA131" s="70"/>
      <c r="JB131" s="70"/>
      <c r="JC131" s="70"/>
      <c r="JD131" s="70"/>
      <c r="JE131" s="70"/>
      <c r="JF131" s="70"/>
      <c r="JG131" s="70"/>
      <c r="JH131" s="70"/>
      <c r="JI131" s="70"/>
      <c r="JJ131" s="70"/>
      <c r="JK131" s="70"/>
      <c r="JL131" s="70"/>
      <c r="JM131" s="70"/>
      <c r="JN131" s="70"/>
      <c r="JO131" s="70"/>
      <c r="JP131" s="70"/>
      <c r="JQ131" s="70"/>
      <c r="JR131" s="70"/>
      <c r="JS131" s="70"/>
      <c r="JT131" s="70"/>
      <c r="JU131" s="70"/>
      <c r="JV131" s="70"/>
      <c r="JW131" s="70"/>
      <c r="JX131" s="70"/>
      <c r="JY131" s="70"/>
      <c r="JZ131" s="70"/>
      <c r="KA131" s="70"/>
      <c r="KB131" s="70"/>
      <c r="KC131" s="70"/>
      <c r="KD131" s="70"/>
      <c r="KE131" s="70"/>
      <c r="KF131" s="70"/>
      <c r="KG131" s="70"/>
      <c r="KH131" s="70"/>
      <c r="KI131" s="70"/>
      <c r="KJ131" s="70"/>
      <c r="KK131" s="70"/>
      <c r="KL131" s="70"/>
      <c r="KM131" s="70"/>
      <c r="KN131" s="70"/>
      <c r="KO131" s="70"/>
      <c r="KP131" s="70"/>
      <c r="KQ131" s="70"/>
      <c r="KR131" s="70"/>
      <c r="KS131" s="70"/>
      <c r="KT131" s="70"/>
      <c r="KU131" s="70"/>
      <c r="KV131" s="70"/>
      <c r="KW131" s="70"/>
      <c r="KX131" s="70"/>
      <c r="KY131" s="70"/>
      <c r="KZ131" s="70"/>
      <c r="LA131" s="70"/>
      <c r="LB131" s="70"/>
      <c r="LC131" s="70"/>
      <c r="LD131" s="70"/>
      <c r="LE131" s="70"/>
      <c r="LF131" s="70"/>
      <c r="LG131" s="70"/>
      <c r="LH131" s="70"/>
      <c r="LI131" s="70"/>
      <c r="LJ131" s="70"/>
      <c r="LK131" s="70"/>
      <c r="LL131" s="70"/>
      <c r="LM131" s="70"/>
      <c r="LN131" s="70"/>
      <c r="LO131" s="70"/>
      <c r="LP131" s="70"/>
      <c r="LQ131" s="70"/>
      <c r="LR131" s="70"/>
      <c r="LS131" s="70"/>
      <c r="LT131" s="70"/>
      <c r="LU131" s="70"/>
      <c r="LV131" s="70"/>
      <c r="LW131" s="70"/>
      <c r="LX131" s="70"/>
      <c r="LY131" s="70"/>
      <c r="LZ131" s="70"/>
      <c r="MA131" s="70"/>
      <c r="MB131" s="70"/>
      <c r="MC131" s="70"/>
      <c r="MD131" s="70"/>
      <c r="ME131" s="70"/>
      <c r="MF131" s="70"/>
      <c r="MG131" s="70"/>
      <c r="MH131" s="70"/>
      <c r="MI131" s="70"/>
      <c r="MJ131" s="70"/>
      <c r="MK131" s="70"/>
      <c r="ML131" s="70"/>
      <c r="MM131" s="70"/>
      <c r="MN131" s="70"/>
      <c r="MO131" s="70"/>
      <c r="MP131" s="70"/>
      <c r="MQ131" s="70"/>
      <c r="MR131" s="70"/>
      <c r="MS131" s="70"/>
      <c r="MT131" s="70"/>
      <c r="MU131" s="70"/>
      <c r="MV131" s="70"/>
      <c r="MW131" s="70"/>
      <c r="MX131" s="70"/>
      <c r="MY131" s="70"/>
      <c r="MZ131" s="70"/>
      <c r="NA131" s="70"/>
      <c r="NB131" s="70"/>
      <c r="NC131" s="70"/>
      <c r="ND131" s="70"/>
      <c r="NE131" s="70"/>
      <c r="NF131" s="70"/>
      <c r="NG131" s="70"/>
      <c r="NH131" s="70"/>
      <c r="NI131" s="70"/>
      <c r="NJ131" s="70"/>
      <c r="NK131" s="70"/>
      <c r="NL131" s="70"/>
      <c r="NM131" s="70"/>
      <c r="NN131" s="70"/>
      <c r="NO131" s="70"/>
      <c r="NP131" s="70"/>
      <c r="NQ131" s="70"/>
      <c r="NR131" s="70"/>
      <c r="NS131" s="70"/>
      <c r="NT131" s="70"/>
      <c r="NU131" s="70"/>
      <c r="NV131" s="70"/>
      <c r="NW131" s="70"/>
      <c r="NX131" s="70"/>
      <c r="NY131" s="70"/>
      <c r="NZ131" s="70"/>
      <c r="OA131" s="70"/>
      <c r="OB131" s="70"/>
      <c r="OC131" s="70"/>
      <c r="OD131" s="70"/>
      <c r="OE131" s="70"/>
      <c r="OF131" s="70"/>
      <c r="OG131" s="70"/>
      <c r="OH131" s="70"/>
      <c r="OI131" s="70"/>
      <c r="OJ131" s="70"/>
      <c r="OK131" s="70"/>
      <c r="OL131" s="70"/>
      <c r="OM131" s="70"/>
      <c r="ON131" s="70"/>
      <c r="OO131" s="70"/>
      <c r="OP131" s="70"/>
      <c r="OQ131" s="70"/>
      <c r="OR131" s="70"/>
      <c r="OS131" s="70"/>
      <c r="OT131" s="70"/>
      <c r="OU131" s="70"/>
      <c r="OV131" s="70"/>
      <c r="OW131" s="70"/>
      <c r="OX131" s="70"/>
      <c r="OY131" s="70"/>
      <c r="OZ131" s="70"/>
      <c r="PA131" s="70"/>
      <c r="PB131" s="70"/>
      <c r="PC131" s="70"/>
      <c r="PD131" s="70"/>
      <c r="PE131" s="70"/>
      <c r="PF131" s="70"/>
      <c r="PG131" s="70"/>
      <c r="PH131" s="70"/>
      <c r="PI131" s="70"/>
      <c r="PJ131" s="70"/>
      <c r="PK131" s="70"/>
      <c r="PL131" s="70"/>
      <c r="PM131" s="70"/>
      <c r="PN131" s="70"/>
      <c r="PO131" s="70"/>
      <c r="PP131" s="70"/>
      <c r="PQ131" s="70"/>
      <c r="PR131" s="70"/>
      <c r="PS131" s="70"/>
      <c r="PT131" s="70"/>
      <c r="PU131" s="70"/>
      <c r="PV131" s="70"/>
      <c r="PW131" s="70"/>
      <c r="PX131" s="70"/>
      <c r="PY131" s="70"/>
      <c r="PZ131" s="70"/>
      <c r="QA131" s="70"/>
      <c r="QB131" s="70"/>
      <c r="QC131" s="70"/>
      <c r="QD131" s="70"/>
      <c r="QE131" s="70"/>
      <c r="QF131" s="70"/>
      <c r="QG131" s="70"/>
      <c r="QH131" s="70"/>
      <c r="QI131" s="70"/>
      <c r="QJ131" s="70"/>
      <c r="QK131" s="70"/>
      <c r="QL131" s="70"/>
      <c r="QM131" s="70"/>
      <c r="QN131" s="70"/>
      <c r="QO131" s="70"/>
      <c r="QP131" s="70"/>
      <c r="QQ131" s="70"/>
      <c r="QR131" s="70"/>
      <c r="QS131" s="70"/>
      <c r="QT131" s="70"/>
      <c r="QU131" s="70"/>
      <c r="QV131" s="70"/>
      <c r="QW131" s="70"/>
      <c r="QX131" s="70"/>
      <c r="QY131" s="70"/>
      <c r="QZ131" s="70"/>
      <c r="RA131" s="70"/>
      <c r="RB131" s="70"/>
      <c r="RC131" s="70"/>
      <c r="RD131" s="70"/>
      <c r="RE131" s="70"/>
      <c r="RF131" s="70"/>
      <c r="RG131" s="70"/>
      <c r="RH131" s="70"/>
      <c r="RI131" s="70"/>
      <c r="RJ131" s="70"/>
      <c r="RK131" s="70"/>
      <c r="RL131" s="70"/>
      <c r="RM131" s="70"/>
      <c r="RN131" s="70"/>
      <c r="RO131" s="70"/>
      <c r="RP131" s="70"/>
      <c r="RQ131" s="70"/>
      <c r="RR131" s="70"/>
      <c r="RS131" s="70"/>
      <c r="RT131" s="70"/>
      <c r="RU131" s="70"/>
      <c r="RV131" s="70"/>
      <c r="RW131" s="70"/>
      <c r="RX131" s="70"/>
      <c r="RY131" s="70"/>
      <c r="RZ131" s="70"/>
      <c r="SA131" s="70"/>
      <c r="SB131" s="70"/>
      <c r="SC131" s="70"/>
      <c r="SD131" s="70"/>
      <c r="SE131" s="70"/>
      <c r="SF131" s="70"/>
      <c r="SG131" s="70"/>
      <c r="SH131" s="70"/>
      <c r="SI131" s="70"/>
      <c r="SJ131" s="70"/>
      <c r="SK131" s="70"/>
      <c r="SL131" s="70"/>
      <c r="SM131" s="70"/>
      <c r="SN131" s="70"/>
      <c r="SO131" s="70"/>
      <c r="SP131" s="70"/>
      <c r="SQ131" s="70"/>
      <c r="SR131" s="70"/>
      <c r="SS131" s="70"/>
      <c r="ST131" s="70"/>
      <c r="SU131" s="70"/>
      <c r="SV131" s="70"/>
      <c r="SW131" s="70"/>
      <c r="SX131" s="70"/>
      <c r="SY131" s="70"/>
      <c r="SZ131" s="70"/>
      <c r="TA131" s="70"/>
      <c r="TB131" s="70"/>
      <c r="TC131" s="70"/>
      <c r="TD131" s="70"/>
      <c r="TE131" s="70"/>
      <c r="TF131" s="70"/>
      <c r="TG131" s="70"/>
      <c r="TH131" s="70"/>
      <c r="TI131" s="70"/>
      <c r="TJ131" s="70"/>
      <c r="TK131" s="70"/>
      <c r="TL131" s="70"/>
      <c r="TM131" s="70"/>
      <c r="TN131" s="70"/>
      <c r="TO131" s="70"/>
      <c r="TP131" s="70"/>
      <c r="TQ131" s="70"/>
      <c r="TR131" s="70"/>
      <c r="TS131" s="70"/>
      <c r="TT131" s="70"/>
      <c r="TU131" s="70"/>
      <c r="TV131" s="70"/>
      <c r="TW131" s="70"/>
      <c r="TX131" s="70"/>
      <c r="TY131" s="70"/>
      <c r="TZ131" s="70"/>
      <c r="UA131" s="70"/>
      <c r="UB131" s="70"/>
      <c r="UC131" s="70"/>
      <c r="UD131" s="70"/>
      <c r="UE131" s="70"/>
      <c r="UF131" s="70"/>
      <c r="UG131" s="70"/>
      <c r="UH131" s="70"/>
      <c r="UI131" s="70"/>
      <c r="UJ131" s="70"/>
      <c r="UK131" s="70"/>
      <c r="UL131" s="70"/>
      <c r="UM131" s="70"/>
      <c r="UN131" s="70"/>
      <c r="UO131" s="70"/>
      <c r="UP131" s="70"/>
      <c r="UQ131" s="70"/>
      <c r="UR131" s="70"/>
      <c r="US131" s="70"/>
      <c r="UT131" s="70"/>
      <c r="UU131" s="70"/>
      <c r="UV131" s="70"/>
      <c r="UW131" s="70"/>
      <c r="UX131" s="70"/>
      <c r="UY131" s="70"/>
      <c r="UZ131" s="70"/>
      <c r="VA131" s="70"/>
      <c r="VB131" s="70"/>
      <c r="VC131" s="70"/>
      <c r="VD131" s="70"/>
      <c r="VE131" s="70"/>
      <c r="VF131" s="70"/>
      <c r="VG131" s="70"/>
      <c r="VH131" s="70"/>
      <c r="VI131" s="70"/>
      <c r="VJ131" s="70"/>
      <c r="VK131" s="70"/>
      <c r="VL131" s="70"/>
      <c r="VM131" s="70"/>
      <c r="VN131" s="70"/>
      <c r="VO131" s="70"/>
      <c r="VP131" s="70"/>
      <c r="VQ131" s="70"/>
      <c r="VR131" s="70"/>
      <c r="VS131" s="70"/>
      <c r="VT131" s="70"/>
      <c r="VU131" s="70"/>
      <c r="VV131" s="70"/>
      <c r="VW131" s="70"/>
      <c r="VX131" s="70"/>
      <c r="VY131" s="70"/>
      <c r="VZ131" s="70"/>
      <c r="WA131" s="70"/>
      <c r="WB131" s="70"/>
      <c r="WC131" s="70"/>
      <c r="WD131" s="70"/>
      <c r="WE131" s="70"/>
      <c r="WF131" s="70"/>
      <c r="WG131" s="70"/>
      <c r="WH131" s="70"/>
      <c r="WI131" s="70"/>
      <c r="WJ131" s="70"/>
      <c r="WK131" s="70"/>
      <c r="WL131" s="70"/>
      <c r="WM131" s="70"/>
      <c r="WN131" s="70"/>
      <c r="WO131" s="70"/>
      <c r="WP131" s="70"/>
      <c r="WQ131" s="70"/>
      <c r="WR131" s="70"/>
      <c r="WS131" s="70"/>
      <c r="WT131" s="70"/>
      <c r="WU131" s="70"/>
      <c r="WV131" s="70"/>
      <c r="WW131" s="70"/>
      <c r="WX131" s="70"/>
      <c r="WY131" s="70"/>
      <c r="WZ131" s="70"/>
      <c r="XA131" s="70"/>
      <c r="XB131" s="70"/>
      <c r="XC131" s="70"/>
      <c r="XD131" s="70"/>
      <c r="XE131" s="70"/>
      <c r="XF131" s="70"/>
      <c r="XG131" s="70"/>
      <c r="XH131" s="70"/>
      <c r="XI131" s="70"/>
      <c r="XJ131" s="70"/>
      <c r="XK131" s="70"/>
      <c r="XL131" s="70"/>
      <c r="XM131" s="70"/>
      <c r="XN131" s="70"/>
      <c r="XO131" s="70"/>
      <c r="XP131" s="70"/>
      <c r="XQ131" s="70"/>
      <c r="XR131" s="70"/>
      <c r="XS131" s="70"/>
      <c r="XT131" s="70"/>
      <c r="XU131" s="70"/>
      <c r="XV131" s="70"/>
      <c r="XW131" s="70"/>
      <c r="XX131" s="70"/>
      <c r="XY131" s="70"/>
      <c r="XZ131" s="70"/>
      <c r="YA131" s="70"/>
      <c r="YB131" s="70"/>
      <c r="YC131" s="70"/>
      <c r="YD131" s="70"/>
      <c r="YE131" s="70"/>
      <c r="YF131" s="70"/>
      <c r="YG131" s="70"/>
      <c r="YH131" s="70"/>
      <c r="YI131" s="70"/>
      <c r="YJ131" s="70"/>
      <c r="YK131" s="70"/>
      <c r="YL131" s="70"/>
      <c r="YM131" s="70"/>
      <c r="YN131" s="70"/>
      <c r="YO131" s="70"/>
      <c r="YP131" s="70"/>
      <c r="YQ131" s="70"/>
      <c r="YR131" s="70"/>
      <c r="YS131" s="70"/>
      <c r="YT131" s="70"/>
      <c r="YU131" s="70"/>
      <c r="YV131" s="70"/>
      <c r="YW131" s="70"/>
      <c r="YX131" s="70"/>
      <c r="YY131" s="70"/>
      <c r="YZ131" s="70"/>
      <c r="ZA131" s="70"/>
      <c r="ZB131" s="70"/>
      <c r="ZC131" s="70"/>
      <c r="ZD131" s="70"/>
      <c r="ZE131" s="70"/>
      <c r="ZF131" s="70"/>
      <c r="ZG131" s="70"/>
      <c r="ZH131" s="70"/>
      <c r="ZI131" s="70"/>
      <c r="ZJ131" s="70"/>
      <c r="ZK131" s="70"/>
      <c r="ZL131" s="70"/>
      <c r="ZM131" s="70"/>
      <c r="ZN131" s="70"/>
      <c r="ZO131" s="70"/>
      <c r="ZP131" s="70"/>
      <c r="ZQ131" s="70"/>
      <c r="ZR131" s="70"/>
      <c r="ZS131" s="70"/>
      <c r="ZT131" s="70"/>
      <c r="ZU131" s="70"/>
      <c r="ZV131" s="70"/>
      <c r="ZW131" s="70"/>
      <c r="ZX131" s="70"/>
      <c r="ZY131" s="70"/>
      <c r="ZZ131" s="70"/>
      <c r="AAA131" s="70"/>
      <c r="AAB131" s="70"/>
      <c r="AAC131" s="70"/>
      <c r="AAD131" s="70"/>
      <c r="AAE131" s="70"/>
      <c r="AAF131" s="70"/>
      <c r="AAG131" s="70"/>
      <c r="AAH131" s="70"/>
      <c r="AAI131" s="70"/>
      <c r="AAJ131" s="70"/>
      <c r="AAK131" s="70"/>
      <c r="AAL131" s="70"/>
      <c r="AAM131" s="70"/>
      <c r="AAN131" s="70"/>
      <c r="AAO131" s="70"/>
      <c r="AAP131" s="70"/>
      <c r="AAQ131" s="70"/>
      <c r="AAR131" s="70"/>
      <c r="AAS131" s="70"/>
      <c r="AAT131" s="70"/>
      <c r="AAU131" s="70"/>
      <c r="AAV131" s="70"/>
      <c r="AAW131" s="70"/>
      <c r="AAX131" s="70"/>
      <c r="AAY131" s="70"/>
      <c r="AAZ131" s="70"/>
      <c r="ABA131" s="70"/>
      <c r="ABB131" s="70"/>
      <c r="ABC131" s="70"/>
      <c r="ABD131" s="70"/>
      <c r="ABE131" s="70"/>
      <c r="ABF131" s="70"/>
      <c r="ABG131" s="70"/>
      <c r="ABH131" s="70"/>
      <c r="ABI131" s="70"/>
      <c r="ABJ131" s="70"/>
      <c r="ABK131" s="70"/>
      <c r="ABL131" s="70"/>
      <c r="ABM131" s="70"/>
      <c r="ABN131" s="70"/>
      <c r="ABO131" s="70"/>
      <c r="ABP131" s="70"/>
      <c r="ABQ131" s="70"/>
      <c r="ABR131" s="70"/>
      <c r="ABS131" s="70"/>
      <c r="ABT131" s="70"/>
      <c r="ABU131" s="70"/>
      <c r="ABV131" s="70"/>
      <c r="ABW131" s="70"/>
      <c r="ABX131" s="70"/>
      <c r="ABY131" s="70"/>
      <c r="ABZ131" s="70"/>
      <c r="ACA131" s="70"/>
      <c r="ACB131" s="70"/>
      <c r="ACC131" s="70"/>
      <c r="ACD131" s="70"/>
      <c r="ACE131" s="70"/>
      <c r="ACF131" s="70"/>
      <c r="ACG131" s="70"/>
      <c r="ACH131" s="70"/>
      <c r="ACI131" s="70"/>
      <c r="ACJ131" s="70"/>
      <c r="ACK131" s="70"/>
      <c r="ACL131" s="70"/>
      <c r="ACM131" s="70"/>
      <c r="ACN131" s="70"/>
      <c r="ACO131" s="70"/>
      <c r="ACP131" s="70"/>
      <c r="ACQ131" s="70"/>
      <c r="ACR131" s="70"/>
      <c r="ACS131" s="70"/>
      <c r="ACT131" s="70"/>
      <c r="ACU131" s="70"/>
      <c r="ACV131" s="70"/>
      <c r="ACW131" s="70"/>
      <c r="ACX131" s="70"/>
      <c r="ACY131" s="70"/>
      <c r="ACZ131" s="70"/>
      <c r="ADA131" s="70"/>
      <c r="ADB131" s="70"/>
      <c r="ADC131" s="70"/>
      <c r="ADD131" s="70"/>
      <c r="ADE131" s="70"/>
      <c r="ADF131" s="70"/>
      <c r="ADG131" s="70"/>
      <c r="ADH131" s="70"/>
      <c r="ADI131" s="70"/>
      <c r="ADJ131" s="70"/>
      <c r="ADK131" s="70"/>
      <c r="ADL131" s="70"/>
      <c r="ADM131" s="70"/>
      <c r="ADN131" s="70"/>
      <c r="ADO131" s="70"/>
      <c r="ADP131" s="70"/>
      <c r="ADQ131" s="70"/>
      <c r="ADR131" s="70"/>
      <c r="ADS131" s="70"/>
      <c r="ADT131" s="70"/>
      <c r="ADU131" s="70"/>
      <c r="ADV131" s="70"/>
      <c r="ADW131" s="70"/>
      <c r="ADX131" s="70"/>
      <c r="ADY131" s="70"/>
      <c r="ADZ131" s="70"/>
      <c r="AEA131" s="70"/>
      <c r="AEB131" s="70"/>
      <c r="AEC131" s="70"/>
      <c r="AED131" s="70"/>
      <c r="AEE131" s="70"/>
      <c r="AEF131" s="70"/>
      <c r="AEG131" s="70"/>
      <c r="AEH131" s="70"/>
      <c r="AEI131" s="70"/>
      <c r="AEJ131" s="70"/>
      <c r="AEK131" s="70"/>
      <c r="AEL131" s="70"/>
      <c r="AEM131" s="70"/>
      <c r="AEN131" s="70"/>
      <c r="AEO131" s="70"/>
      <c r="AEP131" s="70"/>
      <c r="AEQ131" s="70"/>
      <c r="AER131" s="70"/>
      <c r="AES131" s="70"/>
      <c r="AET131" s="70"/>
      <c r="AEU131" s="70"/>
      <c r="AEV131" s="70"/>
      <c r="AEW131" s="70"/>
      <c r="AEX131" s="70"/>
      <c r="AEY131" s="70"/>
      <c r="AEZ131" s="70"/>
      <c r="AFA131" s="70"/>
      <c r="AFB131" s="70"/>
      <c r="AFC131" s="70"/>
      <c r="AFD131" s="70"/>
      <c r="AFE131" s="70"/>
      <c r="AFF131" s="70"/>
      <c r="AFG131" s="70"/>
      <c r="AFH131" s="70"/>
      <c r="AFI131" s="70"/>
      <c r="AFJ131" s="70"/>
      <c r="AFK131" s="70"/>
      <c r="AFL131" s="70"/>
      <c r="AFM131" s="70"/>
      <c r="AFN131" s="70"/>
      <c r="AFO131" s="70"/>
      <c r="AFP131" s="70"/>
      <c r="AFQ131" s="70"/>
      <c r="AFR131" s="70"/>
      <c r="AFS131" s="70"/>
      <c r="AFT131" s="70"/>
      <c r="AFU131" s="70"/>
      <c r="AFV131" s="70"/>
      <c r="AFW131" s="70"/>
      <c r="AFX131" s="70"/>
      <c r="AFY131" s="70"/>
      <c r="AFZ131" s="70"/>
      <c r="AGA131" s="70"/>
      <c r="AGB131" s="70"/>
      <c r="AGC131" s="70"/>
      <c r="AGD131" s="70"/>
      <c r="AGE131" s="70"/>
      <c r="AGF131" s="70"/>
      <c r="AGG131" s="70"/>
      <c r="AGH131" s="70"/>
      <c r="AGI131" s="70"/>
      <c r="AGJ131" s="70"/>
      <c r="AGK131" s="70"/>
      <c r="AGL131" s="70"/>
      <c r="AGM131" s="70"/>
      <c r="AGN131" s="70"/>
      <c r="AGO131" s="70"/>
      <c r="AGP131" s="70"/>
      <c r="AGQ131" s="70"/>
      <c r="AGR131" s="70"/>
      <c r="AGS131" s="70"/>
      <c r="AGT131" s="70"/>
      <c r="AGU131" s="70"/>
      <c r="AGV131" s="70"/>
      <c r="AGW131" s="70"/>
      <c r="AGX131" s="70"/>
      <c r="AGY131" s="70"/>
      <c r="AGZ131" s="70"/>
      <c r="AHA131" s="70"/>
      <c r="AHB131" s="70"/>
      <c r="AHC131" s="70"/>
      <c r="AHD131" s="70"/>
      <c r="AHE131" s="70"/>
      <c r="AHF131" s="70"/>
      <c r="AHG131" s="70"/>
      <c r="AHH131" s="70"/>
      <c r="AHI131" s="70"/>
      <c r="AHJ131" s="70"/>
      <c r="AHK131" s="70"/>
      <c r="AHL131" s="70"/>
      <c r="AHM131" s="70"/>
      <c r="AHN131" s="70"/>
      <c r="AHO131" s="70"/>
      <c r="AHP131" s="70"/>
      <c r="AHQ131" s="70"/>
      <c r="AHR131" s="70"/>
      <c r="AHS131" s="70"/>
      <c r="AHT131" s="70"/>
      <c r="AHU131" s="70"/>
      <c r="AHV131" s="70"/>
      <c r="AHW131" s="70"/>
      <c r="AHX131" s="70"/>
      <c r="AHY131" s="70"/>
      <c r="AHZ131" s="70"/>
      <c r="AIA131" s="70"/>
      <c r="AIB131" s="70"/>
      <c r="AIC131" s="70"/>
      <c r="AID131" s="70"/>
      <c r="AIE131" s="70"/>
      <c r="AIF131" s="70"/>
      <c r="AIG131" s="70"/>
      <c r="AIH131" s="70"/>
      <c r="AII131" s="70"/>
      <c r="AIJ131" s="70"/>
      <c r="AIK131" s="70"/>
      <c r="AIL131" s="70"/>
      <c r="AIM131" s="70"/>
      <c r="AIN131" s="70"/>
      <c r="AIO131" s="70"/>
      <c r="AIP131" s="70"/>
      <c r="AIQ131" s="70"/>
      <c r="AIR131" s="70"/>
      <c r="AIS131" s="70"/>
      <c r="AIT131" s="70"/>
      <c r="AIU131" s="70"/>
      <c r="AIV131" s="70"/>
      <c r="AIW131" s="70"/>
      <c r="AIX131" s="70"/>
      <c r="AIY131" s="70"/>
      <c r="AIZ131" s="70"/>
      <c r="AJA131" s="70"/>
      <c r="AJB131" s="70"/>
      <c r="AJC131" s="70"/>
      <c r="AJD131" s="70"/>
      <c r="AJE131" s="70"/>
      <c r="AJF131" s="70"/>
      <c r="AJG131" s="70"/>
      <c r="AJH131" s="70"/>
      <c r="AJI131" s="70"/>
      <c r="AJJ131" s="70"/>
      <c r="AJK131" s="70"/>
      <c r="AJL131" s="70"/>
      <c r="AJM131" s="70"/>
      <c r="AJN131" s="70"/>
      <c r="AJO131" s="70"/>
      <c r="AJP131" s="70"/>
      <c r="AJQ131" s="70"/>
      <c r="AJR131" s="70"/>
      <c r="AJS131" s="70"/>
      <c r="AJT131" s="70"/>
      <c r="AJU131" s="70"/>
      <c r="AJV131" s="70"/>
      <c r="AJW131" s="70"/>
      <c r="AJX131" s="70"/>
      <c r="AJY131" s="70"/>
      <c r="AJZ131" s="70"/>
      <c r="AKA131" s="70"/>
      <c r="AKB131" s="70"/>
      <c r="AKC131" s="70"/>
      <c r="AKD131" s="70"/>
      <c r="AKE131" s="70"/>
      <c r="AKF131" s="70"/>
      <c r="AKG131" s="70"/>
      <c r="AKH131" s="70"/>
      <c r="AKI131" s="70"/>
      <c r="AKJ131" s="70"/>
      <c r="AKK131" s="70"/>
      <c r="AKL131" s="70"/>
      <c r="AKM131" s="70"/>
      <c r="AKN131" s="70"/>
      <c r="AKO131" s="70"/>
      <c r="AKP131" s="70"/>
      <c r="AKQ131" s="70"/>
      <c r="AKR131" s="70"/>
      <c r="AKS131" s="70"/>
      <c r="AKT131" s="70"/>
      <c r="AKU131" s="70"/>
      <c r="AKV131" s="70"/>
      <c r="AKW131" s="70"/>
      <c r="AKX131" s="70"/>
      <c r="AKY131" s="70"/>
      <c r="AKZ131" s="70"/>
      <c r="ALA131" s="70"/>
      <c r="ALB131" s="70"/>
      <c r="ALC131" s="70"/>
      <c r="ALD131" s="70"/>
      <c r="ALE131" s="70"/>
      <c r="ALF131" s="70"/>
      <c r="ALG131" s="70"/>
      <c r="ALH131" s="70"/>
      <c r="ALI131" s="70"/>
      <c r="ALJ131" s="70"/>
      <c r="ALK131" s="70"/>
      <c r="ALL131" s="70"/>
      <c r="ALM131" s="70"/>
      <c r="ALN131" s="70"/>
      <c r="ALO131" s="70"/>
      <c r="ALP131" s="70"/>
      <c r="ALQ131" s="70"/>
      <c r="ALR131" s="70"/>
      <c r="ALS131" s="70"/>
      <c r="ALT131" s="70"/>
      <c r="ALU131" s="70"/>
      <c r="ALV131" s="70"/>
      <c r="ALW131" s="70"/>
      <c r="ALX131" s="70"/>
      <c r="ALY131" s="70"/>
      <c r="ALZ131" s="70"/>
      <c r="AMA131" s="70"/>
      <c r="AMB131" s="70"/>
      <c r="AMC131" s="70"/>
      <c r="AMD131" s="70"/>
      <c r="AME131" s="70"/>
      <c r="AMF131" s="70"/>
      <c r="AMG131" s="70"/>
      <c r="AMH131" s="70"/>
      <c r="AMI131" s="70"/>
      <c r="AMJ131" s="70"/>
      <c r="AMK131" s="70"/>
      <c r="AML131" s="70"/>
      <c r="AMM131" s="70"/>
      <c r="AMN131" s="70"/>
      <c r="AMO131" s="70"/>
      <c r="AMP131" s="70"/>
      <c r="AMQ131" s="70"/>
      <c r="AMR131" s="70"/>
      <c r="AMS131" s="70"/>
      <c r="AMT131" s="70"/>
      <c r="AMU131" s="70"/>
      <c r="AMV131" s="70"/>
      <c r="AMW131" s="70"/>
      <c r="AMX131" s="70"/>
      <c r="AMY131" s="70"/>
      <c r="AMZ131" s="70"/>
      <c r="ANA131" s="70"/>
      <c r="ANB131" s="70"/>
      <c r="ANC131" s="70"/>
      <c r="AND131" s="70"/>
      <c r="ANE131" s="70"/>
      <c r="ANF131" s="70"/>
      <c r="ANG131" s="70"/>
      <c r="ANH131" s="70"/>
      <c r="ANI131" s="70"/>
      <c r="ANJ131" s="70"/>
      <c r="ANK131" s="70"/>
      <c r="ANL131" s="70"/>
      <c r="ANM131" s="70"/>
      <c r="ANN131" s="70"/>
      <c r="ANO131" s="70"/>
      <c r="ANP131" s="70"/>
      <c r="ANQ131" s="70"/>
      <c r="ANR131" s="70"/>
      <c r="ANS131" s="70"/>
      <c r="ANT131" s="70"/>
      <c r="ANU131" s="70"/>
      <c r="ANV131" s="70"/>
      <c r="ANW131" s="70"/>
      <c r="ANX131" s="70"/>
      <c r="ANY131" s="70"/>
      <c r="ANZ131" s="70"/>
      <c r="AOA131" s="70"/>
      <c r="AOB131" s="70"/>
      <c r="AOC131" s="70"/>
      <c r="AOD131" s="70"/>
      <c r="AOE131" s="70"/>
      <c r="AOF131" s="70"/>
      <c r="AOG131" s="70"/>
      <c r="AOH131" s="70"/>
      <c r="AOI131" s="70"/>
      <c r="AOJ131" s="70"/>
      <c r="AOK131" s="70"/>
      <c r="AOL131" s="70"/>
      <c r="AOM131" s="70"/>
      <c r="AON131" s="70"/>
      <c r="AOO131" s="70"/>
      <c r="AOP131" s="70"/>
      <c r="AOQ131" s="70"/>
      <c r="AOR131" s="70"/>
      <c r="AOS131" s="70"/>
      <c r="AOT131" s="70"/>
      <c r="AOU131" s="70"/>
      <c r="AOV131" s="70"/>
      <c r="AOW131" s="70"/>
      <c r="AOX131" s="70"/>
      <c r="AOY131" s="70"/>
      <c r="AOZ131" s="70"/>
      <c r="APA131" s="70"/>
      <c r="APB131" s="70"/>
      <c r="APC131" s="70"/>
      <c r="APD131" s="70"/>
      <c r="APE131" s="70"/>
      <c r="APF131" s="70"/>
      <c r="APG131" s="70"/>
      <c r="APH131" s="70"/>
      <c r="API131" s="70"/>
      <c r="APJ131" s="70"/>
      <c r="APK131" s="70"/>
      <c r="APL131" s="70"/>
      <c r="APM131" s="70"/>
      <c r="APN131" s="70"/>
      <c r="APO131" s="70"/>
      <c r="APP131" s="70"/>
      <c r="APQ131" s="70"/>
      <c r="APR131" s="70"/>
      <c r="APS131" s="70"/>
      <c r="APT131" s="70"/>
      <c r="APU131" s="70"/>
      <c r="APV131" s="70"/>
      <c r="APW131" s="70"/>
      <c r="APX131" s="70"/>
      <c r="APY131" s="70"/>
      <c r="APZ131" s="70"/>
      <c r="AQA131" s="70"/>
      <c r="AQB131" s="70"/>
      <c r="AQC131" s="70"/>
      <c r="AQD131" s="70"/>
      <c r="AQE131" s="70"/>
      <c r="AQF131" s="70"/>
      <c r="AQG131" s="70"/>
      <c r="AQH131" s="70"/>
      <c r="AQI131" s="70"/>
      <c r="AQJ131" s="70"/>
      <c r="AQK131" s="70"/>
      <c r="AQL131" s="70"/>
      <c r="AQM131" s="70"/>
      <c r="AQN131" s="70"/>
      <c r="AQO131" s="70"/>
      <c r="AQP131" s="70"/>
      <c r="AQQ131" s="70"/>
      <c r="AQR131" s="70"/>
      <c r="AQS131" s="70"/>
      <c r="AQT131" s="70"/>
      <c r="AQU131" s="70"/>
      <c r="AQV131" s="70"/>
      <c r="AQW131" s="70"/>
      <c r="AQX131" s="70"/>
      <c r="AQY131" s="70"/>
      <c r="AQZ131" s="70"/>
      <c r="ARA131" s="70"/>
      <c r="ARB131" s="70"/>
      <c r="ARC131" s="70"/>
      <c r="ARD131" s="70"/>
      <c r="ARE131" s="70"/>
      <c r="ARF131" s="70"/>
      <c r="ARG131" s="70"/>
      <c r="ARH131" s="70"/>
      <c r="ARI131" s="70"/>
      <c r="ARJ131" s="70"/>
      <c r="ARK131" s="70"/>
      <c r="ARL131" s="70"/>
      <c r="ARM131" s="70"/>
      <c r="ARN131" s="70"/>
      <c r="ARO131" s="70"/>
      <c r="ARP131" s="70"/>
      <c r="ARQ131" s="70"/>
      <c r="ARR131" s="70"/>
      <c r="ARS131" s="70"/>
      <c r="ART131" s="70"/>
      <c r="ARU131" s="70"/>
      <c r="ARV131" s="70"/>
      <c r="ARW131" s="70"/>
      <c r="ARX131" s="70"/>
      <c r="ARY131" s="70"/>
      <c r="ARZ131" s="70"/>
      <c r="ASA131" s="70"/>
      <c r="ASB131" s="70"/>
      <c r="ASC131" s="70"/>
      <c r="ASD131" s="70"/>
      <c r="ASE131" s="70"/>
      <c r="ASF131" s="70"/>
      <c r="ASG131" s="70"/>
      <c r="ASH131" s="70"/>
      <c r="ASI131" s="70"/>
      <c r="ASJ131" s="70"/>
      <c r="ASK131" s="70"/>
      <c r="ASL131" s="70"/>
      <c r="ASM131" s="70"/>
      <c r="ASN131" s="70"/>
      <c r="ASO131" s="70"/>
      <c r="ASP131" s="70"/>
      <c r="ASQ131" s="70"/>
      <c r="ASR131" s="70"/>
      <c r="ASS131" s="70"/>
      <c r="AST131" s="70"/>
      <c r="ASU131" s="70"/>
      <c r="ASV131" s="70"/>
      <c r="ASW131" s="70"/>
      <c r="ASX131" s="70"/>
      <c r="ASY131" s="70"/>
      <c r="ASZ131" s="70"/>
      <c r="ATA131" s="70"/>
      <c r="ATB131" s="70"/>
      <c r="ATC131" s="70"/>
      <c r="ATD131" s="70"/>
      <c r="ATE131" s="70"/>
      <c r="ATF131" s="70"/>
      <c r="ATG131" s="70"/>
      <c r="ATH131" s="70"/>
      <c r="ATI131" s="70"/>
      <c r="ATJ131" s="70"/>
      <c r="ATK131" s="70"/>
      <c r="ATL131" s="70"/>
      <c r="ATM131" s="70"/>
      <c r="ATN131" s="70"/>
      <c r="ATO131" s="70"/>
      <c r="ATP131" s="70"/>
      <c r="ATQ131" s="70"/>
      <c r="ATR131" s="70"/>
      <c r="ATS131" s="70"/>
      <c r="ATT131" s="70"/>
      <c r="ATU131" s="70"/>
      <c r="ATV131" s="70"/>
      <c r="ATW131" s="70"/>
      <c r="ATX131" s="70"/>
      <c r="ATY131" s="70"/>
      <c r="ATZ131" s="70"/>
      <c r="AUA131" s="70"/>
      <c r="AUB131" s="70"/>
      <c r="AUC131" s="70"/>
      <c r="AUD131" s="70"/>
      <c r="AUE131" s="70"/>
      <c r="AUF131" s="70"/>
      <c r="AUG131" s="70"/>
      <c r="AUH131" s="70"/>
      <c r="AUI131" s="70"/>
      <c r="AUJ131" s="70"/>
      <c r="AUK131" s="70"/>
      <c r="AUL131" s="70"/>
      <c r="AUM131" s="70"/>
      <c r="AUN131" s="70"/>
      <c r="AUO131" s="70"/>
      <c r="AUP131" s="70"/>
      <c r="AUQ131" s="70"/>
      <c r="AUR131" s="70"/>
      <c r="AUS131" s="70"/>
      <c r="AUT131" s="70"/>
      <c r="AUU131" s="70"/>
      <c r="AUV131" s="70"/>
      <c r="AUW131" s="70"/>
      <c r="AUX131" s="70"/>
      <c r="AUY131" s="70"/>
      <c r="AUZ131" s="70"/>
      <c r="AVA131" s="70"/>
      <c r="AVB131" s="70"/>
      <c r="AVC131" s="70"/>
      <c r="AVD131" s="70"/>
      <c r="AVE131" s="70"/>
      <c r="AVF131" s="70"/>
      <c r="AVG131" s="70"/>
      <c r="AVH131" s="70"/>
      <c r="AVI131" s="70"/>
      <c r="AVJ131" s="70"/>
      <c r="AVK131" s="70"/>
      <c r="AVL131" s="70"/>
      <c r="AVM131" s="70"/>
      <c r="AVN131" s="70"/>
      <c r="AVO131" s="70"/>
      <c r="AVP131" s="70"/>
      <c r="AVQ131" s="70"/>
      <c r="AVR131" s="70"/>
      <c r="AVS131" s="70"/>
      <c r="AVT131" s="70"/>
      <c r="AVU131" s="70"/>
      <c r="AVV131" s="70"/>
      <c r="AVW131" s="70"/>
      <c r="AVX131" s="70"/>
      <c r="AVY131" s="70"/>
      <c r="AVZ131" s="70"/>
      <c r="AWA131" s="70"/>
      <c r="AWB131" s="70"/>
      <c r="AWC131" s="70"/>
      <c r="AWD131" s="70"/>
      <c r="AWE131" s="70"/>
      <c r="AWF131" s="70"/>
      <c r="AWG131" s="70"/>
      <c r="AWH131" s="70"/>
      <c r="AWI131" s="70"/>
      <c r="AWJ131" s="70"/>
      <c r="AWK131" s="70"/>
      <c r="AWL131" s="70"/>
      <c r="AWM131" s="70"/>
      <c r="AWN131" s="70"/>
      <c r="AWO131" s="70"/>
      <c r="AWP131" s="70"/>
      <c r="AWQ131" s="70"/>
      <c r="AWR131" s="70"/>
      <c r="AWS131" s="70"/>
      <c r="AWT131" s="70"/>
      <c r="AWU131" s="70"/>
      <c r="AWV131" s="70"/>
      <c r="AWW131" s="70"/>
      <c r="AWX131" s="70"/>
      <c r="AWY131" s="70"/>
      <c r="AWZ131" s="70"/>
      <c r="AXA131" s="70"/>
      <c r="AXB131" s="70"/>
      <c r="AXC131" s="70"/>
      <c r="AXD131" s="70"/>
      <c r="AXE131" s="70"/>
      <c r="AXF131" s="70"/>
      <c r="AXG131" s="70"/>
      <c r="AXH131" s="70"/>
      <c r="AXI131" s="70"/>
      <c r="AXJ131" s="70"/>
      <c r="AXK131" s="70"/>
      <c r="AXL131" s="70"/>
      <c r="AXM131" s="70"/>
      <c r="AXN131" s="70"/>
      <c r="AXO131" s="70"/>
      <c r="AXP131" s="70"/>
      <c r="AXQ131" s="70"/>
      <c r="AXR131" s="70"/>
      <c r="AXS131" s="70"/>
      <c r="AXT131" s="70"/>
      <c r="AXU131" s="70"/>
      <c r="AXV131" s="70"/>
      <c r="AXW131" s="70"/>
      <c r="AXX131" s="70"/>
      <c r="AXY131" s="70"/>
      <c r="AXZ131" s="70"/>
      <c r="AYA131" s="70"/>
      <c r="AYB131" s="70"/>
      <c r="AYC131" s="70"/>
      <c r="AYD131" s="70"/>
      <c r="AYE131" s="70"/>
      <c r="AYF131" s="70"/>
      <c r="AYG131" s="70"/>
      <c r="AYH131" s="70"/>
      <c r="AYI131" s="70"/>
      <c r="AYJ131" s="70"/>
      <c r="AYK131" s="70"/>
      <c r="AYL131" s="70"/>
      <c r="AYM131" s="70"/>
      <c r="AYN131" s="70"/>
      <c r="AYO131" s="70"/>
      <c r="AYP131" s="70"/>
      <c r="AYQ131" s="70"/>
      <c r="AYR131" s="70"/>
      <c r="AYS131" s="70"/>
      <c r="AYT131" s="70"/>
      <c r="AYU131" s="70"/>
      <c r="AYV131" s="70"/>
      <c r="AYW131" s="70"/>
      <c r="AYX131" s="70"/>
      <c r="AYY131" s="70"/>
      <c r="AYZ131" s="70"/>
      <c r="AZA131" s="70"/>
      <c r="AZB131" s="70"/>
      <c r="AZC131" s="70"/>
      <c r="AZD131" s="70"/>
      <c r="AZE131" s="70"/>
      <c r="AZF131" s="70"/>
      <c r="AZG131" s="70"/>
      <c r="AZH131" s="70"/>
      <c r="AZI131" s="70"/>
      <c r="AZJ131" s="70"/>
      <c r="AZK131" s="70"/>
      <c r="AZL131" s="70"/>
      <c r="AZM131" s="70"/>
      <c r="AZN131" s="70"/>
      <c r="AZO131" s="70"/>
      <c r="AZP131" s="70"/>
      <c r="AZQ131" s="70"/>
      <c r="AZR131" s="70"/>
      <c r="AZS131" s="70"/>
      <c r="AZT131" s="70"/>
      <c r="AZU131" s="70"/>
      <c r="AZV131" s="70"/>
      <c r="AZW131" s="70"/>
      <c r="AZX131" s="70"/>
      <c r="AZY131" s="70"/>
      <c r="AZZ131" s="70"/>
      <c r="BAA131" s="70"/>
      <c r="BAB131" s="70"/>
      <c r="BAC131" s="70"/>
      <c r="BAD131" s="70"/>
      <c r="BAE131" s="70"/>
      <c r="BAF131" s="70"/>
      <c r="BAG131" s="70"/>
      <c r="BAH131" s="70"/>
      <c r="BAI131" s="70"/>
      <c r="BAJ131" s="70"/>
      <c r="BAK131" s="70"/>
      <c r="BAL131" s="70"/>
      <c r="BAM131" s="70"/>
      <c r="BAN131" s="70"/>
      <c r="BAO131" s="70"/>
      <c r="BAP131" s="70"/>
      <c r="BAQ131" s="70"/>
      <c r="BAR131" s="70"/>
      <c r="BAS131" s="70"/>
      <c r="BAT131" s="70"/>
      <c r="BAU131" s="70"/>
      <c r="BAV131" s="70"/>
      <c r="BAW131" s="70"/>
      <c r="BAX131" s="70"/>
      <c r="BAY131" s="70"/>
      <c r="BAZ131" s="70"/>
      <c r="BBA131" s="70"/>
      <c r="BBB131" s="70"/>
      <c r="BBC131" s="70"/>
      <c r="BBD131" s="70"/>
      <c r="BBE131" s="70"/>
      <c r="BBF131" s="70"/>
      <c r="BBG131" s="70"/>
      <c r="BBH131" s="70"/>
      <c r="BBI131" s="70"/>
      <c r="BBJ131" s="70"/>
      <c r="BBK131" s="70"/>
      <c r="BBL131" s="70"/>
      <c r="BBM131" s="70"/>
      <c r="BBN131" s="70"/>
      <c r="BBO131" s="70"/>
      <c r="BBP131" s="70"/>
      <c r="BBQ131" s="70"/>
      <c r="BBR131" s="70"/>
      <c r="BBS131" s="70"/>
      <c r="BBT131" s="70"/>
      <c r="BBU131" s="70"/>
      <c r="BBV131" s="70"/>
      <c r="BBW131" s="70"/>
      <c r="BBX131" s="70"/>
      <c r="BBY131" s="70"/>
      <c r="BBZ131" s="70"/>
      <c r="BCA131" s="70"/>
      <c r="BCB131" s="70"/>
      <c r="BCC131" s="70"/>
      <c r="BCD131" s="70"/>
      <c r="BCE131" s="70"/>
      <c r="BCF131" s="70"/>
      <c r="BCG131" s="70"/>
      <c r="BCH131" s="70"/>
      <c r="BCI131" s="70"/>
      <c r="BCJ131" s="70"/>
      <c r="BCK131" s="70"/>
      <c r="BCL131" s="70"/>
      <c r="BCM131" s="70"/>
      <c r="BCN131" s="70"/>
      <c r="BCO131" s="70"/>
      <c r="BCP131" s="70"/>
      <c r="BCQ131" s="70"/>
      <c r="BCR131" s="70"/>
      <c r="BCS131" s="70"/>
      <c r="BCT131" s="70"/>
      <c r="BCU131" s="70"/>
      <c r="BCV131" s="70"/>
      <c r="BCW131" s="70"/>
    </row>
    <row r="132" spans="1:1453" s="69" customFormat="1" ht="24.75" customHeight="1" x14ac:dyDescent="0.25">
      <c r="A132" s="142">
        <v>10</v>
      </c>
      <c r="B132" s="134" t="s">
        <v>515</v>
      </c>
      <c r="C132" s="140" t="s">
        <v>516</v>
      </c>
      <c r="D132" s="52">
        <v>11566100</v>
      </c>
      <c r="E132" s="153" t="s">
        <v>221</v>
      </c>
      <c r="F132" s="73" t="s">
        <v>213</v>
      </c>
      <c r="G132" s="71"/>
      <c r="H132" s="71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G132" s="70"/>
      <c r="CH132" s="70"/>
      <c r="CI132" s="70"/>
      <c r="CJ132" s="70"/>
      <c r="CK132" s="70"/>
      <c r="CL132" s="70"/>
      <c r="CM132" s="70"/>
      <c r="CN132" s="70"/>
      <c r="CO132" s="70"/>
      <c r="CP132" s="70"/>
      <c r="CQ132" s="70"/>
      <c r="CR132" s="70"/>
      <c r="CS132" s="70"/>
      <c r="CT132" s="70"/>
      <c r="CU132" s="70"/>
      <c r="CV132" s="70"/>
      <c r="CW132" s="70"/>
      <c r="CX132" s="70"/>
      <c r="CY132" s="70"/>
      <c r="CZ132" s="70"/>
      <c r="DA132" s="70"/>
      <c r="DB132" s="70"/>
      <c r="DC132" s="70"/>
      <c r="DD132" s="70"/>
      <c r="DE132" s="70"/>
      <c r="DF132" s="70"/>
      <c r="DG132" s="70"/>
      <c r="DH132" s="70"/>
      <c r="DI132" s="70"/>
      <c r="DJ132" s="70"/>
      <c r="DK132" s="70"/>
      <c r="DL132" s="70"/>
      <c r="DM132" s="70"/>
      <c r="DN132" s="70"/>
      <c r="DO132" s="70"/>
      <c r="DP132" s="70"/>
      <c r="DQ132" s="70"/>
      <c r="DR132" s="70"/>
      <c r="DS132" s="70"/>
      <c r="DT132" s="70"/>
      <c r="DU132" s="70"/>
      <c r="DV132" s="70"/>
      <c r="DW132" s="70"/>
      <c r="DX132" s="70"/>
      <c r="DY132" s="70"/>
      <c r="DZ132" s="70"/>
      <c r="EA132" s="70"/>
      <c r="EB132" s="70"/>
      <c r="EC132" s="70"/>
      <c r="ED132" s="70"/>
      <c r="EE132" s="70"/>
      <c r="EF132" s="70"/>
      <c r="EG132" s="70"/>
      <c r="EH132" s="70"/>
      <c r="EI132" s="70"/>
      <c r="EJ132" s="70"/>
      <c r="EK132" s="70"/>
      <c r="EL132" s="70"/>
      <c r="EM132" s="70"/>
      <c r="EN132" s="70"/>
      <c r="EO132" s="70"/>
      <c r="EP132" s="70"/>
      <c r="EQ132" s="70"/>
      <c r="ER132" s="70"/>
      <c r="ES132" s="70"/>
      <c r="ET132" s="70"/>
      <c r="EU132" s="70"/>
      <c r="EV132" s="70"/>
      <c r="EW132" s="70"/>
      <c r="EX132" s="70"/>
      <c r="EY132" s="70"/>
      <c r="EZ132" s="70"/>
      <c r="FA132" s="70"/>
      <c r="FB132" s="70"/>
      <c r="FC132" s="70"/>
      <c r="FD132" s="70"/>
      <c r="FE132" s="70"/>
      <c r="FF132" s="70"/>
      <c r="FG132" s="70"/>
      <c r="FH132" s="70"/>
      <c r="FI132" s="70"/>
      <c r="FJ132" s="70"/>
      <c r="FK132" s="70"/>
      <c r="FL132" s="70"/>
      <c r="FM132" s="70"/>
      <c r="FN132" s="70"/>
      <c r="FO132" s="70"/>
      <c r="FP132" s="70"/>
      <c r="FQ132" s="70"/>
      <c r="FR132" s="70"/>
      <c r="FS132" s="70"/>
      <c r="FT132" s="70"/>
      <c r="FU132" s="70"/>
      <c r="FV132" s="70"/>
      <c r="FW132" s="70"/>
      <c r="FX132" s="70"/>
      <c r="FY132" s="70"/>
      <c r="FZ132" s="70"/>
      <c r="GA132" s="70"/>
      <c r="GB132" s="70"/>
      <c r="GC132" s="70"/>
      <c r="GD132" s="70"/>
      <c r="GE132" s="70"/>
      <c r="GF132" s="70"/>
      <c r="GG132" s="70"/>
      <c r="GH132" s="70"/>
      <c r="GI132" s="70"/>
      <c r="GJ132" s="70"/>
      <c r="GK132" s="70"/>
      <c r="GL132" s="70"/>
      <c r="GM132" s="70"/>
      <c r="GN132" s="70"/>
      <c r="GO132" s="70"/>
      <c r="GP132" s="70"/>
      <c r="GQ132" s="70"/>
      <c r="GR132" s="70"/>
      <c r="GS132" s="70"/>
      <c r="GT132" s="70"/>
      <c r="GU132" s="70"/>
      <c r="GV132" s="70"/>
      <c r="GW132" s="70"/>
      <c r="GX132" s="70"/>
      <c r="GY132" s="70"/>
      <c r="GZ132" s="70"/>
      <c r="HA132" s="70"/>
      <c r="HB132" s="70"/>
      <c r="HC132" s="70"/>
      <c r="HD132" s="70"/>
      <c r="HE132" s="70"/>
      <c r="HF132" s="70"/>
      <c r="HG132" s="70"/>
      <c r="HH132" s="70"/>
      <c r="HI132" s="70"/>
      <c r="HJ132" s="70"/>
      <c r="HK132" s="70"/>
      <c r="HL132" s="70"/>
      <c r="HM132" s="70"/>
      <c r="HN132" s="70"/>
      <c r="HO132" s="70"/>
      <c r="HP132" s="70"/>
      <c r="HQ132" s="70"/>
      <c r="HR132" s="70"/>
      <c r="HS132" s="70"/>
      <c r="HT132" s="70"/>
      <c r="HU132" s="70"/>
      <c r="HV132" s="70"/>
      <c r="HW132" s="70"/>
      <c r="HX132" s="70"/>
      <c r="HY132" s="70"/>
      <c r="HZ132" s="70"/>
      <c r="IA132" s="70"/>
      <c r="IB132" s="70"/>
      <c r="IC132" s="70"/>
      <c r="ID132" s="70"/>
      <c r="IE132" s="70"/>
      <c r="IF132" s="70"/>
      <c r="IG132" s="70"/>
      <c r="IH132" s="70"/>
      <c r="II132" s="70"/>
      <c r="IJ132" s="70"/>
      <c r="IK132" s="70"/>
      <c r="IL132" s="70"/>
      <c r="IM132" s="70"/>
      <c r="IN132" s="70"/>
      <c r="IO132" s="70"/>
      <c r="IP132" s="70"/>
      <c r="IQ132" s="70"/>
      <c r="IR132" s="70"/>
      <c r="IS132" s="70"/>
      <c r="IT132" s="70"/>
      <c r="IU132" s="70"/>
      <c r="IV132" s="70"/>
      <c r="IW132" s="70"/>
      <c r="IX132" s="70"/>
      <c r="IY132" s="70"/>
      <c r="IZ132" s="70"/>
      <c r="JA132" s="70"/>
      <c r="JB132" s="70"/>
      <c r="JC132" s="70"/>
      <c r="JD132" s="70"/>
      <c r="JE132" s="70"/>
      <c r="JF132" s="70"/>
      <c r="JG132" s="70"/>
      <c r="JH132" s="70"/>
      <c r="JI132" s="70"/>
      <c r="JJ132" s="70"/>
      <c r="JK132" s="70"/>
      <c r="JL132" s="70"/>
      <c r="JM132" s="70"/>
      <c r="JN132" s="70"/>
      <c r="JO132" s="70"/>
      <c r="JP132" s="70"/>
      <c r="JQ132" s="70"/>
      <c r="JR132" s="70"/>
      <c r="JS132" s="70"/>
      <c r="JT132" s="70"/>
      <c r="JU132" s="70"/>
      <c r="JV132" s="70"/>
      <c r="JW132" s="70"/>
      <c r="JX132" s="70"/>
      <c r="JY132" s="70"/>
      <c r="JZ132" s="70"/>
      <c r="KA132" s="70"/>
      <c r="KB132" s="70"/>
      <c r="KC132" s="70"/>
      <c r="KD132" s="70"/>
      <c r="KE132" s="70"/>
      <c r="KF132" s="70"/>
      <c r="KG132" s="70"/>
      <c r="KH132" s="70"/>
      <c r="KI132" s="70"/>
      <c r="KJ132" s="70"/>
      <c r="KK132" s="70"/>
      <c r="KL132" s="70"/>
      <c r="KM132" s="70"/>
      <c r="KN132" s="70"/>
      <c r="KO132" s="70"/>
      <c r="KP132" s="70"/>
      <c r="KQ132" s="70"/>
      <c r="KR132" s="70"/>
      <c r="KS132" s="70"/>
      <c r="KT132" s="70"/>
      <c r="KU132" s="70"/>
      <c r="KV132" s="70"/>
      <c r="KW132" s="70"/>
      <c r="KX132" s="70"/>
      <c r="KY132" s="70"/>
      <c r="KZ132" s="70"/>
      <c r="LA132" s="70"/>
      <c r="LB132" s="70"/>
      <c r="LC132" s="70"/>
      <c r="LD132" s="70"/>
      <c r="LE132" s="70"/>
      <c r="LF132" s="70"/>
      <c r="LG132" s="70"/>
      <c r="LH132" s="70"/>
      <c r="LI132" s="70"/>
      <c r="LJ132" s="70"/>
      <c r="LK132" s="70"/>
      <c r="LL132" s="70"/>
      <c r="LM132" s="70"/>
      <c r="LN132" s="70"/>
      <c r="LO132" s="70"/>
      <c r="LP132" s="70"/>
      <c r="LQ132" s="70"/>
      <c r="LR132" s="70"/>
      <c r="LS132" s="70"/>
      <c r="LT132" s="70"/>
      <c r="LU132" s="70"/>
      <c r="LV132" s="70"/>
      <c r="LW132" s="70"/>
      <c r="LX132" s="70"/>
      <c r="LY132" s="70"/>
      <c r="LZ132" s="70"/>
      <c r="MA132" s="70"/>
      <c r="MB132" s="70"/>
      <c r="MC132" s="70"/>
      <c r="MD132" s="70"/>
      <c r="ME132" s="70"/>
      <c r="MF132" s="70"/>
      <c r="MG132" s="70"/>
      <c r="MH132" s="70"/>
      <c r="MI132" s="70"/>
      <c r="MJ132" s="70"/>
      <c r="MK132" s="70"/>
      <c r="ML132" s="70"/>
      <c r="MM132" s="70"/>
      <c r="MN132" s="70"/>
      <c r="MO132" s="70"/>
      <c r="MP132" s="70"/>
      <c r="MQ132" s="70"/>
      <c r="MR132" s="70"/>
      <c r="MS132" s="70"/>
      <c r="MT132" s="70"/>
      <c r="MU132" s="70"/>
      <c r="MV132" s="70"/>
      <c r="MW132" s="70"/>
      <c r="MX132" s="70"/>
      <c r="MY132" s="70"/>
      <c r="MZ132" s="70"/>
      <c r="NA132" s="70"/>
      <c r="NB132" s="70"/>
      <c r="NC132" s="70"/>
      <c r="ND132" s="70"/>
      <c r="NE132" s="70"/>
      <c r="NF132" s="70"/>
      <c r="NG132" s="70"/>
      <c r="NH132" s="70"/>
      <c r="NI132" s="70"/>
      <c r="NJ132" s="70"/>
      <c r="NK132" s="70"/>
      <c r="NL132" s="70"/>
      <c r="NM132" s="70"/>
      <c r="NN132" s="70"/>
      <c r="NO132" s="70"/>
      <c r="NP132" s="70"/>
      <c r="NQ132" s="70"/>
      <c r="NR132" s="70"/>
      <c r="NS132" s="70"/>
      <c r="NT132" s="70"/>
      <c r="NU132" s="70"/>
      <c r="NV132" s="70"/>
      <c r="NW132" s="70"/>
      <c r="NX132" s="70"/>
      <c r="NY132" s="70"/>
      <c r="NZ132" s="70"/>
      <c r="OA132" s="70"/>
      <c r="OB132" s="70"/>
      <c r="OC132" s="70"/>
      <c r="OD132" s="70"/>
      <c r="OE132" s="70"/>
      <c r="OF132" s="70"/>
      <c r="OG132" s="70"/>
      <c r="OH132" s="70"/>
      <c r="OI132" s="70"/>
      <c r="OJ132" s="70"/>
      <c r="OK132" s="70"/>
      <c r="OL132" s="70"/>
      <c r="OM132" s="70"/>
      <c r="ON132" s="70"/>
      <c r="OO132" s="70"/>
      <c r="OP132" s="70"/>
      <c r="OQ132" s="70"/>
      <c r="OR132" s="70"/>
      <c r="OS132" s="70"/>
      <c r="OT132" s="70"/>
      <c r="OU132" s="70"/>
      <c r="OV132" s="70"/>
      <c r="OW132" s="70"/>
      <c r="OX132" s="70"/>
      <c r="OY132" s="70"/>
      <c r="OZ132" s="70"/>
      <c r="PA132" s="70"/>
      <c r="PB132" s="70"/>
      <c r="PC132" s="70"/>
      <c r="PD132" s="70"/>
      <c r="PE132" s="70"/>
      <c r="PF132" s="70"/>
      <c r="PG132" s="70"/>
      <c r="PH132" s="70"/>
      <c r="PI132" s="70"/>
      <c r="PJ132" s="70"/>
      <c r="PK132" s="70"/>
      <c r="PL132" s="70"/>
      <c r="PM132" s="70"/>
      <c r="PN132" s="70"/>
      <c r="PO132" s="70"/>
      <c r="PP132" s="70"/>
      <c r="PQ132" s="70"/>
      <c r="PR132" s="70"/>
      <c r="PS132" s="70"/>
      <c r="PT132" s="70"/>
      <c r="PU132" s="70"/>
      <c r="PV132" s="70"/>
      <c r="PW132" s="70"/>
      <c r="PX132" s="70"/>
      <c r="PY132" s="70"/>
      <c r="PZ132" s="70"/>
      <c r="QA132" s="70"/>
      <c r="QB132" s="70"/>
      <c r="QC132" s="70"/>
      <c r="QD132" s="70"/>
      <c r="QE132" s="70"/>
      <c r="QF132" s="70"/>
      <c r="QG132" s="70"/>
      <c r="QH132" s="70"/>
      <c r="QI132" s="70"/>
      <c r="QJ132" s="70"/>
      <c r="QK132" s="70"/>
      <c r="QL132" s="70"/>
      <c r="QM132" s="70"/>
      <c r="QN132" s="70"/>
      <c r="QO132" s="70"/>
      <c r="QP132" s="70"/>
      <c r="QQ132" s="70"/>
      <c r="QR132" s="70"/>
      <c r="QS132" s="70"/>
      <c r="QT132" s="70"/>
      <c r="QU132" s="70"/>
      <c r="QV132" s="70"/>
      <c r="QW132" s="70"/>
      <c r="QX132" s="70"/>
      <c r="QY132" s="70"/>
      <c r="QZ132" s="70"/>
      <c r="RA132" s="70"/>
      <c r="RB132" s="70"/>
      <c r="RC132" s="70"/>
      <c r="RD132" s="70"/>
      <c r="RE132" s="70"/>
      <c r="RF132" s="70"/>
      <c r="RG132" s="70"/>
      <c r="RH132" s="70"/>
      <c r="RI132" s="70"/>
      <c r="RJ132" s="70"/>
      <c r="RK132" s="70"/>
      <c r="RL132" s="70"/>
      <c r="RM132" s="70"/>
      <c r="RN132" s="70"/>
      <c r="RO132" s="70"/>
      <c r="RP132" s="70"/>
      <c r="RQ132" s="70"/>
      <c r="RR132" s="70"/>
      <c r="RS132" s="70"/>
      <c r="RT132" s="70"/>
      <c r="RU132" s="70"/>
      <c r="RV132" s="70"/>
      <c r="RW132" s="70"/>
      <c r="RX132" s="70"/>
      <c r="RY132" s="70"/>
      <c r="RZ132" s="70"/>
      <c r="SA132" s="70"/>
      <c r="SB132" s="70"/>
      <c r="SC132" s="70"/>
      <c r="SD132" s="70"/>
      <c r="SE132" s="70"/>
      <c r="SF132" s="70"/>
      <c r="SG132" s="70"/>
      <c r="SH132" s="70"/>
      <c r="SI132" s="70"/>
      <c r="SJ132" s="70"/>
      <c r="SK132" s="70"/>
      <c r="SL132" s="70"/>
      <c r="SM132" s="70"/>
      <c r="SN132" s="70"/>
      <c r="SO132" s="70"/>
      <c r="SP132" s="70"/>
      <c r="SQ132" s="70"/>
      <c r="SR132" s="70"/>
      <c r="SS132" s="70"/>
      <c r="ST132" s="70"/>
      <c r="SU132" s="70"/>
      <c r="SV132" s="70"/>
      <c r="SW132" s="70"/>
      <c r="SX132" s="70"/>
      <c r="SY132" s="70"/>
      <c r="SZ132" s="70"/>
      <c r="TA132" s="70"/>
      <c r="TB132" s="70"/>
      <c r="TC132" s="70"/>
      <c r="TD132" s="70"/>
      <c r="TE132" s="70"/>
      <c r="TF132" s="70"/>
      <c r="TG132" s="70"/>
      <c r="TH132" s="70"/>
      <c r="TI132" s="70"/>
      <c r="TJ132" s="70"/>
      <c r="TK132" s="70"/>
      <c r="TL132" s="70"/>
      <c r="TM132" s="70"/>
      <c r="TN132" s="70"/>
      <c r="TO132" s="70"/>
      <c r="TP132" s="70"/>
      <c r="TQ132" s="70"/>
      <c r="TR132" s="70"/>
      <c r="TS132" s="70"/>
      <c r="TT132" s="70"/>
      <c r="TU132" s="70"/>
      <c r="TV132" s="70"/>
      <c r="TW132" s="70"/>
      <c r="TX132" s="70"/>
      <c r="TY132" s="70"/>
      <c r="TZ132" s="70"/>
      <c r="UA132" s="70"/>
      <c r="UB132" s="70"/>
      <c r="UC132" s="70"/>
      <c r="UD132" s="70"/>
      <c r="UE132" s="70"/>
      <c r="UF132" s="70"/>
      <c r="UG132" s="70"/>
      <c r="UH132" s="70"/>
      <c r="UI132" s="70"/>
      <c r="UJ132" s="70"/>
      <c r="UK132" s="70"/>
      <c r="UL132" s="70"/>
      <c r="UM132" s="70"/>
      <c r="UN132" s="70"/>
      <c r="UO132" s="70"/>
      <c r="UP132" s="70"/>
      <c r="UQ132" s="70"/>
      <c r="UR132" s="70"/>
      <c r="US132" s="70"/>
      <c r="UT132" s="70"/>
      <c r="UU132" s="70"/>
      <c r="UV132" s="70"/>
      <c r="UW132" s="70"/>
      <c r="UX132" s="70"/>
      <c r="UY132" s="70"/>
      <c r="UZ132" s="70"/>
      <c r="VA132" s="70"/>
      <c r="VB132" s="70"/>
      <c r="VC132" s="70"/>
      <c r="VD132" s="70"/>
      <c r="VE132" s="70"/>
      <c r="VF132" s="70"/>
      <c r="VG132" s="70"/>
      <c r="VH132" s="70"/>
      <c r="VI132" s="70"/>
      <c r="VJ132" s="70"/>
      <c r="VK132" s="70"/>
      <c r="VL132" s="70"/>
      <c r="VM132" s="70"/>
      <c r="VN132" s="70"/>
      <c r="VO132" s="70"/>
      <c r="VP132" s="70"/>
      <c r="VQ132" s="70"/>
      <c r="VR132" s="70"/>
      <c r="VS132" s="70"/>
      <c r="VT132" s="70"/>
      <c r="VU132" s="70"/>
      <c r="VV132" s="70"/>
      <c r="VW132" s="70"/>
      <c r="VX132" s="70"/>
      <c r="VY132" s="70"/>
      <c r="VZ132" s="70"/>
      <c r="WA132" s="70"/>
      <c r="WB132" s="70"/>
      <c r="WC132" s="70"/>
      <c r="WD132" s="70"/>
      <c r="WE132" s="70"/>
      <c r="WF132" s="70"/>
      <c r="WG132" s="70"/>
      <c r="WH132" s="70"/>
      <c r="WI132" s="70"/>
      <c r="WJ132" s="70"/>
      <c r="WK132" s="70"/>
      <c r="WL132" s="70"/>
      <c r="WM132" s="70"/>
      <c r="WN132" s="70"/>
      <c r="WO132" s="70"/>
      <c r="WP132" s="70"/>
      <c r="WQ132" s="70"/>
      <c r="WR132" s="70"/>
      <c r="WS132" s="70"/>
      <c r="WT132" s="70"/>
      <c r="WU132" s="70"/>
      <c r="WV132" s="70"/>
      <c r="WW132" s="70"/>
      <c r="WX132" s="70"/>
      <c r="WY132" s="70"/>
      <c r="WZ132" s="70"/>
      <c r="XA132" s="70"/>
      <c r="XB132" s="70"/>
      <c r="XC132" s="70"/>
      <c r="XD132" s="70"/>
      <c r="XE132" s="70"/>
      <c r="XF132" s="70"/>
      <c r="XG132" s="70"/>
      <c r="XH132" s="70"/>
      <c r="XI132" s="70"/>
      <c r="XJ132" s="70"/>
      <c r="XK132" s="70"/>
      <c r="XL132" s="70"/>
      <c r="XM132" s="70"/>
      <c r="XN132" s="70"/>
      <c r="XO132" s="70"/>
      <c r="XP132" s="70"/>
      <c r="XQ132" s="70"/>
      <c r="XR132" s="70"/>
      <c r="XS132" s="70"/>
      <c r="XT132" s="70"/>
      <c r="XU132" s="70"/>
      <c r="XV132" s="70"/>
      <c r="XW132" s="70"/>
      <c r="XX132" s="70"/>
      <c r="XY132" s="70"/>
      <c r="XZ132" s="70"/>
      <c r="YA132" s="70"/>
      <c r="YB132" s="70"/>
      <c r="YC132" s="70"/>
      <c r="YD132" s="70"/>
      <c r="YE132" s="70"/>
      <c r="YF132" s="70"/>
      <c r="YG132" s="70"/>
      <c r="YH132" s="70"/>
      <c r="YI132" s="70"/>
      <c r="YJ132" s="70"/>
      <c r="YK132" s="70"/>
      <c r="YL132" s="70"/>
      <c r="YM132" s="70"/>
      <c r="YN132" s="70"/>
      <c r="YO132" s="70"/>
      <c r="YP132" s="70"/>
      <c r="YQ132" s="70"/>
      <c r="YR132" s="70"/>
      <c r="YS132" s="70"/>
      <c r="YT132" s="70"/>
      <c r="YU132" s="70"/>
      <c r="YV132" s="70"/>
      <c r="YW132" s="70"/>
      <c r="YX132" s="70"/>
      <c r="YY132" s="70"/>
      <c r="YZ132" s="70"/>
      <c r="ZA132" s="70"/>
      <c r="ZB132" s="70"/>
      <c r="ZC132" s="70"/>
      <c r="ZD132" s="70"/>
      <c r="ZE132" s="70"/>
      <c r="ZF132" s="70"/>
      <c r="ZG132" s="70"/>
      <c r="ZH132" s="70"/>
      <c r="ZI132" s="70"/>
      <c r="ZJ132" s="70"/>
      <c r="ZK132" s="70"/>
      <c r="ZL132" s="70"/>
      <c r="ZM132" s="70"/>
      <c r="ZN132" s="70"/>
      <c r="ZO132" s="70"/>
      <c r="ZP132" s="70"/>
      <c r="ZQ132" s="70"/>
      <c r="ZR132" s="70"/>
      <c r="ZS132" s="70"/>
      <c r="ZT132" s="70"/>
      <c r="ZU132" s="70"/>
      <c r="ZV132" s="70"/>
      <c r="ZW132" s="70"/>
      <c r="ZX132" s="70"/>
      <c r="ZY132" s="70"/>
      <c r="ZZ132" s="70"/>
      <c r="AAA132" s="70"/>
      <c r="AAB132" s="70"/>
      <c r="AAC132" s="70"/>
      <c r="AAD132" s="70"/>
      <c r="AAE132" s="70"/>
      <c r="AAF132" s="70"/>
      <c r="AAG132" s="70"/>
      <c r="AAH132" s="70"/>
      <c r="AAI132" s="70"/>
      <c r="AAJ132" s="70"/>
      <c r="AAK132" s="70"/>
      <c r="AAL132" s="70"/>
      <c r="AAM132" s="70"/>
      <c r="AAN132" s="70"/>
      <c r="AAO132" s="70"/>
      <c r="AAP132" s="70"/>
      <c r="AAQ132" s="70"/>
      <c r="AAR132" s="70"/>
      <c r="AAS132" s="70"/>
      <c r="AAT132" s="70"/>
      <c r="AAU132" s="70"/>
      <c r="AAV132" s="70"/>
      <c r="AAW132" s="70"/>
      <c r="AAX132" s="70"/>
      <c r="AAY132" s="70"/>
      <c r="AAZ132" s="70"/>
      <c r="ABA132" s="70"/>
      <c r="ABB132" s="70"/>
      <c r="ABC132" s="70"/>
      <c r="ABD132" s="70"/>
      <c r="ABE132" s="70"/>
      <c r="ABF132" s="70"/>
      <c r="ABG132" s="70"/>
      <c r="ABH132" s="70"/>
      <c r="ABI132" s="70"/>
      <c r="ABJ132" s="70"/>
      <c r="ABK132" s="70"/>
      <c r="ABL132" s="70"/>
      <c r="ABM132" s="70"/>
      <c r="ABN132" s="70"/>
      <c r="ABO132" s="70"/>
      <c r="ABP132" s="70"/>
      <c r="ABQ132" s="70"/>
      <c r="ABR132" s="70"/>
      <c r="ABS132" s="70"/>
      <c r="ABT132" s="70"/>
      <c r="ABU132" s="70"/>
      <c r="ABV132" s="70"/>
      <c r="ABW132" s="70"/>
      <c r="ABX132" s="70"/>
      <c r="ABY132" s="70"/>
      <c r="ABZ132" s="70"/>
      <c r="ACA132" s="70"/>
      <c r="ACB132" s="70"/>
      <c r="ACC132" s="70"/>
      <c r="ACD132" s="70"/>
      <c r="ACE132" s="70"/>
      <c r="ACF132" s="70"/>
      <c r="ACG132" s="70"/>
      <c r="ACH132" s="70"/>
      <c r="ACI132" s="70"/>
      <c r="ACJ132" s="70"/>
      <c r="ACK132" s="70"/>
      <c r="ACL132" s="70"/>
      <c r="ACM132" s="70"/>
      <c r="ACN132" s="70"/>
      <c r="ACO132" s="70"/>
      <c r="ACP132" s="70"/>
      <c r="ACQ132" s="70"/>
      <c r="ACR132" s="70"/>
      <c r="ACS132" s="70"/>
      <c r="ACT132" s="70"/>
      <c r="ACU132" s="70"/>
      <c r="ACV132" s="70"/>
      <c r="ACW132" s="70"/>
      <c r="ACX132" s="70"/>
      <c r="ACY132" s="70"/>
      <c r="ACZ132" s="70"/>
      <c r="ADA132" s="70"/>
      <c r="ADB132" s="70"/>
      <c r="ADC132" s="70"/>
      <c r="ADD132" s="70"/>
      <c r="ADE132" s="70"/>
      <c r="ADF132" s="70"/>
      <c r="ADG132" s="70"/>
      <c r="ADH132" s="70"/>
      <c r="ADI132" s="70"/>
      <c r="ADJ132" s="70"/>
      <c r="ADK132" s="70"/>
      <c r="ADL132" s="70"/>
      <c r="ADM132" s="70"/>
      <c r="ADN132" s="70"/>
      <c r="ADO132" s="70"/>
      <c r="ADP132" s="70"/>
      <c r="ADQ132" s="70"/>
      <c r="ADR132" s="70"/>
      <c r="ADS132" s="70"/>
      <c r="ADT132" s="70"/>
      <c r="ADU132" s="70"/>
      <c r="ADV132" s="70"/>
      <c r="ADW132" s="70"/>
      <c r="ADX132" s="70"/>
      <c r="ADY132" s="70"/>
      <c r="ADZ132" s="70"/>
      <c r="AEA132" s="70"/>
      <c r="AEB132" s="70"/>
      <c r="AEC132" s="70"/>
      <c r="AED132" s="70"/>
      <c r="AEE132" s="70"/>
      <c r="AEF132" s="70"/>
      <c r="AEG132" s="70"/>
      <c r="AEH132" s="70"/>
      <c r="AEI132" s="70"/>
      <c r="AEJ132" s="70"/>
      <c r="AEK132" s="70"/>
      <c r="AEL132" s="70"/>
      <c r="AEM132" s="70"/>
      <c r="AEN132" s="70"/>
      <c r="AEO132" s="70"/>
      <c r="AEP132" s="70"/>
      <c r="AEQ132" s="70"/>
      <c r="AER132" s="70"/>
      <c r="AES132" s="70"/>
      <c r="AET132" s="70"/>
      <c r="AEU132" s="70"/>
      <c r="AEV132" s="70"/>
      <c r="AEW132" s="70"/>
      <c r="AEX132" s="70"/>
      <c r="AEY132" s="70"/>
      <c r="AEZ132" s="70"/>
      <c r="AFA132" s="70"/>
      <c r="AFB132" s="70"/>
      <c r="AFC132" s="70"/>
      <c r="AFD132" s="70"/>
      <c r="AFE132" s="70"/>
      <c r="AFF132" s="70"/>
      <c r="AFG132" s="70"/>
      <c r="AFH132" s="70"/>
      <c r="AFI132" s="70"/>
      <c r="AFJ132" s="70"/>
      <c r="AFK132" s="70"/>
      <c r="AFL132" s="70"/>
      <c r="AFM132" s="70"/>
      <c r="AFN132" s="70"/>
      <c r="AFO132" s="70"/>
      <c r="AFP132" s="70"/>
      <c r="AFQ132" s="70"/>
      <c r="AFR132" s="70"/>
      <c r="AFS132" s="70"/>
      <c r="AFT132" s="70"/>
      <c r="AFU132" s="70"/>
      <c r="AFV132" s="70"/>
      <c r="AFW132" s="70"/>
      <c r="AFX132" s="70"/>
      <c r="AFY132" s="70"/>
      <c r="AFZ132" s="70"/>
      <c r="AGA132" s="70"/>
      <c r="AGB132" s="70"/>
      <c r="AGC132" s="70"/>
      <c r="AGD132" s="70"/>
      <c r="AGE132" s="70"/>
      <c r="AGF132" s="70"/>
      <c r="AGG132" s="70"/>
      <c r="AGH132" s="70"/>
      <c r="AGI132" s="70"/>
      <c r="AGJ132" s="70"/>
      <c r="AGK132" s="70"/>
      <c r="AGL132" s="70"/>
      <c r="AGM132" s="70"/>
      <c r="AGN132" s="70"/>
      <c r="AGO132" s="70"/>
      <c r="AGP132" s="70"/>
      <c r="AGQ132" s="70"/>
      <c r="AGR132" s="70"/>
      <c r="AGS132" s="70"/>
      <c r="AGT132" s="70"/>
      <c r="AGU132" s="70"/>
      <c r="AGV132" s="70"/>
      <c r="AGW132" s="70"/>
      <c r="AGX132" s="70"/>
      <c r="AGY132" s="70"/>
      <c r="AGZ132" s="70"/>
      <c r="AHA132" s="70"/>
      <c r="AHB132" s="70"/>
      <c r="AHC132" s="70"/>
      <c r="AHD132" s="70"/>
      <c r="AHE132" s="70"/>
      <c r="AHF132" s="70"/>
      <c r="AHG132" s="70"/>
      <c r="AHH132" s="70"/>
      <c r="AHI132" s="70"/>
      <c r="AHJ132" s="70"/>
      <c r="AHK132" s="70"/>
      <c r="AHL132" s="70"/>
      <c r="AHM132" s="70"/>
      <c r="AHN132" s="70"/>
      <c r="AHO132" s="70"/>
      <c r="AHP132" s="70"/>
      <c r="AHQ132" s="70"/>
      <c r="AHR132" s="70"/>
      <c r="AHS132" s="70"/>
      <c r="AHT132" s="70"/>
      <c r="AHU132" s="70"/>
      <c r="AHV132" s="70"/>
      <c r="AHW132" s="70"/>
      <c r="AHX132" s="70"/>
      <c r="AHY132" s="70"/>
      <c r="AHZ132" s="70"/>
      <c r="AIA132" s="70"/>
      <c r="AIB132" s="70"/>
      <c r="AIC132" s="70"/>
      <c r="AID132" s="70"/>
      <c r="AIE132" s="70"/>
      <c r="AIF132" s="70"/>
      <c r="AIG132" s="70"/>
      <c r="AIH132" s="70"/>
      <c r="AII132" s="70"/>
      <c r="AIJ132" s="70"/>
      <c r="AIK132" s="70"/>
      <c r="AIL132" s="70"/>
      <c r="AIM132" s="70"/>
      <c r="AIN132" s="70"/>
      <c r="AIO132" s="70"/>
      <c r="AIP132" s="70"/>
      <c r="AIQ132" s="70"/>
      <c r="AIR132" s="70"/>
      <c r="AIS132" s="70"/>
      <c r="AIT132" s="70"/>
      <c r="AIU132" s="70"/>
      <c r="AIV132" s="70"/>
      <c r="AIW132" s="70"/>
      <c r="AIX132" s="70"/>
      <c r="AIY132" s="70"/>
      <c r="AIZ132" s="70"/>
      <c r="AJA132" s="70"/>
      <c r="AJB132" s="70"/>
      <c r="AJC132" s="70"/>
      <c r="AJD132" s="70"/>
      <c r="AJE132" s="70"/>
      <c r="AJF132" s="70"/>
      <c r="AJG132" s="70"/>
      <c r="AJH132" s="70"/>
      <c r="AJI132" s="70"/>
      <c r="AJJ132" s="70"/>
      <c r="AJK132" s="70"/>
      <c r="AJL132" s="70"/>
      <c r="AJM132" s="70"/>
      <c r="AJN132" s="70"/>
      <c r="AJO132" s="70"/>
      <c r="AJP132" s="70"/>
      <c r="AJQ132" s="70"/>
      <c r="AJR132" s="70"/>
      <c r="AJS132" s="70"/>
      <c r="AJT132" s="70"/>
      <c r="AJU132" s="70"/>
      <c r="AJV132" s="70"/>
      <c r="AJW132" s="70"/>
      <c r="AJX132" s="70"/>
      <c r="AJY132" s="70"/>
      <c r="AJZ132" s="70"/>
      <c r="AKA132" s="70"/>
      <c r="AKB132" s="70"/>
      <c r="AKC132" s="70"/>
      <c r="AKD132" s="70"/>
      <c r="AKE132" s="70"/>
      <c r="AKF132" s="70"/>
      <c r="AKG132" s="70"/>
      <c r="AKH132" s="70"/>
      <c r="AKI132" s="70"/>
      <c r="AKJ132" s="70"/>
      <c r="AKK132" s="70"/>
      <c r="AKL132" s="70"/>
      <c r="AKM132" s="70"/>
      <c r="AKN132" s="70"/>
      <c r="AKO132" s="70"/>
      <c r="AKP132" s="70"/>
      <c r="AKQ132" s="70"/>
      <c r="AKR132" s="70"/>
      <c r="AKS132" s="70"/>
      <c r="AKT132" s="70"/>
      <c r="AKU132" s="70"/>
      <c r="AKV132" s="70"/>
      <c r="AKW132" s="70"/>
      <c r="AKX132" s="70"/>
      <c r="AKY132" s="70"/>
      <c r="AKZ132" s="70"/>
      <c r="ALA132" s="70"/>
      <c r="ALB132" s="70"/>
      <c r="ALC132" s="70"/>
      <c r="ALD132" s="70"/>
      <c r="ALE132" s="70"/>
      <c r="ALF132" s="70"/>
      <c r="ALG132" s="70"/>
      <c r="ALH132" s="70"/>
      <c r="ALI132" s="70"/>
      <c r="ALJ132" s="70"/>
      <c r="ALK132" s="70"/>
      <c r="ALL132" s="70"/>
      <c r="ALM132" s="70"/>
      <c r="ALN132" s="70"/>
      <c r="ALO132" s="70"/>
      <c r="ALP132" s="70"/>
      <c r="ALQ132" s="70"/>
      <c r="ALR132" s="70"/>
      <c r="ALS132" s="70"/>
      <c r="ALT132" s="70"/>
      <c r="ALU132" s="70"/>
      <c r="ALV132" s="70"/>
      <c r="ALW132" s="70"/>
      <c r="ALX132" s="70"/>
      <c r="ALY132" s="70"/>
      <c r="ALZ132" s="70"/>
      <c r="AMA132" s="70"/>
      <c r="AMB132" s="70"/>
      <c r="AMC132" s="70"/>
      <c r="AMD132" s="70"/>
      <c r="AME132" s="70"/>
      <c r="AMF132" s="70"/>
      <c r="AMG132" s="70"/>
      <c r="AMH132" s="70"/>
      <c r="AMI132" s="70"/>
      <c r="AMJ132" s="70"/>
      <c r="AMK132" s="70"/>
      <c r="AML132" s="70"/>
      <c r="AMM132" s="70"/>
      <c r="AMN132" s="70"/>
      <c r="AMO132" s="70"/>
      <c r="AMP132" s="70"/>
      <c r="AMQ132" s="70"/>
      <c r="AMR132" s="70"/>
      <c r="AMS132" s="70"/>
      <c r="AMT132" s="70"/>
      <c r="AMU132" s="70"/>
      <c r="AMV132" s="70"/>
      <c r="AMW132" s="70"/>
      <c r="AMX132" s="70"/>
      <c r="AMY132" s="70"/>
      <c r="AMZ132" s="70"/>
      <c r="ANA132" s="70"/>
      <c r="ANB132" s="70"/>
      <c r="ANC132" s="70"/>
      <c r="AND132" s="70"/>
      <c r="ANE132" s="70"/>
      <c r="ANF132" s="70"/>
      <c r="ANG132" s="70"/>
      <c r="ANH132" s="70"/>
      <c r="ANI132" s="70"/>
      <c r="ANJ132" s="70"/>
      <c r="ANK132" s="70"/>
      <c r="ANL132" s="70"/>
      <c r="ANM132" s="70"/>
      <c r="ANN132" s="70"/>
      <c r="ANO132" s="70"/>
      <c r="ANP132" s="70"/>
      <c r="ANQ132" s="70"/>
      <c r="ANR132" s="70"/>
      <c r="ANS132" s="70"/>
      <c r="ANT132" s="70"/>
      <c r="ANU132" s="70"/>
      <c r="ANV132" s="70"/>
      <c r="ANW132" s="70"/>
      <c r="ANX132" s="70"/>
      <c r="ANY132" s="70"/>
      <c r="ANZ132" s="70"/>
      <c r="AOA132" s="70"/>
      <c r="AOB132" s="70"/>
      <c r="AOC132" s="70"/>
      <c r="AOD132" s="70"/>
      <c r="AOE132" s="70"/>
      <c r="AOF132" s="70"/>
      <c r="AOG132" s="70"/>
      <c r="AOH132" s="70"/>
      <c r="AOI132" s="70"/>
      <c r="AOJ132" s="70"/>
      <c r="AOK132" s="70"/>
      <c r="AOL132" s="70"/>
      <c r="AOM132" s="70"/>
      <c r="AON132" s="70"/>
      <c r="AOO132" s="70"/>
      <c r="AOP132" s="70"/>
      <c r="AOQ132" s="70"/>
      <c r="AOR132" s="70"/>
      <c r="AOS132" s="70"/>
      <c r="AOT132" s="70"/>
      <c r="AOU132" s="70"/>
      <c r="AOV132" s="70"/>
      <c r="AOW132" s="70"/>
      <c r="AOX132" s="70"/>
      <c r="AOY132" s="70"/>
      <c r="AOZ132" s="70"/>
      <c r="APA132" s="70"/>
      <c r="APB132" s="70"/>
      <c r="APC132" s="70"/>
      <c r="APD132" s="70"/>
      <c r="APE132" s="70"/>
      <c r="APF132" s="70"/>
      <c r="APG132" s="70"/>
      <c r="APH132" s="70"/>
      <c r="API132" s="70"/>
      <c r="APJ132" s="70"/>
      <c r="APK132" s="70"/>
      <c r="APL132" s="70"/>
      <c r="APM132" s="70"/>
      <c r="APN132" s="70"/>
      <c r="APO132" s="70"/>
      <c r="APP132" s="70"/>
      <c r="APQ132" s="70"/>
      <c r="APR132" s="70"/>
      <c r="APS132" s="70"/>
      <c r="APT132" s="70"/>
      <c r="APU132" s="70"/>
      <c r="APV132" s="70"/>
      <c r="APW132" s="70"/>
      <c r="APX132" s="70"/>
      <c r="APY132" s="70"/>
      <c r="APZ132" s="70"/>
      <c r="AQA132" s="70"/>
      <c r="AQB132" s="70"/>
      <c r="AQC132" s="70"/>
      <c r="AQD132" s="70"/>
      <c r="AQE132" s="70"/>
      <c r="AQF132" s="70"/>
      <c r="AQG132" s="70"/>
      <c r="AQH132" s="70"/>
      <c r="AQI132" s="70"/>
      <c r="AQJ132" s="70"/>
      <c r="AQK132" s="70"/>
      <c r="AQL132" s="70"/>
      <c r="AQM132" s="70"/>
      <c r="AQN132" s="70"/>
      <c r="AQO132" s="70"/>
      <c r="AQP132" s="70"/>
      <c r="AQQ132" s="70"/>
      <c r="AQR132" s="70"/>
      <c r="AQS132" s="70"/>
      <c r="AQT132" s="70"/>
      <c r="AQU132" s="70"/>
      <c r="AQV132" s="70"/>
      <c r="AQW132" s="70"/>
      <c r="AQX132" s="70"/>
      <c r="AQY132" s="70"/>
      <c r="AQZ132" s="70"/>
      <c r="ARA132" s="70"/>
      <c r="ARB132" s="70"/>
      <c r="ARC132" s="70"/>
      <c r="ARD132" s="70"/>
      <c r="ARE132" s="70"/>
      <c r="ARF132" s="70"/>
      <c r="ARG132" s="70"/>
      <c r="ARH132" s="70"/>
      <c r="ARI132" s="70"/>
      <c r="ARJ132" s="70"/>
      <c r="ARK132" s="70"/>
      <c r="ARL132" s="70"/>
      <c r="ARM132" s="70"/>
      <c r="ARN132" s="70"/>
      <c r="ARO132" s="70"/>
      <c r="ARP132" s="70"/>
      <c r="ARQ132" s="70"/>
      <c r="ARR132" s="70"/>
      <c r="ARS132" s="70"/>
      <c r="ART132" s="70"/>
      <c r="ARU132" s="70"/>
      <c r="ARV132" s="70"/>
      <c r="ARW132" s="70"/>
      <c r="ARX132" s="70"/>
      <c r="ARY132" s="70"/>
      <c r="ARZ132" s="70"/>
      <c r="ASA132" s="70"/>
      <c r="ASB132" s="70"/>
      <c r="ASC132" s="70"/>
      <c r="ASD132" s="70"/>
      <c r="ASE132" s="70"/>
      <c r="ASF132" s="70"/>
      <c r="ASG132" s="70"/>
      <c r="ASH132" s="70"/>
      <c r="ASI132" s="70"/>
      <c r="ASJ132" s="70"/>
      <c r="ASK132" s="70"/>
      <c r="ASL132" s="70"/>
      <c r="ASM132" s="70"/>
      <c r="ASN132" s="70"/>
      <c r="ASO132" s="70"/>
      <c r="ASP132" s="70"/>
      <c r="ASQ132" s="70"/>
      <c r="ASR132" s="70"/>
      <c r="ASS132" s="70"/>
      <c r="AST132" s="70"/>
      <c r="ASU132" s="70"/>
      <c r="ASV132" s="70"/>
      <c r="ASW132" s="70"/>
      <c r="ASX132" s="70"/>
      <c r="ASY132" s="70"/>
      <c r="ASZ132" s="70"/>
      <c r="ATA132" s="70"/>
      <c r="ATB132" s="70"/>
      <c r="ATC132" s="70"/>
      <c r="ATD132" s="70"/>
      <c r="ATE132" s="70"/>
      <c r="ATF132" s="70"/>
      <c r="ATG132" s="70"/>
      <c r="ATH132" s="70"/>
      <c r="ATI132" s="70"/>
      <c r="ATJ132" s="70"/>
      <c r="ATK132" s="70"/>
      <c r="ATL132" s="70"/>
      <c r="ATM132" s="70"/>
      <c r="ATN132" s="70"/>
      <c r="ATO132" s="70"/>
      <c r="ATP132" s="70"/>
      <c r="ATQ132" s="70"/>
      <c r="ATR132" s="70"/>
      <c r="ATS132" s="70"/>
      <c r="ATT132" s="70"/>
      <c r="ATU132" s="70"/>
      <c r="ATV132" s="70"/>
      <c r="ATW132" s="70"/>
      <c r="ATX132" s="70"/>
      <c r="ATY132" s="70"/>
      <c r="ATZ132" s="70"/>
      <c r="AUA132" s="70"/>
      <c r="AUB132" s="70"/>
      <c r="AUC132" s="70"/>
      <c r="AUD132" s="70"/>
      <c r="AUE132" s="70"/>
      <c r="AUF132" s="70"/>
      <c r="AUG132" s="70"/>
      <c r="AUH132" s="70"/>
      <c r="AUI132" s="70"/>
      <c r="AUJ132" s="70"/>
      <c r="AUK132" s="70"/>
      <c r="AUL132" s="70"/>
      <c r="AUM132" s="70"/>
      <c r="AUN132" s="70"/>
      <c r="AUO132" s="70"/>
      <c r="AUP132" s="70"/>
      <c r="AUQ132" s="70"/>
      <c r="AUR132" s="70"/>
      <c r="AUS132" s="70"/>
      <c r="AUT132" s="70"/>
      <c r="AUU132" s="70"/>
      <c r="AUV132" s="70"/>
      <c r="AUW132" s="70"/>
      <c r="AUX132" s="70"/>
      <c r="AUY132" s="70"/>
      <c r="AUZ132" s="70"/>
      <c r="AVA132" s="70"/>
      <c r="AVB132" s="70"/>
      <c r="AVC132" s="70"/>
      <c r="AVD132" s="70"/>
      <c r="AVE132" s="70"/>
      <c r="AVF132" s="70"/>
      <c r="AVG132" s="70"/>
      <c r="AVH132" s="70"/>
      <c r="AVI132" s="70"/>
      <c r="AVJ132" s="70"/>
      <c r="AVK132" s="70"/>
      <c r="AVL132" s="70"/>
      <c r="AVM132" s="70"/>
      <c r="AVN132" s="70"/>
      <c r="AVO132" s="70"/>
      <c r="AVP132" s="70"/>
      <c r="AVQ132" s="70"/>
      <c r="AVR132" s="70"/>
      <c r="AVS132" s="70"/>
      <c r="AVT132" s="70"/>
      <c r="AVU132" s="70"/>
      <c r="AVV132" s="70"/>
      <c r="AVW132" s="70"/>
      <c r="AVX132" s="70"/>
      <c r="AVY132" s="70"/>
      <c r="AVZ132" s="70"/>
      <c r="AWA132" s="70"/>
      <c r="AWB132" s="70"/>
      <c r="AWC132" s="70"/>
      <c r="AWD132" s="70"/>
      <c r="AWE132" s="70"/>
      <c r="AWF132" s="70"/>
      <c r="AWG132" s="70"/>
      <c r="AWH132" s="70"/>
      <c r="AWI132" s="70"/>
      <c r="AWJ132" s="70"/>
      <c r="AWK132" s="70"/>
      <c r="AWL132" s="70"/>
      <c r="AWM132" s="70"/>
      <c r="AWN132" s="70"/>
      <c r="AWO132" s="70"/>
      <c r="AWP132" s="70"/>
      <c r="AWQ132" s="70"/>
      <c r="AWR132" s="70"/>
      <c r="AWS132" s="70"/>
      <c r="AWT132" s="70"/>
      <c r="AWU132" s="70"/>
      <c r="AWV132" s="70"/>
      <c r="AWW132" s="70"/>
      <c r="AWX132" s="70"/>
      <c r="AWY132" s="70"/>
      <c r="AWZ132" s="70"/>
      <c r="AXA132" s="70"/>
      <c r="AXB132" s="70"/>
      <c r="AXC132" s="70"/>
      <c r="AXD132" s="70"/>
      <c r="AXE132" s="70"/>
      <c r="AXF132" s="70"/>
      <c r="AXG132" s="70"/>
      <c r="AXH132" s="70"/>
      <c r="AXI132" s="70"/>
      <c r="AXJ132" s="70"/>
      <c r="AXK132" s="70"/>
      <c r="AXL132" s="70"/>
      <c r="AXM132" s="70"/>
      <c r="AXN132" s="70"/>
      <c r="AXO132" s="70"/>
      <c r="AXP132" s="70"/>
      <c r="AXQ132" s="70"/>
      <c r="AXR132" s="70"/>
      <c r="AXS132" s="70"/>
      <c r="AXT132" s="70"/>
      <c r="AXU132" s="70"/>
      <c r="AXV132" s="70"/>
      <c r="AXW132" s="70"/>
      <c r="AXX132" s="70"/>
      <c r="AXY132" s="70"/>
      <c r="AXZ132" s="70"/>
      <c r="AYA132" s="70"/>
      <c r="AYB132" s="70"/>
      <c r="AYC132" s="70"/>
      <c r="AYD132" s="70"/>
      <c r="AYE132" s="70"/>
      <c r="AYF132" s="70"/>
      <c r="AYG132" s="70"/>
      <c r="AYH132" s="70"/>
      <c r="AYI132" s="70"/>
      <c r="AYJ132" s="70"/>
      <c r="AYK132" s="70"/>
      <c r="AYL132" s="70"/>
      <c r="AYM132" s="70"/>
      <c r="AYN132" s="70"/>
      <c r="AYO132" s="70"/>
      <c r="AYP132" s="70"/>
      <c r="AYQ132" s="70"/>
      <c r="AYR132" s="70"/>
      <c r="AYS132" s="70"/>
      <c r="AYT132" s="70"/>
      <c r="AYU132" s="70"/>
      <c r="AYV132" s="70"/>
      <c r="AYW132" s="70"/>
      <c r="AYX132" s="70"/>
      <c r="AYY132" s="70"/>
      <c r="AYZ132" s="70"/>
      <c r="AZA132" s="70"/>
      <c r="AZB132" s="70"/>
      <c r="AZC132" s="70"/>
      <c r="AZD132" s="70"/>
      <c r="AZE132" s="70"/>
      <c r="AZF132" s="70"/>
      <c r="AZG132" s="70"/>
      <c r="AZH132" s="70"/>
      <c r="AZI132" s="70"/>
      <c r="AZJ132" s="70"/>
      <c r="AZK132" s="70"/>
      <c r="AZL132" s="70"/>
      <c r="AZM132" s="70"/>
      <c r="AZN132" s="70"/>
      <c r="AZO132" s="70"/>
      <c r="AZP132" s="70"/>
      <c r="AZQ132" s="70"/>
      <c r="AZR132" s="70"/>
      <c r="AZS132" s="70"/>
      <c r="AZT132" s="70"/>
      <c r="AZU132" s="70"/>
      <c r="AZV132" s="70"/>
      <c r="AZW132" s="70"/>
      <c r="AZX132" s="70"/>
      <c r="AZY132" s="70"/>
      <c r="AZZ132" s="70"/>
      <c r="BAA132" s="70"/>
      <c r="BAB132" s="70"/>
      <c r="BAC132" s="70"/>
      <c r="BAD132" s="70"/>
      <c r="BAE132" s="70"/>
      <c r="BAF132" s="70"/>
      <c r="BAG132" s="70"/>
      <c r="BAH132" s="70"/>
      <c r="BAI132" s="70"/>
      <c r="BAJ132" s="70"/>
      <c r="BAK132" s="70"/>
      <c r="BAL132" s="70"/>
      <c r="BAM132" s="70"/>
      <c r="BAN132" s="70"/>
      <c r="BAO132" s="70"/>
      <c r="BAP132" s="70"/>
      <c r="BAQ132" s="70"/>
      <c r="BAR132" s="70"/>
      <c r="BAS132" s="70"/>
      <c r="BAT132" s="70"/>
      <c r="BAU132" s="70"/>
      <c r="BAV132" s="70"/>
      <c r="BAW132" s="70"/>
      <c r="BAX132" s="70"/>
      <c r="BAY132" s="70"/>
      <c r="BAZ132" s="70"/>
      <c r="BBA132" s="70"/>
      <c r="BBB132" s="70"/>
      <c r="BBC132" s="70"/>
      <c r="BBD132" s="70"/>
      <c r="BBE132" s="70"/>
      <c r="BBF132" s="70"/>
      <c r="BBG132" s="70"/>
      <c r="BBH132" s="70"/>
      <c r="BBI132" s="70"/>
      <c r="BBJ132" s="70"/>
      <c r="BBK132" s="70"/>
      <c r="BBL132" s="70"/>
      <c r="BBM132" s="70"/>
      <c r="BBN132" s="70"/>
      <c r="BBO132" s="70"/>
      <c r="BBP132" s="70"/>
      <c r="BBQ132" s="70"/>
      <c r="BBR132" s="70"/>
      <c r="BBS132" s="70"/>
      <c r="BBT132" s="70"/>
      <c r="BBU132" s="70"/>
      <c r="BBV132" s="70"/>
      <c r="BBW132" s="70"/>
      <c r="BBX132" s="70"/>
      <c r="BBY132" s="70"/>
      <c r="BBZ132" s="70"/>
      <c r="BCA132" s="70"/>
      <c r="BCB132" s="70"/>
      <c r="BCC132" s="70"/>
      <c r="BCD132" s="70"/>
      <c r="BCE132" s="70"/>
      <c r="BCF132" s="70"/>
      <c r="BCG132" s="70"/>
      <c r="BCH132" s="70"/>
      <c r="BCI132" s="70"/>
      <c r="BCJ132" s="70"/>
      <c r="BCK132" s="70"/>
      <c r="BCL132" s="70"/>
      <c r="BCM132" s="70"/>
      <c r="BCN132" s="70"/>
      <c r="BCO132" s="70"/>
      <c r="BCP132" s="70"/>
      <c r="BCQ132" s="70"/>
      <c r="BCR132" s="70"/>
      <c r="BCS132" s="70"/>
      <c r="BCT132" s="70"/>
      <c r="BCU132" s="70"/>
      <c r="BCV132" s="70"/>
      <c r="BCW132" s="70"/>
    </row>
    <row r="133" spans="1:1453" s="69" customFormat="1" ht="45" customHeight="1" x14ac:dyDescent="0.25">
      <c r="A133" s="143"/>
      <c r="B133" s="135"/>
      <c r="C133" s="141"/>
      <c r="D133" s="52">
        <v>11471800</v>
      </c>
      <c r="E133" s="154"/>
      <c r="F133" s="73" t="s">
        <v>68</v>
      </c>
      <c r="G133" s="140" t="s">
        <v>745</v>
      </c>
      <c r="H133" s="140" t="s">
        <v>744</v>
      </c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  <c r="BR133" s="70"/>
      <c r="BS133" s="70"/>
      <c r="BT133" s="70"/>
      <c r="BU133" s="70"/>
      <c r="BV133" s="70"/>
      <c r="BW133" s="70"/>
      <c r="BX133" s="70"/>
      <c r="BY133" s="70"/>
      <c r="BZ133" s="70"/>
      <c r="CA133" s="70"/>
      <c r="CB133" s="70"/>
      <c r="CC133" s="70"/>
      <c r="CD133" s="70"/>
      <c r="CE133" s="70"/>
      <c r="CF133" s="70"/>
      <c r="CG133" s="70"/>
      <c r="CH133" s="70"/>
      <c r="CI133" s="70"/>
      <c r="CJ133" s="70"/>
      <c r="CK133" s="70"/>
      <c r="CL133" s="70"/>
      <c r="CM133" s="70"/>
      <c r="CN133" s="70"/>
      <c r="CO133" s="70"/>
      <c r="CP133" s="70"/>
      <c r="CQ133" s="70"/>
      <c r="CR133" s="70"/>
      <c r="CS133" s="70"/>
      <c r="CT133" s="70"/>
      <c r="CU133" s="70"/>
      <c r="CV133" s="70"/>
      <c r="CW133" s="70"/>
      <c r="CX133" s="70"/>
      <c r="CY133" s="70"/>
      <c r="CZ133" s="70"/>
      <c r="DA133" s="70"/>
      <c r="DB133" s="70"/>
      <c r="DC133" s="70"/>
      <c r="DD133" s="70"/>
      <c r="DE133" s="70"/>
      <c r="DF133" s="70"/>
      <c r="DG133" s="70"/>
      <c r="DH133" s="70"/>
      <c r="DI133" s="70"/>
      <c r="DJ133" s="70"/>
      <c r="DK133" s="70"/>
      <c r="DL133" s="70"/>
      <c r="DM133" s="70"/>
      <c r="DN133" s="70"/>
      <c r="DO133" s="70"/>
      <c r="DP133" s="70"/>
      <c r="DQ133" s="70"/>
      <c r="DR133" s="70"/>
      <c r="DS133" s="70"/>
      <c r="DT133" s="70"/>
      <c r="DU133" s="70"/>
      <c r="DV133" s="70"/>
      <c r="DW133" s="70"/>
      <c r="DX133" s="70"/>
      <c r="DY133" s="70"/>
      <c r="DZ133" s="70"/>
      <c r="EA133" s="70"/>
      <c r="EB133" s="70"/>
      <c r="EC133" s="70"/>
      <c r="ED133" s="70"/>
      <c r="EE133" s="70"/>
      <c r="EF133" s="70"/>
      <c r="EG133" s="70"/>
      <c r="EH133" s="70"/>
      <c r="EI133" s="70"/>
      <c r="EJ133" s="70"/>
      <c r="EK133" s="70"/>
      <c r="EL133" s="70"/>
      <c r="EM133" s="70"/>
      <c r="EN133" s="70"/>
      <c r="EO133" s="70"/>
      <c r="EP133" s="70"/>
      <c r="EQ133" s="70"/>
      <c r="ER133" s="70"/>
      <c r="ES133" s="70"/>
      <c r="ET133" s="70"/>
      <c r="EU133" s="70"/>
      <c r="EV133" s="70"/>
      <c r="EW133" s="70"/>
      <c r="EX133" s="70"/>
      <c r="EY133" s="70"/>
      <c r="EZ133" s="70"/>
      <c r="FA133" s="70"/>
      <c r="FB133" s="70"/>
      <c r="FC133" s="70"/>
      <c r="FD133" s="70"/>
      <c r="FE133" s="70"/>
      <c r="FF133" s="70"/>
      <c r="FG133" s="70"/>
      <c r="FH133" s="70"/>
      <c r="FI133" s="70"/>
      <c r="FJ133" s="70"/>
      <c r="FK133" s="70"/>
      <c r="FL133" s="70"/>
      <c r="FM133" s="70"/>
      <c r="FN133" s="70"/>
      <c r="FO133" s="70"/>
      <c r="FP133" s="70"/>
      <c r="FQ133" s="70"/>
      <c r="FR133" s="70"/>
      <c r="FS133" s="70"/>
      <c r="FT133" s="70"/>
      <c r="FU133" s="70"/>
      <c r="FV133" s="70"/>
      <c r="FW133" s="70"/>
      <c r="FX133" s="70"/>
      <c r="FY133" s="70"/>
      <c r="FZ133" s="70"/>
      <c r="GA133" s="70"/>
      <c r="GB133" s="70"/>
      <c r="GC133" s="70"/>
      <c r="GD133" s="70"/>
      <c r="GE133" s="70"/>
      <c r="GF133" s="70"/>
      <c r="GG133" s="70"/>
      <c r="GH133" s="70"/>
      <c r="GI133" s="70"/>
      <c r="GJ133" s="70"/>
      <c r="GK133" s="70"/>
      <c r="GL133" s="70"/>
      <c r="GM133" s="70"/>
      <c r="GN133" s="70"/>
      <c r="GO133" s="70"/>
      <c r="GP133" s="70"/>
      <c r="GQ133" s="70"/>
      <c r="GR133" s="70"/>
      <c r="GS133" s="70"/>
      <c r="GT133" s="70"/>
      <c r="GU133" s="70"/>
      <c r="GV133" s="70"/>
      <c r="GW133" s="70"/>
      <c r="GX133" s="70"/>
      <c r="GY133" s="70"/>
      <c r="GZ133" s="70"/>
      <c r="HA133" s="70"/>
      <c r="HB133" s="70"/>
      <c r="HC133" s="70"/>
      <c r="HD133" s="70"/>
      <c r="HE133" s="70"/>
      <c r="HF133" s="70"/>
      <c r="HG133" s="70"/>
      <c r="HH133" s="70"/>
      <c r="HI133" s="70"/>
      <c r="HJ133" s="70"/>
      <c r="HK133" s="70"/>
      <c r="HL133" s="70"/>
      <c r="HM133" s="70"/>
      <c r="HN133" s="70"/>
      <c r="HO133" s="70"/>
      <c r="HP133" s="70"/>
      <c r="HQ133" s="70"/>
      <c r="HR133" s="70"/>
      <c r="HS133" s="70"/>
      <c r="HT133" s="70"/>
      <c r="HU133" s="70"/>
      <c r="HV133" s="70"/>
      <c r="HW133" s="70"/>
      <c r="HX133" s="70"/>
      <c r="HY133" s="70"/>
      <c r="HZ133" s="70"/>
      <c r="IA133" s="70"/>
      <c r="IB133" s="70"/>
      <c r="IC133" s="70"/>
      <c r="ID133" s="70"/>
      <c r="IE133" s="70"/>
      <c r="IF133" s="70"/>
      <c r="IG133" s="70"/>
      <c r="IH133" s="70"/>
      <c r="II133" s="70"/>
      <c r="IJ133" s="70"/>
      <c r="IK133" s="70"/>
      <c r="IL133" s="70"/>
      <c r="IM133" s="70"/>
      <c r="IN133" s="70"/>
      <c r="IO133" s="70"/>
      <c r="IP133" s="70"/>
      <c r="IQ133" s="70"/>
      <c r="IR133" s="70"/>
      <c r="IS133" s="70"/>
      <c r="IT133" s="70"/>
      <c r="IU133" s="70"/>
      <c r="IV133" s="70"/>
      <c r="IW133" s="70"/>
      <c r="IX133" s="70"/>
      <c r="IY133" s="70"/>
      <c r="IZ133" s="70"/>
      <c r="JA133" s="70"/>
      <c r="JB133" s="70"/>
      <c r="JC133" s="70"/>
      <c r="JD133" s="70"/>
      <c r="JE133" s="70"/>
      <c r="JF133" s="70"/>
      <c r="JG133" s="70"/>
      <c r="JH133" s="70"/>
      <c r="JI133" s="70"/>
      <c r="JJ133" s="70"/>
      <c r="JK133" s="70"/>
      <c r="JL133" s="70"/>
      <c r="JM133" s="70"/>
      <c r="JN133" s="70"/>
      <c r="JO133" s="70"/>
      <c r="JP133" s="70"/>
      <c r="JQ133" s="70"/>
      <c r="JR133" s="70"/>
      <c r="JS133" s="70"/>
      <c r="JT133" s="70"/>
      <c r="JU133" s="70"/>
      <c r="JV133" s="70"/>
      <c r="JW133" s="70"/>
      <c r="JX133" s="70"/>
      <c r="JY133" s="70"/>
      <c r="JZ133" s="70"/>
      <c r="KA133" s="70"/>
      <c r="KB133" s="70"/>
      <c r="KC133" s="70"/>
      <c r="KD133" s="70"/>
      <c r="KE133" s="70"/>
      <c r="KF133" s="70"/>
      <c r="KG133" s="70"/>
      <c r="KH133" s="70"/>
      <c r="KI133" s="70"/>
      <c r="KJ133" s="70"/>
      <c r="KK133" s="70"/>
      <c r="KL133" s="70"/>
      <c r="KM133" s="70"/>
      <c r="KN133" s="70"/>
      <c r="KO133" s="70"/>
      <c r="KP133" s="70"/>
      <c r="KQ133" s="70"/>
      <c r="KR133" s="70"/>
      <c r="KS133" s="70"/>
      <c r="KT133" s="70"/>
      <c r="KU133" s="70"/>
      <c r="KV133" s="70"/>
      <c r="KW133" s="70"/>
      <c r="KX133" s="70"/>
      <c r="KY133" s="70"/>
      <c r="KZ133" s="70"/>
      <c r="LA133" s="70"/>
      <c r="LB133" s="70"/>
      <c r="LC133" s="70"/>
      <c r="LD133" s="70"/>
      <c r="LE133" s="70"/>
      <c r="LF133" s="70"/>
      <c r="LG133" s="70"/>
      <c r="LH133" s="70"/>
      <c r="LI133" s="70"/>
      <c r="LJ133" s="70"/>
      <c r="LK133" s="70"/>
      <c r="LL133" s="70"/>
      <c r="LM133" s="70"/>
      <c r="LN133" s="70"/>
      <c r="LO133" s="70"/>
      <c r="LP133" s="70"/>
      <c r="LQ133" s="70"/>
      <c r="LR133" s="70"/>
      <c r="LS133" s="70"/>
      <c r="LT133" s="70"/>
      <c r="LU133" s="70"/>
      <c r="LV133" s="70"/>
      <c r="LW133" s="70"/>
      <c r="LX133" s="70"/>
      <c r="LY133" s="70"/>
      <c r="LZ133" s="70"/>
      <c r="MA133" s="70"/>
      <c r="MB133" s="70"/>
      <c r="MC133" s="70"/>
      <c r="MD133" s="70"/>
      <c r="ME133" s="70"/>
      <c r="MF133" s="70"/>
      <c r="MG133" s="70"/>
      <c r="MH133" s="70"/>
      <c r="MI133" s="70"/>
      <c r="MJ133" s="70"/>
      <c r="MK133" s="70"/>
      <c r="ML133" s="70"/>
      <c r="MM133" s="70"/>
      <c r="MN133" s="70"/>
      <c r="MO133" s="70"/>
      <c r="MP133" s="70"/>
      <c r="MQ133" s="70"/>
      <c r="MR133" s="70"/>
      <c r="MS133" s="70"/>
      <c r="MT133" s="70"/>
      <c r="MU133" s="70"/>
      <c r="MV133" s="70"/>
      <c r="MW133" s="70"/>
      <c r="MX133" s="70"/>
      <c r="MY133" s="70"/>
      <c r="MZ133" s="70"/>
      <c r="NA133" s="70"/>
      <c r="NB133" s="70"/>
      <c r="NC133" s="70"/>
      <c r="ND133" s="70"/>
      <c r="NE133" s="70"/>
      <c r="NF133" s="70"/>
      <c r="NG133" s="70"/>
      <c r="NH133" s="70"/>
      <c r="NI133" s="70"/>
      <c r="NJ133" s="70"/>
      <c r="NK133" s="70"/>
      <c r="NL133" s="70"/>
      <c r="NM133" s="70"/>
      <c r="NN133" s="70"/>
      <c r="NO133" s="70"/>
      <c r="NP133" s="70"/>
      <c r="NQ133" s="70"/>
      <c r="NR133" s="70"/>
      <c r="NS133" s="70"/>
      <c r="NT133" s="70"/>
      <c r="NU133" s="70"/>
      <c r="NV133" s="70"/>
      <c r="NW133" s="70"/>
      <c r="NX133" s="70"/>
      <c r="NY133" s="70"/>
      <c r="NZ133" s="70"/>
      <c r="OA133" s="70"/>
      <c r="OB133" s="70"/>
      <c r="OC133" s="70"/>
      <c r="OD133" s="70"/>
      <c r="OE133" s="70"/>
      <c r="OF133" s="70"/>
      <c r="OG133" s="70"/>
      <c r="OH133" s="70"/>
      <c r="OI133" s="70"/>
      <c r="OJ133" s="70"/>
      <c r="OK133" s="70"/>
      <c r="OL133" s="70"/>
      <c r="OM133" s="70"/>
      <c r="ON133" s="70"/>
      <c r="OO133" s="70"/>
      <c r="OP133" s="70"/>
      <c r="OQ133" s="70"/>
      <c r="OR133" s="70"/>
      <c r="OS133" s="70"/>
      <c r="OT133" s="70"/>
      <c r="OU133" s="70"/>
      <c r="OV133" s="70"/>
      <c r="OW133" s="70"/>
      <c r="OX133" s="70"/>
      <c r="OY133" s="70"/>
      <c r="OZ133" s="70"/>
      <c r="PA133" s="70"/>
      <c r="PB133" s="70"/>
      <c r="PC133" s="70"/>
      <c r="PD133" s="70"/>
      <c r="PE133" s="70"/>
      <c r="PF133" s="70"/>
      <c r="PG133" s="70"/>
      <c r="PH133" s="70"/>
      <c r="PI133" s="70"/>
      <c r="PJ133" s="70"/>
      <c r="PK133" s="70"/>
      <c r="PL133" s="70"/>
      <c r="PM133" s="70"/>
      <c r="PN133" s="70"/>
      <c r="PO133" s="70"/>
      <c r="PP133" s="70"/>
      <c r="PQ133" s="70"/>
      <c r="PR133" s="70"/>
      <c r="PS133" s="70"/>
      <c r="PT133" s="70"/>
      <c r="PU133" s="70"/>
      <c r="PV133" s="70"/>
      <c r="PW133" s="70"/>
      <c r="PX133" s="70"/>
      <c r="PY133" s="70"/>
      <c r="PZ133" s="70"/>
      <c r="QA133" s="70"/>
      <c r="QB133" s="70"/>
      <c r="QC133" s="70"/>
      <c r="QD133" s="70"/>
      <c r="QE133" s="70"/>
      <c r="QF133" s="70"/>
      <c r="QG133" s="70"/>
      <c r="QH133" s="70"/>
      <c r="QI133" s="70"/>
      <c r="QJ133" s="70"/>
      <c r="QK133" s="70"/>
      <c r="QL133" s="70"/>
      <c r="QM133" s="70"/>
      <c r="QN133" s="70"/>
      <c r="QO133" s="70"/>
      <c r="QP133" s="70"/>
      <c r="QQ133" s="70"/>
      <c r="QR133" s="70"/>
      <c r="QS133" s="70"/>
      <c r="QT133" s="70"/>
      <c r="QU133" s="70"/>
      <c r="QV133" s="70"/>
      <c r="QW133" s="70"/>
      <c r="QX133" s="70"/>
      <c r="QY133" s="70"/>
      <c r="QZ133" s="70"/>
      <c r="RA133" s="70"/>
      <c r="RB133" s="70"/>
      <c r="RC133" s="70"/>
      <c r="RD133" s="70"/>
      <c r="RE133" s="70"/>
      <c r="RF133" s="70"/>
      <c r="RG133" s="70"/>
      <c r="RH133" s="70"/>
      <c r="RI133" s="70"/>
      <c r="RJ133" s="70"/>
      <c r="RK133" s="70"/>
      <c r="RL133" s="70"/>
      <c r="RM133" s="70"/>
      <c r="RN133" s="70"/>
      <c r="RO133" s="70"/>
      <c r="RP133" s="70"/>
      <c r="RQ133" s="70"/>
      <c r="RR133" s="70"/>
      <c r="RS133" s="70"/>
      <c r="RT133" s="70"/>
      <c r="RU133" s="70"/>
      <c r="RV133" s="70"/>
      <c r="RW133" s="70"/>
      <c r="RX133" s="70"/>
      <c r="RY133" s="70"/>
      <c r="RZ133" s="70"/>
      <c r="SA133" s="70"/>
      <c r="SB133" s="70"/>
      <c r="SC133" s="70"/>
      <c r="SD133" s="70"/>
      <c r="SE133" s="70"/>
      <c r="SF133" s="70"/>
      <c r="SG133" s="70"/>
      <c r="SH133" s="70"/>
      <c r="SI133" s="70"/>
      <c r="SJ133" s="70"/>
      <c r="SK133" s="70"/>
      <c r="SL133" s="70"/>
      <c r="SM133" s="70"/>
      <c r="SN133" s="70"/>
      <c r="SO133" s="70"/>
      <c r="SP133" s="70"/>
      <c r="SQ133" s="70"/>
      <c r="SR133" s="70"/>
      <c r="SS133" s="70"/>
      <c r="ST133" s="70"/>
      <c r="SU133" s="70"/>
      <c r="SV133" s="70"/>
      <c r="SW133" s="70"/>
      <c r="SX133" s="70"/>
      <c r="SY133" s="70"/>
      <c r="SZ133" s="70"/>
      <c r="TA133" s="70"/>
      <c r="TB133" s="70"/>
      <c r="TC133" s="70"/>
      <c r="TD133" s="70"/>
      <c r="TE133" s="70"/>
      <c r="TF133" s="70"/>
      <c r="TG133" s="70"/>
      <c r="TH133" s="70"/>
      <c r="TI133" s="70"/>
      <c r="TJ133" s="70"/>
      <c r="TK133" s="70"/>
      <c r="TL133" s="70"/>
      <c r="TM133" s="70"/>
      <c r="TN133" s="70"/>
      <c r="TO133" s="70"/>
      <c r="TP133" s="70"/>
      <c r="TQ133" s="70"/>
      <c r="TR133" s="70"/>
      <c r="TS133" s="70"/>
      <c r="TT133" s="70"/>
      <c r="TU133" s="70"/>
      <c r="TV133" s="70"/>
      <c r="TW133" s="70"/>
      <c r="TX133" s="70"/>
      <c r="TY133" s="70"/>
      <c r="TZ133" s="70"/>
      <c r="UA133" s="70"/>
      <c r="UB133" s="70"/>
      <c r="UC133" s="70"/>
      <c r="UD133" s="70"/>
      <c r="UE133" s="70"/>
      <c r="UF133" s="70"/>
      <c r="UG133" s="70"/>
      <c r="UH133" s="70"/>
      <c r="UI133" s="70"/>
      <c r="UJ133" s="70"/>
      <c r="UK133" s="70"/>
      <c r="UL133" s="70"/>
      <c r="UM133" s="70"/>
      <c r="UN133" s="70"/>
      <c r="UO133" s="70"/>
      <c r="UP133" s="70"/>
      <c r="UQ133" s="70"/>
      <c r="UR133" s="70"/>
      <c r="US133" s="70"/>
      <c r="UT133" s="70"/>
      <c r="UU133" s="70"/>
      <c r="UV133" s="70"/>
      <c r="UW133" s="70"/>
      <c r="UX133" s="70"/>
      <c r="UY133" s="70"/>
      <c r="UZ133" s="70"/>
      <c r="VA133" s="70"/>
      <c r="VB133" s="70"/>
      <c r="VC133" s="70"/>
      <c r="VD133" s="70"/>
      <c r="VE133" s="70"/>
      <c r="VF133" s="70"/>
      <c r="VG133" s="70"/>
      <c r="VH133" s="70"/>
      <c r="VI133" s="70"/>
      <c r="VJ133" s="70"/>
      <c r="VK133" s="70"/>
      <c r="VL133" s="70"/>
      <c r="VM133" s="70"/>
      <c r="VN133" s="70"/>
      <c r="VO133" s="70"/>
      <c r="VP133" s="70"/>
      <c r="VQ133" s="70"/>
      <c r="VR133" s="70"/>
      <c r="VS133" s="70"/>
      <c r="VT133" s="70"/>
      <c r="VU133" s="70"/>
      <c r="VV133" s="70"/>
      <c r="VW133" s="70"/>
      <c r="VX133" s="70"/>
      <c r="VY133" s="70"/>
      <c r="VZ133" s="70"/>
      <c r="WA133" s="70"/>
      <c r="WB133" s="70"/>
      <c r="WC133" s="70"/>
      <c r="WD133" s="70"/>
      <c r="WE133" s="70"/>
      <c r="WF133" s="70"/>
      <c r="WG133" s="70"/>
      <c r="WH133" s="70"/>
      <c r="WI133" s="70"/>
      <c r="WJ133" s="70"/>
      <c r="WK133" s="70"/>
      <c r="WL133" s="70"/>
      <c r="WM133" s="70"/>
      <c r="WN133" s="70"/>
      <c r="WO133" s="70"/>
      <c r="WP133" s="70"/>
      <c r="WQ133" s="70"/>
      <c r="WR133" s="70"/>
      <c r="WS133" s="70"/>
      <c r="WT133" s="70"/>
      <c r="WU133" s="70"/>
      <c r="WV133" s="70"/>
      <c r="WW133" s="70"/>
      <c r="WX133" s="70"/>
      <c r="WY133" s="70"/>
      <c r="WZ133" s="70"/>
      <c r="XA133" s="70"/>
      <c r="XB133" s="70"/>
      <c r="XC133" s="70"/>
      <c r="XD133" s="70"/>
      <c r="XE133" s="70"/>
      <c r="XF133" s="70"/>
      <c r="XG133" s="70"/>
      <c r="XH133" s="70"/>
      <c r="XI133" s="70"/>
      <c r="XJ133" s="70"/>
      <c r="XK133" s="70"/>
      <c r="XL133" s="70"/>
      <c r="XM133" s="70"/>
      <c r="XN133" s="70"/>
      <c r="XO133" s="70"/>
      <c r="XP133" s="70"/>
      <c r="XQ133" s="70"/>
      <c r="XR133" s="70"/>
      <c r="XS133" s="70"/>
      <c r="XT133" s="70"/>
      <c r="XU133" s="70"/>
      <c r="XV133" s="70"/>
      <c r="XW133" s="70"/>
      <c r="XX133" s="70"/>
      <c r="XY133" s="70"/>
      <c r="XZ133" s="70"/>
      <c r="YA133" s="70"/>
      <c r="YB133" s="70"/>
      <c r="YC133" s="70"/>
      <c r="YD133" s="70"/>
      <c r="YE133" s="70"/>
      <c r="YF133" s="70"/>
      <c r="YG133" s="70"/>
      <c r="YH133" s="70"/>
      <c r="YI133" s="70"/>
      <c r="YJ133" s="70"/>
      <c r="YK133" s="70"/>
      <c r="YL133" s="70"/>
      <c r="YM133" s="70"/>
      <c r="YN133" s="70"/>
      <c r="YO133" s="70"/>
      <c r="YP133" s="70"/>
      <c r="YQ133" s="70"/>
      <c r="YR133" s="70"/>
      <c r="YS133" s="70"/>
      <c r="YT133" s="70"/>
      <c r="YU133" s="70"/>
      <c r="YV133" s="70"/>
      <c r="YW133" s="70"/>
      <c r="YX133" s="70"/>
      <c r="YY133" s="70"/>
      <c r="YZ133" s="70"/>
      <c r="ZA133" s="70"/>
      <c r="ZB133" s="70"/>
      <c r="ZC133" s="70"/>
      <c r="ZD133" s="70"/>
      <c r="ZE133" s="70"/>
      <c r="ZF133" s="70"/>
      <c r="ZG133" s="70"/>
      <c r="ZH133" s="70"/>
      <c r="ZI133" s="70"/>
      <c r="ZJ133" s="70"/>
      <c r="ZK133" s="70"/>
      <c r="ZL133" s="70"/>
      <c r="ZM133" s="70"/>
      <c r="ZN133" s="70"/>
      <c r="ZO133" s="70"/>
      <c r="ZP133" s="70"/>
      <c r="ZQ133" s="70"/>
      <c r="ZR133" s="70"/>
      <c r="ZS133" s="70"/>
      <c r="ZT133" s="70"/>
      <c r="ZU133" s="70"/>
      <c r="ZV133" s="70"/>
      <c r="ZW133" s="70"/>
      <c r="ZX133" s="70"/>
      <c r="ZY133" s="70"/>
      <c r="ZZ133" s="70"/>
      <c r="AAA133" s="70"/>
      <c r="AAB133" s="70"/>
      <c r="AAC133" s="70"/>
      <c r="AAD133" s="70"/>
      <c r="AAE133" s="70"/>
      <c r="AAF133" s="70"/>
      <c r="AAG133" s="70"/>
      <c r="AAH133" s="70"/>
      <c r="AAI133" s="70"/>
      <c r="AAJ133" s="70"/>
      <c r="AAK133" s="70"/>
      <c r="AAL133" s="70"/>
      <c r="AAM133" s="70"/>
      <c r="AAN133" s="70"/>
      <c r="AAO133" s="70"/>
      <c r="AAP133" s="70"/>
      <c r="AAQ133" s="70"/>
      <c r="AAR133" s="70"/>
      <c r="AAS133" s="70"/>
      <c r="AAT133" s="70"/>
      <c r="AAU133" s="70"/>
      <c r="AAV133" s="70"/>
      <c r="AAW133" s="70"/>
      <c r="AAX133" s="70"/>
      <c r="AAY133" s="70"/>
      <c r="AAZ133" s="70"/>
      <c r="ABA133" s="70"/>
      <c r="ABB133" s="70"/>
      <c r="ABC133" s="70"/>
      <c r="ABD133" s="70"/>
      <c r="ABE133" s="70"/>
      <c r="ABF133" s="70"/>
      <c r="ABG133" s="70"/>
      <c r="ABH133" s="70"/>
      <c r="ABI133" s="70"/>
      <c r="ABJ133" s="70"/>
      <c r="ABK133" s="70"/>
      <c r="ABL133" s="70"/>
      <c r="ABM133" s="70"/>
      <c r="ABN133" s="70"/>
      <c r="ABO133" s="70"/>
      <c r="ABP133" s="70"/>
      <c r="ABQ133" s="70"/>
      <c r="ABR133" s="70"/>
      <c r="ABS133" s="70"/>
      <c r="ABT133" s="70"/>
      <c r="ABU133" s="70"/>
      <c r="ABV133" s="70"/>
      <c r="ABW133" s="70"/>
      <c r="ABX133" s="70"/>
      <c r="ABY133" s="70"/>
      <c r="ABZ133" s="70"/>
      <c r="ACA133" s="70"/>
      <c r="ACB133" s="70"/>
      <c r="ACC133" s="70"/>
      <c r="ACD133" s="70"/>
      <c r="ACE133" s="70"/>
      <c r="ACF133" s="70"/>
      <c r="ACG133" s="70"/>
      <c r="ACH133" s="70"/>
      <c r="ACI133" s="70"/>
      <c r="ACJ133" s="70"/>
      <c r="ACK133" s="70"/>
      <c r="ACL133" s="70"/>
      <c r="ACM133" s="70"/>
      <c r="ACN133" s="70"/>
      <c r="ACO133" s="70"/>
      <c r="ACP133" s="70"/>
      <c r="ACQ133" s="70"/>
      <c r="ACR133" s="70"/>
      <c r="ACS133" s="70"/>
      <c r="ACT133" s="70"/>
      <c r="ACU133" s="70"/>
      <c r="ACV133" s="70"/>
      <c r="ACW133" s="70"/>
      <c r="ACX133" s="70"/>
      <c r="ACY133" s="70"/>
      <c r="ACZ133" s="70"/>
      <c r="ADA133" s="70"/>
      <c r="ADB133" s="70"/>
      <c r="ADC133" s="70"/>
      <c r="ADD133" s="70"/>
      <c r="ADE133" s="70"/>
      <c r="ADF133" s="70"/>
      <c r="ADG133" s="70"/>
      <c r="ADH133" s="70"/>
      <c r="ADI133" s="70"/>
      <c r="ADJ133" s="70"/>
      <c r="ADK133" s="70"/>
      <c r="ADL133" s="70"/>
      <c r="ADM133" s="70"/>
      <c r="ADN133" s="70"/>
      <c r="ADO133" s="70"/>
      <c r="ADP133" s="70"/>
      <c r="ADQ133" s="70"/>
      <c r="ADR133" s="70"/>
      <c r="ADS133" s="70"/>
      <c r="ADT133" s="70"/>
      <c r="ADU133" s="70"/>
      <c r="ADV133" s="70"/>
      <c r="ADW133" s="70"/>
      <c r="ADX133" s="70"/>
      <c r="ADY133" s="70"/>
      <c r="ADZ133" s="70"/>
      <c r="AEA133" s="70"/>
      <c r="AEB133" s="70"/>
      <c r="AEC133" s="70"/>
      <c r="AED133" s="70"/>
      <c r="AEE133" s="70"/>
      <c r="AEF133" s="70"/>
      <c r="AEG133" s="70"/>
      <c r="AEH133" s="70"/>
      <c r="AEI133" s="70"/>
      <c r="AEJ133" s="70"/>
      <c r="AEK133" s="70"/>
      <c r="AEL133" s="70"/>
      <c r="AEM133" s="70"/>
      <c r="AEN133" s="70"/>
      <c r="AEO133" s="70"/>
      <c r="AEP133" s="70"/>
      <c r="AEQ133" s="70"/>
      <c r="AER133" s="70"/>
      <c r="AES133" s="70"/>
      <c r="AET133" s="70"/>
      <c r="AEU133" s="70"/>
      <c r="AEV133" s="70"/>
      <c r="AEW133" s="70"/>
      <c r="AEX133" s="70"/>
      <c r="AEY133" s="70"/>
      <c r="AEZ133" s="70"/>
      <c r="AFA133" s="70"/>
      <c r="AFB133" s="70"/>
      <c r="AFC133" s="70"/>
      <c r="AFD133" s="70"/>
      <c r="AFE133" s="70"/>
      <c r="AFF133" s="70"/>
      <c r="AFG133" s="70"/>
      <c r="AFH133" s="70"/>
      <c r="AFI133" s="70"/>
      <c r="AFJ133" s="70"/>
      <c r="AFK133" s="70"/>
      <c r="AFL133" s="70"/>
      <c r="AFM133" s="70"/>
      <c r="AFN133" s="70"/>
      <c r="AFO133" s="70"/>
      <c r="AFP133" s="70"/>
      <c r="AFQ133" s="70"/>
      <c r="AFR133" s="70"/>
      <c r="AFS133" s="70"/>
      <c r="AFT133" s="70"/>
      <c r="AFU133" s="70"/>
      <c r="AFV133" s="70"/>
      <c r="AFW133" s="70"/>
      <c r="AFX133" s="70"/>
      <c r="AFY133" s="70"/>
      <c r="AFZ133" s="70"/>
      <c r="AGA133" s="70"/>
      <c r="AGB133" s="70"/>
      <c r="AGC133" s="70"/>
      <c r="AGD133" s="70"/>
      <c r="AGE133" s="70"/>
      <c r="AGF133" s="70"/>
      <c r="AGG133" s="70"/>
      <c r="AGH133" s="70"/>
      <c r="AGI133" s="70"/>
      <c r="AGJ133" s="70"/>
      <c r="AGK133" s="70"/>
      <c r="AGL133" s="70"/>
      <c r="AGM133" s="70"/>
      <c r="AGN133" s="70"/>
      <c r="AGO133" s="70"/>
      <c r="AGP133" s="70"/>
      <c r="AGQ133" s="70"/>
      <c r="AGR133" s="70"/>
      <c r="AGS133" s="70"/>
      <c r="AGT133" s="70"/>
      <c r="AGU133" s="70"/>
      <c r="AGV133" s="70"/>
      <c r="AGW133" s="70"/>
      <c r="AGX133" s="70"/>
      <c r="AGY133" s="70"/>
      <c r="AGZ133" s="70"/>
      <c r="AHA133" s="70"/>
      <c r="AHB133" s="70"/>
      <c r="AHC133" s="70"/>
      <c r="AHD133" s="70"/>
      <c r="AHE133" s="70"/>
      <c r="AHF133" s="70"/>
      <c r="AHG133" s="70"/>
      <c r="AHH133" s="70"/>
      <c r="AHI133" s="70"/>
      <c r="AHJ133" s="70"/>
      <c r="AHK133" s="70"/>
      <c r="AHL133" s="70"/>
      <c r="AHM133" s="70"/>
      <c r="AHN133" s="70"/>
      <c r="AHO133" s="70"/>
      <c r="AHP133" s="70"/>
      <c r="AHQ133" s="70"/>
      <c r="AHR133" s="70"/>
      <c r="AHS133" s="70"/>
      <c r="AHT133" s="70"/>
      <c r="AHU133" s="70"/>
      <c r="AHV133" s="70"/>
      <c r="AHW133" s="70"/>
      <c r="AHX133" s="70"/>
      <c r="AHY133" s="70"/>
      <c r="AHZ133" s="70"/>
      <c r="AIA133" s="70"/>
      <c r="AIB133" s="70"/>
      <c r="AIC133" s="70"/>
      <c r="AID133" s="70"/>
      <c r="AIE133" s="70"/>
      <c r="AIF133" s="70"/>
      <c r="AIG133" s="70"/>
      <c r="AIH133" s="70"/>
      <c r="AII133" s="70"/>
      <c r="AIJ133" s="70"/>
      <c r="AIK133" s="70"/>
      <c r="AIL133" s="70"/>
      <c r="AIM133" s="70"/>
      <c r="AIN133" s="70"/>
      <c r="AIO133" s="70"/>
      <c r="AIP133" s="70"/>
      <c r="AIQ133" s="70"/>
      <c r="AIR133" s="70"/>
      <c r="AIS133" s="70"/>
      <c r="AIT133" s="70"/>
      <c r="AIU133" s="70"/>
      <c r="AIV133" s="70"/>
      <c r="AIW133" s="70"/>
      <c r="AIX133" s="70"/>
      <c r="AIY133" s="70"/>
      <c r="AIZ133" s="70"/>
      <c r="AJA133" s="70"/>
      <c r="AJB133" s="70"/>
      <c r="AJC133" s="70"/>
      <c r="AJD133" s="70"/>
      <c r="AJE133" s="70"/>
      <c r="AJF133" s="70"/>
      <c r="AJG133" s="70"/>
      <c r="AJH133" s="70"/>
      <c r="AJI133" s="70"/>
      <c r="AJJ133" s="70"/>
      <c r="AJK133" s="70"/>
      <c r="AJL133" s="70"/>
      <c r="AJM133" s="70"/>
      <c r="AJN133" s="70"/>
      <c r="AJO133" s="70"/>
      <c r="AJP133" s="70"/>
      <c r="AJQ133" s="70"/>
      <c r="AJR133" s="70"/>
      <c r="AJS133" s="70"/>
      <c r="AJT133" s="70"/>
      <c r="AJU133" s="70"/>
      <c r="AJV133" s="70"/>
      <c r="AJW133" s="70"/>
      <c r="AJX133" s="70"/>
      <c r="AJY133" s="70"/>
      <c r="AJZ133" s="70"/>
      <c r="AKA133" s="70"/>
      <c r="AKB133" s="70"/>
      <c r="AKC133" s="70"/>
      <c r="AKD133" s="70"/>
      <c r="AKE133" s="70"/>
      <c r="AKF133" s="70"/>
      <c r="AKG133" s="70"/>
      <c r="AKH133" s="70"/>
      <c r="AKI133" s="70"/>
      <c r="AKJ133" s="70"/>
      <c r="AKK133" s="70"/>
      <c r="AKL133" s="70"/>
      <c r="AKM133" s="70"/>
      <c r="AKN133" s="70"/>
      <c r="AKO133" s="70"/>
      <c r="AKP133" s="70"/>
      <c r="AKQ133" s="70"/>
      <c r="AKR133" s="70"/>
      <c r="AKS133" s="70"/>
      <c r="AKT133" s="70"/>
      <c r="AKU133" s="70"/>
      <c r="AKV133" s="70"/>
      <c r="AKW133" s="70"/>
      <c r="AKX133" s="70"/>
      <c r="AKY133" s="70"/>
      <c r="AKZ133" s="70"/>
      <c r="ALA133" s="70"/>
      <c r="ALB133" s="70"/>
      <c r="ALC133" s="70"/>
      <c r="ALD133" s="70"/>
      <c r="ALE133" s="70"/>
      <c r="ALF133" s="70"/>
      <c r="ALG133" s="70"/>
      <c r="ALH133" s="70"/>
      <c r="ALI133" s="70"/>
      <c r="ALJ133" s="70"/>
      <c r="ALK133" s="70"/>
      <c r="ALL133" s="70"/>
      <c r="ALM133" s="70"/>
      <c r="ALN133" s="70"/>
      <c r="ALO133" s="70"/>
      <c r="ALP133" s="70"/>
      <c r="ALQ133" s="70"/>
      <c r="ALR133" s="70"/>
      <c r="ALS133" s="70"/>
      <c r="ALT133" s="70"/>
      <c r="ALU133" s="70"/>
      <c r="ALV133" s="70"/>
      <c r="ALW133" s="70"/>
      <c r="ALX133" s="70"/>
      <c r="ALY133" s="70"/>
      <c r="ALZ133" s="70"/>
      <c r="AMA133" s="70"/>
      <c r="AMB133" s="70"/>
      <c r="AMC133" s="70"/>
      <c r="AMD133" s="70"/>
      <c r="AME133" s="70"/>
      <c r="AMF133" s="70"/>
      <c r="AMG133" s="70"/>
      <c r="AMH133" s="70"/>
      <c r="AMI133" s="70"/>
      <c r="AMJ133" s="70"/>
      <c r="AMK133" s="70"/>
      <c r="AML133" s="70"/>
      <c r="AMM133" s="70"/>
      <c r="AMN133" s="70"/>
      <c r="AMO133" s="70"/>
      <c r="AMP133" s="70"/>
      <c r="AMQ133" s="70"/>
      <c r="AMR133" s="70"/>
      <c r="AMS133" s="70"/>
      <c r="AMT133" s="70"/>
      <c r="AMU133" s="70"/>
      <c r="AMV133" s="70"/>
      <c r="AMW133" s="70"/>
      <c r="AMX133" s="70"/>
      <c r="AMY133" s="70"/>
      <c r="AMZ133" s="70"/>
      <c r="ANA133" s="70"/>
      <c r="ANB133" s="70"/>
      <c r="ANC133" s="70"/>
      <c r="AND133" s="70"/>
      <c r="ANE133" s="70"/>
      <c r="ANF133" s="70"/>
      <c r="ANG133" s="70"/>
      <c r="ANH133" s="70"/>
      <c r="ANI133" s="70"/>
      <c r="ANJ133" s="70"/>
      <c r="ANK133" s="70"/>
      <c r="ANL133" s="70"/>
      <c r="ANM133" s="70"/>
      <c r="ANN133" s="70"/>
      <c r="ANO133" s="70"/>
      <c r="ANP133" s="70"/>
      <c r="ANQ133" s="70"/>
      <c r="ANR133" s="70"/>
      <c r="ANS133" s="70"/>
      <c r="ANT133" s="70"/>
      <c r="ANU133" s="70"/>
      <c r="ANV133" s="70"/>
      <c r="ANW133" s="70"/>
      <c r="ANX133" s="70"/>
      <c r="ANY133" s="70"/>
      <c r="ANZ133" s="70"/>
      <c r="AOA133" s="70"/>
      <c r="AOB133" s="70"/>
      <c r="AOC133" s="70"/>
      <c r="AOD133" s="70"/>
      <c r="AOE133" s="70"/>
      <c r="AOF133" s="70"/>
      <c r="AOG133" s="70"/>
      <c r="AOH133" s="70"/>
      <c r="AOI133" s="70"/>
      <c r="AOJ133" s="70"/>
      <c r="AOK133" s="70"/>
      <c r="AOL133" s="70"/>
      <c r="AOM133" s="70"/>
      <c r="AON133" s="70"/>
      <c r="AOO133" s="70"/>
      <c r="AOP133" s="70"/>
      <c r="AOQ133" s="70"/>
      <c r="AOR133" s="70"/>
      <c r="AOS133" s="70"/>
      <c r="AOT133" s="70"/>
      <c r="AOU133" s="70"/>
      <c r="AOV133" s="70"/>
      <c r="AOW133" s="70"/>
      <c r="AOX133" s="70"/>
      <c r="AOY133" s="70"/>
      <c r="AOZ133" s="70"/>
      <c r="APA133" s="70"/>
      <c r="APB133" s="70"/>
      <c r="APC133" s="70"/>
      <c r="APD133" s="70"/>
      <c r="APE133" s="70"/>
      <c r="APF133" s="70"/>
      <c r="APG133" s="70"/>
      <c r="APH133" s="70"/>
      <c r="API133" s="70"/>
      <c r="APJ133" s="70"/>
      <c r="APK133" s="70"/>
      <c r="APL133" s="70"/>
      <c r="APM133" s="70"/>
      <c r="APN133" s="70"/>
      <c r="APO133" s="70"/>
      <c r="APP133" s="70"/>
      <c r="APQ133" s="70"/>
      <c r="APR133" s="70"/>
      <c r="APS133" s="70"/>
      <c r="APT133" s="70"/>
      <c r="APU133" s="70"/>
      <c r="APV133" s="70"/>
      <c r="APW133" s="70"/>
      <c r="APX133" s="70"/>
      <c r="APY133" s="70"/>
      <c r="APZ133" s="70"/>
      <c r="AQA133" s="70"/>
      <c r="AQB133" s="70"/>
      <c r="AQC133" s="70"/>
      <c r="AQD133" s="70"/>
      <c r="AQE133" s="70"/>
      <c r="AQF133" s="70"/>
      <c r="AQG133" s="70"/>
      <c r="AQH133" s="70"/>
      <c r="AQI133" s="70"/>
      <c r="AQJ133" s="70"/>
      <c r="AQK133" s="70"/>
      <c r="AQL133" s="70"/>
      <c r="AQM133" s="70"/>
      <c r="AQN133" s="70"/>
      <c r="AQO133" s="70"/>
      <c r="AQP133" s="70"/>
      <c r="AQQ133" s="70"/>
      <c r="AQR133" s="70"/>
      <c r="AQS133" s="70"/>
      <c r="AQT133" s="70"/>
      <c r="AQU133" s="70"/>
      <c r="AQV133" s="70"/>
      <c r="AQW133" s="70"/>
      <c r="AQX133" s="70"/>
      <c r="AQY133" s="70"/>
      <c r="AQZ133" s="70"/>
      <c r="ARA133" s="70"/>
      <c r="ARB133" s="70"/>
      <c r="ARC133" s="70"/>
      <c r="ARD133" s="70"/>
      <c r="ARE133" s="70"/>
      <c r="ARF133" s="70"/>
      <c r="ARG133" s="70"/>
      <c r="ARH133" s="70"/>
      <c r="ARI133" s="70"/>
      <c r="ARJ133" s="70"/>
      <c r="ARK133" s="70"/>
      <c r="ARL133" s="70"/>
      <c r="ARM133" s="70"/>
      <c r="ARN133" s="70"/>
      <c r="ARO133" s="70"/>
      <c r="ARP133" s="70"/>
      <c r="ARQ133" s="70"/>
      <c r="ARR133" s="70"/>
      <c r="ARS133" s="70"/>
      <c r="ART133" s="70"/>
      <c r="ARU133" s="70"/>
      <c r="ARV133" s="70"/>
      <c r="ARW133" s="70"/>
      <c r="ARX133" s="70"/>
      <c r="ARY133" s="70"/>
      <c r="ARZ133" s="70"/>
      <c r="ASA133" s="70"/>
      <c r="ASB133" s="70"/>
      <c r="ASC133" s="70"/>
      <c r="ASD133" s="70"/>
      <c r="ASE133" s="70"/>
      <c r="ASF133" s="70"/>
      <c r="ASG133" s="70"/>
      <c r="ASH133" s="70"/>
      <c r="ASI133" s="70"/>
      <c r="ASJ133" s="70"/>
      <c r="ASK133" s="70"/>
      <c r="ASL133" s="70"/>
      <c r="ASM133" s="70"/>
      <c r="ASN133" s="70"/>
      <c r="ASO133" s="70"/>
      <c r="ASP133" s="70"/>
      <c r="ASQ133" s="70"/>
      <c r="ASR133" s="70"/>
      <c r="ASS133" s="70"/>
      <c r="AST133" s="70"/>
      <c r="ASU133" s="70"/>
      <c r="ASV133" s="70"/>
      <c r="ASW133" s="70"/>
      <c r="ASX133" s="70"/>
      <c r="ASY133" s="70"/>
      <c r="ASZ133" s="70"/>
      <c r="ATA133" s="70"/>
      <c r="ATB133" s="70"/>
      <c r="ATC133" s="70"/>
      <c r="ATD133" s="70"/>
      <c r="ATE133" s="70"/>
      <c r="ATF133" s="70"/>
      <c r="ATG133" s="70"/>
      <c r="ATH133" s="70"/>
      <c r="ATI133" s="70"/>
      <c r="ATJ133" s="70"/>
      <c r="ATK133" s="70"/>
      <c r="ATL133" s="70"/>
      <c r="ATM133" s="70"/>
      <c r="ATN133" s="70"/>
      <c r="ATO133" s="70"/>
      <c r="ATP133" s="70"/>
      <c r="ATQ133" s="70"/>
      <c r="ATR133" s="70"/>
      <c r="ATS133" s="70"/>
      <c r="ATT133" s="70"/>
      <c r="ATU133" s="70"/>
      <c r="ATV133" s="70"/>
      <c r="ATW133" s="70"/>
      <c r="ATX133" s="70"/>
      <c r="ATY133" s="70"/>
      <c r="ATZ133" s="70"/>
      <c r="AUA133" s="70"/>
      <c r="AUB133" s="70"/>
      <c r="AUC133" s="70"/>
      <c r="AUD133" s="70"/>
      <c r="AUE133" s="70"/>
      <c r="AUF133" s="70"/>
      <c r="AUG133" s="70"/>
      <c r="AUH133" s="70"/>
      <c r="AUI133" s="70"/>
      <c r="AUJ133" s="70"/>
      <c r="AUK133" s="70"/>
      <c r="AUL133" s="70"/>
      <c r="AUM133" s="70"/>
      <c r="AUN133" s="70"/>
      <c r="AUO133" s="70"/>
      <c r="AUP133" s="70"/>
      <c r="AUQ133" s="70"/>
      <c r="AUR133" s="70"/>
      <c r="AUS133" s="70"/>
      <c r="AUT133" s="70"/>
      <c r="AUU133" s="70"/>
      <c r="AUV133" s="70"/>
      <c r="AUW133" s="70"/>
      <c r="AUX133" s="70"/>
      <c r="AUY133" s="70"/>
      <c r="AUZ133" s="70"/>
      <c r="AVA133" s="70"/>
      <c r="AVB133" s="70"/>
      <c r="AVC133" s="70"/>
      <c r="AVD133" s="70"/>
      <c r="AVE133" s="70"/>
      <c r="AVF133" s="70"/>
      <c r="AVG133" s="70"/>
      <c r="AVH133" s="70"/>
      <c r="AVI133" s="70"/>
      <c r="AVJ133" s="70"/>
      <c r="AVK133" s="70"/>
      <c r="AVL133" s="70"/>
      <c r="AVM133" s="70"/>
      <c r="AVN133" s="70"/>
      <c r="AVO133" s="70"/>
      <c r="AVP133" s="70"/>
      <c r="AVQ133" s="70"/>
      <c r="AVR133" s="70"/>
      <c r="AVS133" s="70"/>
      <c r="AVT133" s="70"/>
      <c r="AVU133" s="70"/>
      <c r="AVV133" s="70"/>
      <c r="AVW133" s="70"/>
      <c r="AVX133" s="70"/>
      <c r="AVY133" s="70"/>
      <c r="AVZ133" s="70"/>
      <c r="AWA133" s="70"/>
      <c r="AWB133" s="70"/>
      <c r="AWC133" s="70"/>
      <c r="AWD133" s="70"/>
      <c r="AWE133" s="70"/>
      <c r="AWF133" s="70"/>
      <c r="AWG133" s="70"/>
      <c r="AWH133" s="70"/>
      <c r="AWI133" s="70"/>
      <c r="AWJ133" s="70"/>
      <c r="AWK133" s="70"/>
      <c r="AWL133" s="70"/>
      <c r="AWM133" s="70"/>
      <c r="AWN133" s="70"/>
      <c r="AWO133" s="70"/>
      <c r="AWP133" s="70"/>
      <c r="AWQ133" s="70"/>
      <c r="AWR133" s="70"/>
      <c r="AWS133" s="70"/>
      <c r="AWT133" s="70"/>
      <c r="AWU133" s="70"/>
      <c r="AWV133" s="70"/>
      <c r="AWW133" s="70"/>
      <c r="AWX133" s="70"/>
      <c r="AWY133" s="70"/>
      <c r="AWZ133" s="70"/>
      <c r="AXA133" s="70"/>
      <c r="AXB133" s="70"/>
      <c r="AXC133" s="70"/>
      <c r="AXD133" s="70"/>
      <c r="AXE133" s="70"/>
      <c r="AXF133" s="70"/>
      <c r="AXG133" s="70"/>
      <c r="AXH133" s="70"/>
      <c r="AXI133" s="70"/>
      <c r="AXJ133" s="70"/>
      <c r="AXK133" s="70"/>
      <c r="AXL133" s="70"/>
      <c r="AXM133" s="70"/>
      <c r="AXN133" s="70"/>
      <c r="AXO133" s="70"/>
      <c r="AXP133" s="70"/>
      <c r="AXQ133" s="70"/>
      <c r="AXR133" s="70"/>
      <c r="AXS133" s="70"/>
      <c r="AXT133" s="70"/>
      <c r="AXU133" s="70"/>
      <c r="AXV133" s="70"/>
      <c r="AXW133" s="70"/>
      <c r="AXX133" s="70"/>
      <c r="AXY133" s="70"/>
      <c r="AXZ133" s="70"/>
      <c r="AYA133" s="70"/>
      <c r="AYB133" s="70"/>
      <c r="AYC133" s="70"/>
      <c r="AYD133" s="70"/>
      <c r="AYE133" s="70"/>
      <c r="AYF133" s="70"/>
      <c r="AYG133" s="70"/>
      <c r="AYH133" s="70"/>
      <c r="AYI133" s="70"/>
      <c r="AYJ133" s="70"/>
      <c r="AYK133" s="70"/>
      <c r="AYL133" s="70"/>
      <c r="AYM133" s="70"/>
      <c r="AYN133" s="70"/>
      <c r="AYO133" s="70"/>
      <c r="AYP133" s="70"/>
      <c r="AYQ133" s="70"/>
      <c r="AYR133" s="70"/>
      <c r="AYS133" s="70"/>
      <c r="AYT133" s="70"/>
      <c r="AYU133" s="70"/>
      <c r="AYV133" s="70"/>
      <c r="AYW133" s="70"/>
      <c r="AYX133" s="70"/>
      <c r="AYY133" s="70"/>
      <c r="AYZ133" s="70"/>
      <c r="AZA133" s="70"/>
      <c r="AZB133" s="70"/>
      <c r="AZC133" s="70"/>
      <c r="AZD133" s="70"/>
      <c r="AZE133" s="70"/>
      <c r="AZF133" s="70"/>
      <c r="AZG133" s="70"/>
      <c r="AZH133" s="70"/>
      <c r="AZI133" s="70"/>
      <c r="AZJ133" s="70"/>
      <c r="AZK133" s="70"/>
      <c r="AZL133" s="70"/>
      <c r="AZM133" s="70"/>
      <c r="AZN133" s="70"/>
      <c r="AZO133" s="70"/>
      <c r="AZP133" s="70"/>
      <c r="AZQ133" s="70"/>
      <c r="AZR133" s="70"/>
      <c r="AZS133" s="70"/>
      <c r="AZT133" s="70"/>
      <c r="AZU133" s="70"/>
      <c r="AZV133" s="70"/>
      <c r="AZW133" s="70"/>
      <c r="AZX133" s="70"/>
      <c r="AZY133" s="70"/>
      <c r="AZZ133" s="70"/>
      <c r="BAA133" s="70"/>
      <c r="BAB133" s="70"/>
      <c r="BAC133" s="70"/>
      <c r="BAD133" s="70"/>
      <c r="BAE133" s="70"/>
      <c r="BAF133" s="70"/>
      <c r="BAG133" s="70"/>
      <c r="BAH133" s="70"/>
      <c r="BAI133" s="70"/>
      <c r="BAJ133" s="70"/>
      <c r="BAK133" s="70"/>
      <c r="BAL133" s="70"/>
      <c r="BAM133" s="70"/>
      <c r="BAN133" s="70"/>
      <c r="BAO133" s="70"/>
      <c r="BAP133" s="70"/>
      <c r="BAQ133" s="70"/>
      <c r="BAR133" s="70"/>
      <c r="BAS133" s="70"/>
      <c r="BAT133" s="70"/>
      <c r="BAU133" s="70"/>
      <c r="BAV133" s="70"/>
      <c r="BAW133" s="70"/>
      <c r="BAX133" s="70"/>
      <c r="BAY133" s="70"/>
      <c r="BAZ133" s="70"/>
      <c r="BBA133" s="70"/>
      <c r="BBB133" s="70"/>
      <c r="BBC133" s="70"/>
      <c r="BBD133" s="70"/>
      <c r="BBE133" s="70"/>
      <c r="BBF133" s="70"/>
      <c r="BBG133" s="70"/>
      <c r="BBH133" s="70"/>
      <c r="BBI133" s="70"/>
      <c r="BBJ133" s="70"/>
      <c r="BBK133" s="70"/>
      <c r="BBL133" s="70"/>
      <c r="BBM133" s="70"/>
      <c r="BBN133" s="70"/>
      <c r="BBO133" s="70"/>
      <c r="BBP133" s="70"/>
      <c r="BBQ133" s="70"/>
      <c r="BBR133" s="70"/>
      <c r="BBS133" s="70"/>
      <c r="BBT133" s="70"/>
      <c r="BBU133" s="70"/>
      <c r="BBV133" s="70"/>
      <c r="BBW133" s="70"/>
      <c r="BBX133" s="70"/>
      <c r="BBY133" s="70"/>
      <c r="BBZ133" s="70"/>
      <c r="BCA133" s="70"/>
      <c r="BCB133" s="70"/>
      <c r="BCC133" s="70"/>
      <c r="BCD133" s="70"/>
      <c r="BCE133" s="70"/>
      <c r="BCF133" s="70"/>
      <c r="BCG133" s="70"/>
      <c r="BCH133" s="70"/>
      <c r="BCI133" s="70"/>
      <c r="BCJ133" s="70"/>
      <c r="BCK133" s="70"/>
      <c r="BCL133" s="70"/>
      <c r="BCM133" s="70"/>
      <c r="BCN133" s="70"/>
      <c r="BCO133" s="70"/>
      <c r="BCP133" s="70"/>
      <c r="BCQ133" s="70"/>
      <c r="BCR133" s="70"/>
      <c r="BCS133" s="70"/>
      <c r="BCT133" s="70"/>
      <c r="BCU133" s="70"/>
      <c r="BCV133" s="70"/>
      <c r="BCW133" s="70"/>
    </row>
    <row r="134" spans="1:1453" s="69" customFormat="1" ht="51" customHeight="1" x14ac:dyDescent="0.25">
      <c r="A134" s="50">
        <v>11</v>
      </c>
      <c r="B134" s="73" t="s">
        <v>246</v>
      </c>
      <c r="C134" s="73" t="s">
        <v>247</v>
      </c>
      <c r="D134" s="52">
        <v>18021550</v>
      </c>
      <c r="E134" s="73" t="s">
        <v>248</v>
      </c>
      <c r="F134" s="73" t="s">
        <v>213</v>
      </c>
      <c r="G134" s="141"/>
      <c r="H134" s="141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  <c r="BO134" s="70"/>
      <c r="BP134" s="70"/>
      <c r="BQ134" s="70"/>
      <c r="BR134" s="70"/>
      <c r="BS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70"/>
      <c r="CE134" s="70"/>
      <c r="CF134" s="70"/>
      <c r="CG134" s="70"/>
      <c r="CH134" s="70"/>
      <c r="CI134" s="70"/>
      <c r="CJ134" s="70"/>
      <c r="CK134" s="70"/>
      <c r="CL134" s="70"/>
      <c r="CM134" s="70"/>
      <c r="CN134" s="70"/>
      <c r="CO134" s="70"/>
      <c r="CP134" s="70"/>
      <c r="CQ134" s="70"/>
      <c r="CR134" s="70"/>
      <c r="CS134" s="70"/>
      <c r="CT134" s="70"/>
      <c r="CU134" s="70"/>
      <c r="CV134" s="70"/>
      <c r="CW134" s="70"/>
      <c r="CX134" s="70"/>
      <c r="CY134" s="70"/>
      <c r="CZ134" s="70"/>
      <c r="DA134" s="70"/>
      <c r="DB134" s="70"/>
      <c r="DC134" s="70"/>
      <c r="DD134" s="70"/>
      <c r="DE134" s="70"/>
      <c r="DF134" s="70"/>
      <c r="DG134" s="70"/>
      <c r="DH134" s="70"/>
      <c r="DI134" s="70"/>
      <c r="DJ134" s="70"/>
      <c r="DK134" s="70"/>
      <c r="DL134" s="70"/>
      <c r="DM134" s="70"/>
      <c r="DN134" s="70"/>
      <c r="DO134" s="70"/>
      <c r="DP134" s="70"/>
      <c r="DQ134" s="70"/>
      <c r="DR134" s="70"/>
      <c r="DS134" s="70"/>
      <c r="DT134" s="70"/>
      <c r="DU134" s="70"/>
      <c r="DV134" s="70"/>
      <c r="DW134" s="70"/>
      <c r="DX134" s="70"/>
      <c r="DY134" s="70"/>
      <c r="DZ134" s="70"/>
      <c r="EA134" s="70"/>
      <c r="EB134" s="70"/>
      <c r="EC134" s="70"/>
      <c r="ED134" s="70"/>
      <c r="EE134" s="70"/>
      <c r="EF134" s="70"/>
      <c r="EG134" s="70"/>
      <c r="EH134" s="70"/>
      <c r="EI134" s="70"/>
      <c r="EJ134" s="70"/>
      <c r="EK134" s="70"/>
      <c r="EL134" s="70"/>
      <c r="EM134" s="70"/>
      <c r="EN134" s="70"/>
      <c r="EO134" s="70"/>
      <c r="EP134" s="70"/>
      <c r="EQ134" s="70"/>
      <c r="ER134" s="70"/>
      <c r="ES134" s="70"/>
      <c r="ET134" s="70"/>
      <c r="EU134" s="70"/>
      <c r="EV134" s="70"/>
      <c r="EW134" s="70"/>
      <c r="EX134" s="70"/>
      <c r="EY134" s="70"/>
      <c r="EZ134" s="70"/>
      <c r="FA134" s="70"/>
      <c r="FB134" s="70"/>
      <c r="FC134" s="70"/>
      <c r="FD134" s="70"/>
      <c r="FE134" s="70"/>
      <c r="FF134" s="70"/>
      <c r="FG134" s="70"/>
      <c r="FH134" s="70"/>
      <c r="FI134" s="70"/>
      <c r="FJ134" s="70"/>
      <c r="FK134" s="70"/>
      <c r="FL134" s="70"/>
      <c r="FM134" s="70"/>
      <c r="FN134" s="70"/>
      <c r="FO134" s="70"/>
      <c r="FP134" s="70"/>
      <c r="FQ134" s="70"/>
      <c r="FR134" s="70"/>
      <c r="FS134" s="70"/>
      <c r="FT134" s="70"/>
      <c r="FU134" s="70"/>
      <c r="FV134" s="70"/>
      <c r="FW134" s="70"/>
      <c r="FX134" s="70"/>
      <c r="FY134" s="70"/>
      <c r="FZ134" s="70"/>
      <c r="GA134" s="70"/>
      <c r="GB134" s="70"/>
      <c r="GC134" s="70"/>
      <c r="GD134" s="70"/>
      <c r="GE134" s="70"/>
      <c r="GF134" s="70"/>
      <c r="GG134" s="70"/>
      <c r="GH134" s="70"/>
      <c r="GI134" s="70"/>
      <c r="GJ134" s="70"/>
      <c r="GK134" s="70"/>
      <c r="GL134" s="70"/>
      <c r="GM134" s="70"/>
      <c r="GN134" s="70"/>
      <c r="GO134" s="70"/>
      <c r="GP134" s="70"/>
      <c r="GQ134" s="70"/>
      <c r="GR134" s="70"/>
      <c r="GS134" s="70"/>
      <c r="GT134" s="70"/>
      <c r="GU134" s="70"/>
      <c r="GV134" s="70"/>
      <c r="GW134" s="70"/>
      <c r="GX134" s="70"/>
      <c r="GY134" s="70"/>
      <c r="GZ134" s="70"/>
      <c r="HA134" s="70"/>
      <c r="HB134" s="70"/>
      <c r="HC134" s="70"/>
      <c r="HD134" s="70"/>
      <c r="HE134" s="70"/>
      <c r="HF134" s="70"/>
      <c r="HG134" s="70"/>
      <c r="HH134" s="70"/>
      <c r="HI134" s="70"/>
      <c r="HJ134" s="70"/>
      <c r="HK134" s="70"/>
      <c r="HL134" s="70"/>
      <c r="HM134" s="70"/>
      <c r="HN134" s="70"/>
      <c r="HO134" s="70"/>
      <c r="HP134" s="70"/>
      <c r="HQ134" s="70"/>
      <c r="HR134" s="70"/>
      <c r="HS134" s="70"/>
      <c r="HT134" s="70"/>
      <c r="HU134" s="70"/>
      <c r="HV134" s="70"/>
      <c r="HW134" s="70"/>
      <c r="HX134" s="70"/>
      <c r="HY134" s="70"/>
      <c r="HZ134" s="70"/>
      <c r="IA134" s="70"/>
      <c r="IB134" s="70"/>
      <c r="IC134" s="70"/>
      <c r="ID134" s="70"/>
      <c r="IE134" s="70"/>
      <c r="IF134" s="70"/>
      <c r="IG134" s="70"/>
      <c r="IH134" s="70"/>
      <c r="II134" s="70"/>
      <c r="IJ134" s="70"/>
      <c r="IK134" s="70"/>
      <c r="IL134" s="70"/>
      <c r="IM134" s="70"/>
      <c r="IN134" s="70"/>
      <c r="IO134" s="70"/>
      <c r="IP134" s="70"/>
      <c r="IQ134" s="70"/>
      <c r="IR134" s="70"/>
      <c r="IS134" s="70"/>
      <c r="IT134" s="70"/>
      <c r="IU134" s="70"/>
      <c r="IV134" s="70"/>
      <c r="IW134" s="70"/>
      <c r="IX134" s="70"/>
      <c r="IY134" s="70"/>
      <c r="IZ134" s="70"/>
      <c r="JA134" s="70"/>
      <c r="JB134" s="70"/>
      <c r="JC134" s="70"/>
      <c r="JD134" s="70"/>
      <c r="JE134" s="70"/>
      <c r="JF134" s="70"/>
      <c r="JG134" s="70"/>
      <c r="JH134" s="70"/>
      <c r="JI134" s="70"/>
      <c r="JJ134" s="70"/>
      <c r="JK134" s="70"/>
      <c r="JL134" s="70"/>
      <c r="JM134" s="70"/>
      <c r="JN134" s="70"/>
      <c r="JO134" s="70"/>
      <c r="JP134" s="70"/>
      <c r="JQ134" s="70"/>
      <c r="JR134" s="70"/>
      <c r="JS134" s="70"/>
      <c r="JT134" s="70"/>
      <c r="JU134" s="70"/>
      <c r="JV134" s="70"/>
      <c r="JW134" s="70"/>
      <c r="JX134" s="70"/>
      <c r="JY134" s="70"/>
      <c r="JZ134" s="70"/>
      <c r="KA134" s="70"/>
      <c r="KB134" s="70"/>
      <c r="KC134" s="70"/>
      <c r="KD134" s="70"/>
      <c r="KE134" s="70"/>
      <c r="KF134" s="70"/>
      <c r="KG134" s="70"/>
      <c r="KH134" s="70"/>
      <c r="KI134" s="70"/>
      <c r="KJ134" s="70"/>
      <c r="KK134" s="70"/>
      <c r="KL134" s="70"/>
      <c r="KM134" s="70"/>
      <c r="KN134" s="70"/>
      <c r="KO134" s="70"/>
      <c r="KP134" s="70"/>
      <c r="KQ134" s="70"/>
      <c r="KR134" s="70"/>
      <c r="KS134" s="70"/>
      <c r="KT134" s="70"/>
      <c r="KU134" s="70"/>
      <c r="KV134" s="70"/>
      <c r="KW134" s="70"/>
      <c r="KX134" s="70"/>
      <c r="KY134" s="70"/>
      <c r="KZ134" s="70"/>
      <c r="LA134" s="70"/>
      <c r="LB134" s="70"/>
      <c r="LC134" s="70"/>
      <c r="LD134" s="70"/>
      <c r="LE134" s="70"/>
      <c r="LF134" s="70"/>
      <c r="LG134" s="70"/>
      <c r="LH134" s="70"/>
      <c r="LI134" s="70"/>
      <c r="LJ134" s="70"/>
      <c r="LK134" s="70"/>
      <c r="LL134" s="70"/>
      <c r="LM134" s="70"/>
      <c r="LN134" s="70"/>
      <c r="LO134" s="70"/>
      <c r="LP134" s="70"/>
      <c r="LQ134" s="70"/>
      <c r="LR134" s="70"/>
      <c r="LS134" s="70"/>
      <c r="LT134" s="70"/>
      <c r="LU134" s="70"/>
      <c r="LV134" s="70"/>
      <c r="LW134" s="70"/>
      <c r="LX134" s="70"/>
      <c r="LY134" s="70"/>
      <c r="LZ134" s="70"/>
      <c r="MA134" s="70"/>
      <c r="MB134" s="70"/>
      <c r="MC134" s="70"/>
      <c r="MD134" s="70"/>
      <c r="ME134" s="70"/>
      <c r="MF134" s="70"/>
      <c r="MG134" s="70"/>
      <c r="MH134" s="70"/>
      <c r="MI134" s="70"/>
      <c r="MJ134" s="70"/>
      <c r="MK134" s="70"/>
      <c r="ML134" s="70"/>
      <c r="MM134" s="70"/>
      <c r="MN134" s="70"/>
      <c r="MO134" s="70"/>
      <c r="MP134" s="70"/>
      <c r="MQ134" s="70"/>
      <c r="MR134" s="70"/>
      <c r="MS134" s="70"/>
      <c r="MT134" s="70"/>
      <c r="MU134" s="70"/>
      <c r="MV134" s="70"/>
      <c r="MW134" s="70"/>
      <c r="MX134" s="70"/>
      <c r="MY134" s="70"/>
      <c r="MZ134" s="70"/>
      <c r="NA134" s="70"/>
      <c r="NB134" s="70"/>
      <c r="NC134" s="70"/>
      <c r="ND134" s="70"/>
      <c r="NE134" s="70"/>
      <c r="NF134" s="70"/>
      <c r="NG134" s="70"/>
      <c r="NH134" s="70"/>
      <c r="NI134" s="70"/>
      <c r="NJ134" s="70"/>
      <c r="NK134" s="70"/>
      <c r="NL134" s="70"/>
      <c r="NM134" s="70"/>
      <c r="NN134" s="70"/>
      <c r="NO134" s="70"/>
      <c r="NP134" s="70"/>
      <c r="NQ134" s="70"/>
      <c r="NR134" s="70"/>
      <c r="NS134" s="70"/>
      <c r="NT134" s="70"/>
      <c r="NU134" s="70"/>
      <c r="NV134" s="70"/>
      <c r="NW134" s="70"/>
      <c r="NX134" s="70"/>
      <c r="NY134" s="70"/>
      <c r="NZ134" s="70"/>
      <c r="OA134" s="70"/>
      <c r="OB134" s="70"/>
      <c r="OC134" s="70"/>
      <c r="OD134" s="70"/>
      <c r="OE134" s="70"/>
      <c r="OF134" s="70"/>
      <c r="OG134" s="70"/>
      <c r="OH134" s="70"/>
      <c r="OI134" s="70"/>
      <c r="OJ134" s="70"/>
      <c r="OK134" s="70"/>
      <c r="OL134" s="70"/>
      <c r="OM134" s="70"/>
      <c r="ON134" s="70"/>
      <c r="OO134" s="70"/>
      <c r="OP134" s="70"/>
      <c r="OQ134" s="70"/>
      <c r="OR134" s="70"/>
      <c r="OS134" s="70"/>
      <c r="OT134" s="70"/>
      <c r="OU134" s="70"/>
      <c r="OV134" s="70"/>
      <c r="OW134" s="70"/>
      <c r="OX134" s="70"/>
      <c r="OY134" s="70"/>
      <c r="OZ134" s="70"/>
      <c r="PA134" s="70"/>
      <c r="PB134" s="70"/>
      <c r="PC134" s="70"/>
      <c r="PD134" s="70"/>
      <c r="PE134" s="70"/>
      <c r="PF134" s="70"/>
      <c r="PG134" s="70"/>
      <c r="PH134" s="70"/>
      <c r="PI134" s="70"/>
      <c r="PJ134" s="70"/>
      <c r="PK134" s="70"/>
      <c r="PL134" s="70"/>
      <c r="PM134" s="70"/>
      <c r="PN134" s="70"/>
      <c r="PO134" s="70"/>
      <c r="PP134" s="70"/>
      <c r="PQ134" s="70"/>
      <c r="PR134" s="70"/>
      <c r="PS134" s="70"/>
      <c r="PT134" s="70"/>
      <c r="PU134" s="70"/>
      <c r="PV134" s="70"/>
      <c r="PW134" s="70"/>
      <c r="PX134" s="70"/>
      <c r="PY134" s="70"/>
      <c r="PZ134" s="70"/>
      <c r="QA134" s="70"/>
      <c r="QB134" s="70"/>
      <c r="QC134" s="70"/>
      <c r="QD134" s="70"/>
      <c r="QE134" s="70"/>
      <c r="QF134" s="70"/>
      <c r="QG134" s="70"/>
      <c r="QH134" s="70"/>
      <c r="QI134" s="70"/>
      <c r="QJ134" s="70"/>
      <c r="QK134" s="70"/>
      <c r="QL134" s="70"/>
      <c r="QM134" s="70"/>
      <c r="QN134" s="70"/>
      <c r="QO134" s="70"/>
      <c r="QP134" s="70"/>
      <c r="QQ134" s="70"/>
      <c r="QR134" s="70"/>
      <c r="QS134" s="70"/>
      <c r="QT134" s="70"/>
      <c r="QU134" s="70"/>
      <c r="QV134" s="70"/>
      <c r="QW134" s="70"/>
      <c r="QX134" s="70"/>
      <c r="QY134" s="70"/>
      <c r="QZ134" s="70"/>
      <c r="RA134" s="70"/>
      <c r="RB134" s="70"/>
      <c r="RC134" s="70"/>
      <c r="RD134" s="70"/>
      <c r="RE134" s="70"/>
      <c r="RF134" s="70"/>
      <c r="RG134" s="70"/>
      <c r="RH134" s="70"/>
      <c r="RI134" s="70"/>
      <c r="RJ134" s="70"/>
      <c r="RK134" s="70"/>
      <c r="RL134" s="70"/>
      <c r="RM134" s="70"/>
      <c r="RN134" s="70"/>
      <c r="RO134" s="70"/>
      <c r="RP134" s="70"/>
      <c r="RQ134" s="70"/>
      <c r="RR134" s="70"/>
      <c r="RS134" s="70"/>
      <c r="RT134" s="70"/>
      <c r="RU134" s="70"/>
      <c r="RV134" s="70"/>
      <c r="RW134" s="70"/>
      <c r="RX134" s="70"/>
      <c r="RY134" s="70"/>
      <c r="RZ134" s="70"/>
      <c r="SA134" s="70"/>
      <c r="SB134" s="70"/>
      <c r="SC134" s="70"/>
      <c r="SD134" s="70"/>
      <c r="SE134" s="70"/>
      <c r="SF134" s="70"/>
      <c r="SG134" s="70"/>
      <c r="SH134" s="70"/>
      <c r="SI134" s="70"/>
      <c r="SJ134" s="70"/>
      <c r="SK134" s="70"/>
      <c r="SL134" s="70"/>
      <c r="SM134" s="70"/>
      <c r="SN134" s="70"/>
      <c r="SO134" s="70"/>
      <c r="SP134" s="70"/>
      <c r="SQ134" s="70"/>
      <c r="SR134" s="70"/>
      <c r="SS134" s="70"/>
      <c r="ST134" s="70"/>
      <c r="SU134" s="70"/>
      <c r="SV134" s="70"/>
      <c r="SW134" s="70"/>
      <c r="SX134" s="70"/>
      <c r="SY134" s="70"/>
      <c r="SZ134" s="70"/>
      <c r="TA134" s="70"/>
      <c r="TB134" s="70"/>
      <c r="TC134" s="70"/>
      <c r="TD134" s="70"/>
      <c r="TE134" s="70"/>
      <c r="TF134" s="70"/>
      <c r="TG134" s="70"/>
      <c r="TH134" s="70"/>
      <c r="TI134" s="70"/>
      <c r="TJ134" s="70"/>
      <c r="TK134" s="70"/>
      <c r="TL134" s="70"/>
      <c r="TM134" s="70"/>
      <c r="TN134" s="70"/>
      <c r="TO134" s="70"/>
      <c r="TP134" s="70"/>
      <c r="TQ134" s="70"/>
      <c r="TR134" s="70"/>
      <c r="TS134" s="70"/>
      <c r="TT134" s="70"/>
      <c r="TU134" s="70"/>
      <c r="TV134" s="70"/>
      <c r="TW134" s="70"/>
      <c r="TX134" s="70"/>
      <c r="TY134" s="70"/>
      <c r="TZ134" s="70"/>
      <c r="UA134" s="70"/>
      <c r="UB134" s="70"/>
      <c r="UC134" s="70"/>
      <c r="UD134" s="70"/>
      <c r="UE134" s="70"/>
      <c r="UF134" s="70"/>
      <c r="UG134" s="70"/>
      <c r="UH134" s="70"/>
      <c r="UI134" s="70"/>
      <c r="UJ134" s="70"/>
      <c r="UK134" s="70"/>
      <c r="UL134" s="70"/>
      <c r="UM134" s="70"/>
      <c r="UN134" s="70"/>
      <c r="UO134" s="70"/>
      <c r="UP134" s="70"/>
      <c r="UQ134" s="70"/>
      <c r="UR134" s="70"/>
      <c r="US134" s="70"/>
      <c r="UT134" s="70"/>
      <c r="UU134" s="70"/>
      <c r="UV134" s="70"/>
      <c r="UW134" s="70"/>
      <c r="UX134" s="70"/>
      <c r="UY134" s="70"/>
      <c r="UZ134" s="70"/>
      <c r="VA134" s="70"/>
      <c r="VB134" s="70"/>
      <c r="VC134" s="70"/>
      <c r="VD134" s="70"/>
      <c r="VE134" s="70"/>
      <c r="VF134" s="70"/>
      <c r="VG134" s="70"/>
      <c r="VH134" s="70"/>
      <c r="VI134" s="70"/>
      <c r="VJ134" s="70"/>
      <c r="VK134" s="70"/>
      <c r="VL134" s="70"/>
      <c r="VM134" s="70"/>
      <c r="VN134" s="70"/>
      <c r="VO134" s="70"/>
      <c r="VP134" s="70"/>
      <c r="VQ134" s="70"/>
      <c r="VR134" s="70"/>
      <c r="VS134" s="70"/>
      <c r="VT134" s="70"/>
      <c r="VU134" s="70"/>
      <c r="VV134" s="70"/>
      <c r="VW134" s="70"/>
      <c r="VX134" s="70"/>
      <c r="VY134" s="70"/>
      <c r="VZ134" s="70"/>
      <c r="WA134" s="70"/>
      <c r="WB134" s="70"/>
      <c r="WC134" s="70"/>
      <c r="WD134" s="70"/>
      <c r="WE134" s="70"/>
      <c r="WF134" s="70"/>
      <c r="WG134" s="70"/>
      <c r="WH134" s="70"/>
      <c r="WI134" s="70"/>
      <c r="WJ134" s="70"/>
      <c r="WK134" s="70"/>
      <c r="WL134" s="70"/>
      <c r="WM134" s="70"/>
      <c r="WN134" s="70"/>
      <c r="WO134" s="70"/>
      <c r="WP134" s="70"/>
      <c r="WQ134" s="70"/>
      <c r="WR134" s="70"/>
      <c r="WS134" s="70"/>
      <c r="WT134" s="70"/>
      <c r="WU134" s="70"/>
      <c r="WV134" s="70"/>
      <c r="WW134" s="70"/>
      <c r="WX134" s="70"/>
      <c r="WY134" s="70"/>
      <c r="WZ134" s="70"/>
      <c r="XA134" s="70"/>
      <c r="XB134" s="70"/>
      <c r="XC134" s="70"/>
      <c r="XD134" s="70"/>
      <c r="XE134" s="70"/>
      <c r="XF134" s="70"/>
      <c r="XG134" s="70"/>
      <c r="XH134" s="70"/>
      <c r="XI134" s="70"/>
      <c r="XJ134" s="70"/>
      <c r="XK134" s="70"/>
      <c r="XL134" s="70"/>
      <c r="XM134" s="70"/>
      <c r="XN134" s="70"/>
      <c r="XO134" s="70"/>
      <c r="XP134" s="70"/>
      <c r="XQ134" s="70"/>
      <c r="XR134" s="70"/>
      <c r="XS134" s="70"/>
      <c r="XT134" s="70"/>
      <c r="XU134" s="70"/>
      <c r="XV134" s="70"/>
      <c r="XW134" s="70"/>
      <c r="XX134" s="70"/>
      <c r="XY134" s="70"/>
      <c r="XZ134" s="70"/>
      <c r="YA134" s="70"/>
      <c r="YB134" s="70"/>
      <c r="YC134" s="70"/>
      <c r="YD134" s="70"/>
      <c r="YE134" s="70"/>
      <c r="YF134" s="70"/>
      <c r="YG134" s="70"/>
      <c r="YH134" s="70"/>
      <c r="YI134" s="70"/>
      <c r="YJ134" s="70"/>
      <c r="YK134" s="70"/>
      <c r="YL134" s="70"/>
      <c r="YM134" s="70"/>
      <c r="YN134" s="70"/>
      <c r="YO134" s="70"/>
      <c r="YP134" s="70"/>
      <c r="YQ134" s="70"/>
      <c r="YR134" s="70"/>
      <c r="YS134" s="70"/>
      <c r="YT134" s="70"/>
      <c r="YU134" s="70"/>
      <c r="YV134" s="70"/>
      <c r="YW134" s="70"/>
      <c r="YX134" s="70"/>
      <c r="YY134" s="70"/>
      <c r="YZ134" s="70"/>
      <c r="ZA134" s="70"/>
      <c r="ZB134" s="70"/>
      <c r="ZC134" s="70"/>
      <c r="ZD134" s="70"/>
      <c r="ZE134" s="70"/>
      <c r="ZF134" s="70"/>
      <c r="ZG134" s="70"/>
      <c r="ZH134" s="70"/>
      <c r="ZI134" s="70"/>
      <c r="ZJ134" s="70"/>
      <c r="ZK134" s="70"/>
      <c r="ZL134" s="70"/>
      <c r="ZM134" s="70"/>
      <c r="ZN134" s="70"/>
      <c r="ZO134" s="70"/>
      <c r="ZP134" s="70"/>
      <c r="ZQ134" s="70"/>
      <c r="ZR134" s="70"/>
      <c r="ZS134" s="70"/>
      <c r="ZT134" s="70"/>
      <c r="ZU134" s="70"/>
      <c r="ZV134" s="70"/>
      <c r="ZW134" s="70"/>
      <c r="ZX134" s="70"/>
      <c r="ZY134" s="70"/>
      <c r="ZZ134" s="70"/>
      <c r="AAA134" s="70"/>
      <c r="AAB134" s="70"/>
      <c r="AAC134" s="70"/>
      <c r="AAD134" s="70"/>
      <c r="AAE134" s="70"/>
      <c r="AAF134" s="70"/>
      <c r="AAG134" s="70"/>
      <c r="AAH134" s="70"/>
      <c r="AAI134" s="70"/>
      <c r="AAJ134" s="70"/>
      <c r="AAK134" s="70"/>
      <c r="AAL134" s="70"/>
      <c r="AAM134" s="70"/>
      <c r="AAN134" s="70"/>
      <c r="AAO134" s="70"/>
      <c r="AAP134" s="70"/>
      <c r="AAQ134" s="70"/>
      <c r="AAR134" s="70"/>
      <c r="AAS134" s="70"/>
      <c r="AAT134" s="70"/>
      <c r="AAU134" s="70"/>
      <c r="AAV134" s="70"/>
      <c r="AAW134" s="70"/>
      <c r="AAX134" s="70"/>
      <c r="AAY134" s="70"/>
      <c r="AAZ134" s="70"/>
      <c r="ABA134" s="70"/>
      <c r="ABB134" s="70"/>
      <c r="ABC134" s="70"/>
      <c r="ABD134" s="70"/>
      <c r="ABE134" s="70"/>
      <c r="ABF134" s="70"/>
      <c r="ABG134" s="70"/>
      <c r="ABH134" s="70"/>
      <c r="ABI134" s="70"/>
      <c r="ABJ134" s="70"/>
      <c r="ABK134" s="70"/>
      <c r="ABL134" s="70"/>
      <c r="ABM134" s="70"/>
      <c r="ABN134" s="70"/>
      <c r="ABO134" s="70"/>
      <c r="ABP134" s="70"/>
      <c r="ABQ134" s="70"/>
      <c r="ABR134" s="70"/>
      <c r="ABS134" s="70"/>
      <c r="ABT134" s="70"/>
      <c r="ABU134" s="70"/>
      <c r="ABV134" s="70"/>
      <c r="ABW134" s="70"/>
      <c r="ABX134" s="70"/>
      <c r="ABY134" s="70"/>
      <c r="ABZ134" s="70"/>
      <c r="ACA134" s="70"/>
      <c r="ACB134" s="70"/>
      <c r="ACC134" s="70"/>
      <c r="ACD134" s="70"/>
      <c r="ACE134" s="70"/>
      <c r="ACF134" s="70"/>
      <c r="ACG134" s="70"/>
      <c r="ACH134" s="70"/>
      <c r="ACI134" s="70"/>
      <c r="ACJ134" s="70"/>
      <c r="ACK134" s="70"/>
      <c r="ACL134" s="70"/>
      <c r="ACM134" s="70"/>
      <c r="ACN134" s="70"/>
      <c r="ACO134" s="70"/>
      <c r="ACP134" s="70"/>
      <c r="ACQ134" s="70"/>
      <c r="ACR134" s="70"/>
      <c r="ACS134" s="70"/>
      <c r="ACT134" s="70"/>
      <c r="ACU134" s="70"/>
      <c r="ACV134" s="70"/>
      <c r="ACW134" s="70"/>
      <c r="ACX134" s="70"/>
      <c r="ACY134" s="70"/>
      <c r="ACZ134" s="70"/>
      <c r="ADA134" s="70"/>
      <c r="ADB134" s="70"/>
      <c r="ADC134" s="70"/>
      <c r="ADD134" s="70"/>
      <c r="ADE134" s="70"/>
      <c r="ADF134" s="70"/>
      <c r="ADG134" s="70"/>
      <c r="ADH134" s="70"/>
      <c r="ADI134" s="70"/>
      <c r="ADJ134" s="70"/>
      <c r="ADK134" s="70"/>
      <c r="ADL134" s="70"/>
      <c r="ADM134" s="70"/>
      <c r="ADN134" s="70"/>
      <c r="ADO134" s="70"/>
      <c r="ADP134" s="70"/>
      <c r="ADQ134" s="70"/>
      <c r="ADR134" s="70"/>
      <c r="ADS134" s="70"/>
      <c r="ADT134" s="70"/>
      <c r="ADU134" s="70"/>
      <c r="ADV134" s="70"/>
      <c r="ADW134" s="70"/>
      <c r="ADX134" s="70"/>
      <c r="ADY134" s="70"/>
      <c r="ADZ134" s="70"/>
      <c r="AEA134" s="70"/>
      <c r="AEB134" s="70"/>
      <c r="AEC134" s="70"/>
      <c r="AED134" s="70"/>
      <c r="AEE134" s="70"/>
      <c r="AEF134" s="70"/>
      <c r="AEG134" s="70"/>
      <c r="AEH134" s="70"/>
      <c r="AEI134" s="70"/>
      <c r="AEJ134" s="70"/>
      <c r="AEK134" s="70"/>
      <c r="AEL134" s="70"/>
      <c r="AEM134" s="70"/>
      <c r="AEN134" s="70"/>
      <c r="AEO134" s="70"/>
      <c r="AEP134" s="70"/>
      <c r="AEQ134" s="70"/>
      <c r="AER134" s="70"/>
      <c r="AES134" s="70"/>
      <c r="AET134" s="70"/>
      <c r="AEU134" s="70"/>
      <c r="AEV134" s="70"/>
      <c r="AEW134" s="70"/>
      <c r="AEX134" s="70"/>
      <c r="AEY134" s="70"/>
      <c r="AEZ134" s="70"/>
      <c r="AFA134" s="70"/>
      <c r="AFB134" s="70"/>
      <c r="AFC134" s="70"/>
      <c r="AFD134" s="70"/>
      <c r="AFE134" s="70"/>
      <c r="AFF134" s="70"/>
      <c r="AFG134" s="70"/>
      <c r="AFH134" s="70"/>
      <c r="AFI134" s="70"/>
      <c r="AFJ134" s="70"/>
      <c r="AFK134" s="70"/>
      <c r="AFL134" s="70"/>
      <c r="AFM134" s="70"/>
      <c r="AFN134" s="70"/>
      <c r="AFO134" s="70"/>
      <c r="AFP134" s="70"/>
      <c r="AFQ134" s="70"/>
      <c r="AFR134" s="70"/>
      <c r="AFS134" s="70"/>
      <c r="AFT134" s="70"/>
      <c r="AFU134" s="70"/>
      <c r="AFV134" s="70"/>
      <c r="AFW134" s="70"/>
      <c r="AFX134" s="70"/>
      <c r="AFY134" s="70"/>
      <c r="AFZ134" s="70"/>
      <c r="AGA134" s="70"/>
      <c r="AGB134" s="70"/>
      <c r="AGC134" s="70"/>
      <c r="AGD134" s="70"/>
      <c r="AGE134" s="70"/>
      <c r="AGF134" s="70"/>
      <c r="AGG134" s="70"/>
      <c r="AGH134" s="70"/>
      <c r="AGI134" s="70"/>
      <c r="AGJ134" s="70"/>
      <c r="AGK134" s="70"/>
      <c r="AGL134" s="70"/>
      <c r="AGM134" s="70"/>
      <c r="AGN134" s="70"/>
      <c r="AGO134" s="70"/>
      <c r="AGP134" s="70"/>
      <c r="AGQ134" s="70"/>
      <c r="AGR134" s="70"/>
      <c r="AGS134" s="70"/>
      <c r="AGT134" s="70"/>
      <c r="AGU134" s="70"/>
      <c r="AGV134" s="70"/>
      <c r="AGW134" s="70"/>
      <c r="AGX134" s="70"/>
      <c r="AGY134" s="70"/>
      <c r="AGZ134" s="70"/>
      <c r="AHA134" s="70"/>
      <c r="AHB134" s="70"/>
      <c r="AHC134" s="70"/>
      <c r="AHD134" s="70"/>
      <c r="AHE134" s="70"/>
      <c r="AHF134" s="70"/>
      <c r="AHG134" s="70"/>
      <c r="AHH134" s="70"/>
      <c r="AHI134" s="70"/>
      <c r="AHJ134" s="70"/>
      <c r="AHK134" s="70"/>
      <c r="AHL134" s="70"/>
      <c r="AHM134" s="70"/>
      <c r="AHN134" s="70"/>
      <c r="AHO134" s="70"/>
      <c r="AHP134" s="70"/>
      <c r="AHQ134" s="70"/>
      <c r="AHR134" s="70"/>
      <c r="AHS134" s="70"/>
      <c r="AHT134" s="70"/>
      <c r="AHU134" s="70"/>
      <c r="AHV134" s="70"/>
      <c r="AHW134" s="70"/>
      <c r="AHX134" s="70"/>
      <c r="AHY134" s="70"/>
      <c r="AHZ134" s="70"/>
      <c r="AIA134" s="70"/>
      <c r="AIB134" s="70"/>
      <c r="AIC134" s="70"/>
      <c r="AID134" s="70"/>
      <c r="AIE134" s="70"/>
      <c r="AIF134" s="70"/>
      <c r="AIG134" s="70"/>
      <c r="AIH134" s="70"/>
      <c r="AII134" s="70"/>
      <c r="AIJ134" s="70"/>
      <c r="AIK134" s="70"/>
      <c r="AIL134" s="70"/>
      <c r="AIM134" s="70"/>
      <c r="AIN134" s="70"/>
      <c r="AIO134" s="70"/>
      <c r="AIP134" s="70"/>
      <c r="AIQ134" s="70"/>
      <c r="AIR134" s="70"/>
      <c r="AIS134" s="70"/>
      <c r="AIT134" s="70"/>
      <c r="AIU134" s="70"/>
      <c r="AIV134" s="70"/>
      <c r="AIW134" s="70"/>
      <c r="AIX134" s="70"/>
      <c r="AIY134" s="70"/>
      <c r="AIZ134" s="70"/>
      <c r="AJA134" s="70"/>
      <c r="AJB134" s="70"/>
      <c r="AJC134" s="70"/>
      <c r="AJD134" s="70"/>
      <c r="AJE134" s="70"/>
      <c r="AJF134" s="70"/>
      <c r="AJG134" s="70"/>
      <c r="AJH134" s="70"/>
      <c r="AJI134" s="70"/>
      <c r="AJJ134" s="70"/>
      <c r="AJK134" s="70"/>
      <c r="AJL134" s="70"/>
      <c r="AJM134" s="70"/>
      <c r="AJN134" s="70"/>
      <c r="AJO134" s="70"/>
      <c r="AJP134" s="70"/>
      <c r="AJQ134" s="70"/>
      <c r="AJR134" s="70"/>
      <c r="AJS134" s="70"/>
      <c r="AJT134" s="70"/>
      <c r="AJU134" s="70"/>
      <c r="AJV134" s="70"/>
      <c r="AJW134" s="70"/>
      <c r="AJX134" s="70"/>
      <c r="AJY134" s="70"/>
      <c r="AJZ134" s="70"/>
      <c r="AKA134" s="70"/>
      <c r="AKB134" s="70"/>
      <c r="AKC134" s="70"/>
      <c r="AKD134" s="70"/>
      <c r="AKE134" s="70"/>
      <c r="AKF134" s="70"/>
      <c r="AKG134" s="70"/>
      <c r="AKH134" s="70"/>
      <c r="AKI134" s="70"/>
      <c r="AKJ134" s="70"/>
      <c r="AKK134" s="70"/>
      <c r="AKL134" s="70"/>
      <c r="AKM134" s="70"/>
      <c r="AKN134" s="70"/>
      <c r="AKO134" s="70"/>
      <c r="AKP134" s="70"/>
      <c r="AKQ134" s="70"/>
      <c r="AKR134" s="70"/>
      <c r="AKS134" s="70"/>
      <c r="AKT134" s="70"/>
      <c r="AKU134" s="70"/>
      <c r="AKV134" s="70"/>
      <c r="AKW134" s="70"/>
      <c r="AKX134" s="70"/>
      <c r="AKY134" s="70"/>
      <c r="AKZ134" s="70"/>
      <c r="ALA134" s="70"/>
      <c r="ALB134" s="70"/>
      <c r="ALC134" s="70"/>
      <c r="ALD134" s="70"/>
      <c r="ALE134" s="70"/>
      <c r="ALF134" s="70"/>
      <c r="ALG134" s="70"/>
      <c r="ALH134" s="70"/>
      <c r="ALI134" s="70"/>
      <c r="ALJ134" s="70"/>
      <c r="ALK134" s="70"/>
      <c r="ALL134" s="70"/>
      <c r="ALM134" s="70"/>
      <c r="ALN134" s="70"/>
      <c r="ALO134" s="70"/>
      <c r="ALP134" s="70"/>
      <c r="ALQ134" s="70"/>
      <c r="ALR134" s="70"/>
      <c r="ALS134" s="70"/>
      <c r="ALT134" s="70"/>
      <c r="ALU134" s="70"/>
      <c r="ALV134" s="70"/>
      <c r="ALW134" s="70"/>
      <c r="ALX134" s="70"/>
      <c r="ALY134" s="70"/>
      <c r="ALZ134" s="70"/>
      <c r="AMA134" s="70"/>
      <c r="AMB134" s="70"/>
      <c r="AMC134" s="70"/>
      <c r="AMD134" s="70"/>
      <c r="AME134" s="70"/>
      <c r="AMF134" s="70"/>
      <c r="AMG134" s="70"/>
      <c r="AMH134" s="70"/>
      <c r="AMI134" s="70"/>
      <c r="AMJ134" s="70"/>
      <c r="AMK134" s="70"/>
      <c r="AML134" s="70"/>
      <c r="AMM134" s="70"/>
      <c r="AMN134" s="70"/>
      <c r="AMO134" s="70"/>
      <c r="AMP134" s="70"/>
      <c r="AMQ134" s="70"/>
      <c r="AMR134" s="70"/>
      <c r="AMS134" s="70"/>
      <c r="AMT134" s="70"/>
      <c r="AMU134" s="70"/>
      <c r="AMV134" s="70"/>
      <c r="AMW134" s="70"/>
      <c r="AMX134" s="70"/>
      <c r="AMY134" s="70"/>
      <c r="AMZ134" s="70"/>
      <c r="ANA134" s="70"/>
      <c r="ANB134" s="70"/>
      <c r="ANC134" s="70"/>
      <c r="AND134" s="70"/>
      <c r="ANE134" s="70"/>
      <c r="ANF134" s="70"/>
      <c r="ANG134" s="70"/>
      <c r="ANH134" s="70"/>
      <c r="ANI134" s="70"/>
      <c r="ANJ134" s="70"/>
      <c r="ANK134" s="70"/>
      <c r="ANL134" s="70"/>
      <c r="ANM134" s="70"/>
      <c r="ANN134" s="70"/>
      <c r="ANO134" s="70"/>
      <c r="ANP134" s="70"/>
      <c r="ANQ134" s="70"/>
      <c r="ANR134" s="70"/>
      <c r="ANS134" s="70"/>
      <c r="ANT134" s="70"/>
      <c r="ANU134" s="70"/>
      <c r="ANV134" s="70"/>
      <c r="ANW134" s="70"/>
      <c r="ANX134" s="70"/>
      <c r="ANY134" s="70"/>
      <c r="ANZ134" s="70"/>
      <c r="AOA134" s="70"/>
      <c r="AOB134" s="70"/>
      <c r="AOC134" s="70"/>
      <c r="AOD134" s="70"/>
      <c r="AOE134" s="70"/>
      <c r="AOF134" s="70"/>
      <c r="AOG134" s="70"/>
      <c r="AOH134" s="70"/>
      <c r="AOI134" s="70"/>
      <c r="AOJ134" s="70"/>
      <c r="AOK134" s="70"/>
      <c r="AOL134" s="70"/>
      <c r="AOM134" s="70"/>
      <c r="AON134" s="70"/>
      <c r="AOO134" s="70"/>
      <c r="AOP134" s="70"/>
      <c r="AOQ134" s="70"/>
      <c r="AOR134" s="70"/>
      <c r="AOS134" s="70"/>
      <c r="AOT134" s="70"/>
      <c r="AOU134" s="70"/>
      <c r="AOV134" s="70"/>
      <c r="AOW134" s="70"/>
      <c r="AOX134" s="70"/>
      <c r="AOY134" s="70"/>
      <c r="AOZ134" s="70"/>
      <c r="APA134" s="70"/>
      <c r="APB134" s="70"/>
      <c r="APC134" s="70"/>
      <c r="APD134" s="70"/>
      <c r="APE134" s="70"/>
      <c r="APF134" s="70"/>
      <c r="APG134" s="70"/>
      <c r="APH134" s="70"/>
      <c r="API134" s="70"/>
      <c r="APJ134" s="70"/>
      <c r="APK134" s="70"/>
      <c r="APL134" s="70"/>
      <c r="APM134" s="70"/>
      <c r="APN134" s="70"/>
      <c r="APO134" s="70"/>
      <c r="APP134" s="70"/>
      <c r="APQ134" s="70"/>
      <c r="APR134" s="70"/>
      <c r="APS134" s="70"/>
      <c r="APT134" s="70"/>
      <c r="APU134" s="70"/>
      <c r="APV134" s="70"/>
      <c r="APW134" s="70"/>
      <c r="APX134" s="70"/>
      <c r="APY134" s="70"/>
      <c r="APZ134" s="70"/>
      <c r="AQA134" s="70"/>
      <c r="AQB134" s="70"/>
      <c r="AQC134" s="70"/>
      <c r="AQD134" s="70"/>
      <c r="AQE134" s="70"/>
      <c r="AQF134" s="70"/>
      <c r="AQG134" s="70"/>
      <c r="AQH134" s="70"/>
      <c r="AQI134" s="70"/>
      <c r="AQJ134" s="70"/>
      <c r="AQK134" s="70"/>
      <c r="AQL134" s="70"/>
      <c r="AQM134" s="70"/>
      <c r="AQN134" s="70"/>
      <c r="AQO134" s="70"/>
      <c r="AQP134" s="70"/>
      <c r="AQQ134" s="70"/>
      <c r="AQR134" s="70"/>
      <c r="AQS134" s="70"/>
      <c r="AQT134" s="70"/>
      <c r="AQU134" s="70"/>
      <c r="AQV134" s="70"/>
      <c r="AQW134" s="70"/>
      <c r="AQX134" s="70"/>
      <c r="AQY134" s="70"/>
      <c r="AQZ134" s="70"/>
      <c r="ARA134" s="70"/>
      <c r="ARB134" s="70"/>
      <c r="ARC134" s="70"/>
      <c r="ARD134" s="70"/>
      <c r="ARE134" s="70"/>
      <c r="ARF134" s="70"/>
      <c r="ARG134" s="70"/>
      <c r="ARH134" s="70"/>
      <c r="ARI134" s="70"/>
      <c r="ARJ134" s="70"/>
      <c r="ARK134" s="70"/>
      <c r="ARL134" s="70"/>
      <c r="ARM134" s="70"/>
      <c r="ARN134" s="70"/>
      <c r="ARO134" s="70"/>
      <c r="ARP134" s="70"/>
      <c r="ARQ134" s="70"/>
      <c r="ARR134" s="70"/>
      <c r="ARS134" s="70"/>
      <c r="ART134" s="70"/>
      <c r="ARU134" s="70"/>
      <c r="ARV134" s="70"/>
      <c r="ARW134" s="70"/>
      <c r="ARX134" s="70"/>
      <c r="ARY134" s="70"/>
      <c r="ARZ134" s="70"/>
      <c r="ASA134" s="70"/>
      <c r="ASB134" s="70"/>
      <c r="ASC134" s="70"/>
      <c r="ASD134" s="70"/>
      <c r="ASE134" s="70"/>
      <c r="ASF134" s="70"/>
      <c r="ASG134" s="70"/>
      <c r="ASH134" s="70"/>
      <c r="ASI134" s="70"/>
      <c r="ASJ134" s="70"/>
      <c r="ASK134" s="70"/>
      <c r="ASL134" s="70"/>
      <c r="ASM134" s="70"/>
      <c r="ASN134" s="70"/>
      <c r="ASO134" s="70"/>
      <c r="ASP134" s="70"/>
      <c r="ASQ134" s="70"/>
      <c r="ASR134" s="70"/>
      <c r="ASS134" s="70"/>
      <c r="AST134" s="70"/>
      <c r="ASU134" s="70"/>
      <c r="ASV134" s="70"/>
      <c r="ASW134" s="70"/>
      <c r="ASX134" s="70"/>
      <c r="ASY134" s="70"/>
      <c r="ASZ134" s="70"/>
      <c r="ATA134" s="70"/>
      <c r="ATB134" s="70"/>
      <c r="ATC134" s="70"/>
      <c r="ATD134" s="70"/>
      <c r="ATE134" s="70"/>
      <c r="ATF134" s="70"/>
      <c r="ATG134" s="70"/>
      <c r="ATH134" s="70"/>
      <c r="ATI134" s="70"/>
      <c r="ATJ134" s="70"/>
      <c r="ATK134" s="70"/>
      <c r="ATL134" s="70"/>
      <c r="ATM134" s="70"/>
      <c r="ATN134" s="70"/>
      <c r="ATO134" s="70"/>
      <c r="ATP134" s="70"/>
      <c r="ATQ134" s="70"/>
      <c r="ATR134" s="70"/>
      <c r="ATS134" s="70"/>
      <c r="ATT134" s="70"/>
      <c r="ATU134" s="70"/>
      <c r="ATV134" s="70"/>
      <c r="ATW134" s="70"/>
      <c r="ATX134" s="70"/>
      <c r="ATY134" s="70"/>
      <c r="ATZ134" s="70"/>
      <c r="AUA134" s="70"/>
      <c r="AUB134" s="70"/>
      <c r="AUC134" s="70"/>
      <c r="AUD134" s="70"/>
      <c r="AUE134" s="70"/>
      <c r="AUF134" s="70"/>
      <c r="AUG134" s="70"/>
      <c r="AUH134" s="70"/>
      <c r="AUI134" s="70"/>
      <c r="AUJ134" s="70"/>
      <c r="AUK134" s="70"/>
      <c r="AUL134" s="70"/>
      <c r="AUM134" s="70"/>
      <c r="AUN134" s="70"/>
      <c r="AUO134" s="70"/>
      <c r="AUP134" s="70"/>
      <c r="AUQ134" s="70"/>
      <c r="AUR134" s="70"/>
      <c r="AUS134" s="70"/>
      <c r="AUT134" s="70"/>
      <c r="AUU134" s="70"/>
      <c r="AUV134" s="70"/>
      <c r="AUW134" s="70"/>
      <c r="AUX134" s="70"/>
      <c r="AUY134" s="70"/>
      <c r="AUZ134" s="70"/>
      <c r="AVA134" s="70"/>
      <c r="AVB134" s="70"/>
      <c r="AVC134" s="70"/>
      <c r="AVD134" s="70"/>
      <c r="AVE134" s="70"/>
      <c r="AVF134" s="70"/>
      <c r="AVG134" s="70"/>
      <c r="AVH134" s="70"/>
      <c r="AVI134" s="70"/>
      <c r="AVJ134" s="70"/>
      <c r="AVK134" s="70"/>
      <c r="AVL134" s="70"/>
      <c r="AVM134" s="70"/>
      <c r="AVN134" s="70"/>
      <c r="AVO134" s="70"/>
      <c r="AVP134" s="70"/>
      <c r="AVQ134" s="70"/>
      <c r="AVR134" s="70"/>
      <c r="AVS134" s="70"/>
      <c r="AVT134" s="70"/>
      <c r="AVU134" s="70"/>
      <c r="AVV134" s="70"/>
      <c r="AVW134" s="70"/>
      <c r="AVX134" s="70"/>
      <c r="AVY134" s="70"/>
      <c r="AVZ134" s="70"/>
      <c r="AWA134" s="70"/>
      <c r="AWB134" s="70"/>
      <c r="AWC134" s="70"/>
      <c r="AWD134" s="70"/>
      <c r="AWE134" s="70"/>
      <c r="AWF134" s="70"/>
      <c r="AWG134" s="70"/>
      <c r="AWH134" s="70"/>
      <c r="AWI134" s="70"/>
      <c r="AWJ134" s="70"/>
      <c r="AWK134" s="70"/>
      <c r="AWL134" s="70"/>
      <c r="AWM134" s="70"/>
      <c r="AWN134" s="70"/>
      <c r="AWO134" s="70"/>
      <c r="AWP134" s="70"/>
      <c r="AWQ134" s="70"/>
      <c r="AWR134" s="70"/>
      <c r="AWS134" s="70"/>
      <c r="AWT134" s="70"/>
      <c r="AWU134" s="70"/>
      <c r="AWV134" s="70"/>
      <c r="AWW134" s="70"/>
      <c r="AWX134" s="70"/>
      <c r="AWY134" s="70"/>
      <c r="AWZ134" s="70"/>
      <c r="AXA134" s="70"/>
      <c r="AXB134" s="70"/>
      <c r="AXC134" s="70"/>
      <c r="AXD134" s="70"/>
      <c r="AXE134" s="70"/>
      <c r="AXF134" s="70"/>
      <c r="AXG134" s="70"/>
      <c r="AXH134" s="70"/>
      <c r="AXI134" s="70"/>
      <c r="AXJ134" s="70"/>
      <c r="AXK134" s="70"/>
      <c r="AXL134" s="70"/>
      <c r="AXM134" s="70"/>
      <c r="AXN134" s="70"/>
      <c r="AXO134" s="70"/>
      <c r="AXP134" s="70"/>
      <c r="AXQ134" s="70"/>
      <c r="AXR134" s="70"/>
      <c r="AXS134" s="70"/>
      <c r="AXT134" s="70"/>
      <c r="AXU134" s="70"/>
      <c r="AXV134" s="70"/>
      <c r="AXW134" s="70"/>
      <c r="AXX134" s="70"/>
      <c r="AXY134" s="70"/>
      <c r="AXZ134" s="70"/>
      <c r="AYA134" s="70"/>
      <c r="AYB134" s="70"/>
      <c r="AYC134" s="70"/>
      <c r="AYD134" s="70"/>
      <c r="AYE134" s="70"/>
      <c r="AYF134" s="70"/>
      <c r="AYG134" s="70"/>
      <c r="AYH134" s="70"/>
      <c r="AYI134" s="70"/>
      <c r="AYJ134" s="70"/>
      <c r="AYK134" s="70"/>
      <c r="AYL134" s="70"/>
      <c r="AYM134" s="70"/>
      <c r="AYN134" s="70"/>
      <c r="AYO134" s="70"/>
      <c r="AYP134" s="70"/>
      <c r="AYQ134" s="70"/>
      <c r="AYR134" s="70"/>
      <c r="AYS134" s="70"/>
      <c r="AYT134" s="70"/>
      <c r="AYU134" s="70"/>
      <c r="AYV134" s="70"/>
      <c r="AYW134" s="70"/>
      <c r="AYX134" s="70"/>
      <c r="AYY134" s="70"/>
      <c r="AYZ134" s="70"/>
      <c r="AZA134" s="70"/>
      <c r="AZB134" s="70"/>
      <c r="AZC134" s="70"/>
      <c r="AZD134" s="70"/>
      <c r="AZE134" s="70"/>
      <c r="AZF134" s="70"/>
      <c r="AZG134" s="70"/>
      <c r="AZH134" s="70"/>
      <c r="AZI134" s="70"/>
      <c r="AZJ134" s="70"/>
      <c r="AZK134" s="70"/>
      <c r="AZL134" s="70"/>
      <c r="AZM134" s="70"/>
      <c r="AZN134" s="70"/>
      <c r="AZO134" s="70"/>
      <c r="AZP134" s="70"/>
      <c r="AZQ134" s="70"/>
      <c r="AZR134" s="70"/>
      <c r="AZS134" s="70"/>
      <c r="AZT134" s="70"/>
      <c r="AZU134" s="70"/>
      <c r="AZV134" s="70"/>
      <c r="AZW134" s="70"/>
      <c r="AZX134" s="70"/>
      <c r="AZY134" s="70"/>
      <c r="AZZ134" s="70"/>
      <c r="BAA134" s="70"/>
      <c r="BAB134" s="70"/>
      <c r="BAC134" s="70"/>
      <c r="BAD134" s="70"/>
      <c r="BAE134" s="70"/>
      <c r="BAF134" s="70"/>
      <c r="BAG134" s="70"/>
      <c r="BAH134" s="70"/>
      <c r="BAI134" s="70"/>
      <c r="BAJ134" s="70"/>
      <c r="BAK134" s="70"/>
      <c r="BAL134" s="70"/>
      <c r="BAM134" s="70"/>
      <c r="BAN134" s="70"/>
      <c r="BAO134" s="70"/>
      <c r="BAP134" s="70"/>
      <c r="BAQ134" s="70"/>
      <c r="BAR134" s="70"/>
      <c r="BAS134" s="70"/>
      <c r="BAT134" s="70"/>
      <c r="BAU134" s="70"/>
      <c r="BAV134" s="70"/>
      <c r="BAW134" s="70"/>
      <c r="BAX134" s="70"/>
      <c r="BAY134" s="70"/>
      <c r="BAZ134" s="70"/>
      <c r="BBA134" s="70"/>
      <c r="BBB134" s="70"/>
      <c r="BBC134" s="70"/>
      <c r="BBD134" s="70"/>
      <c r="BBE134" s="70"/>
      <c r="BBF134" s="70"/>
      <c r="BBG134" s="70"/>
      <c r="BBH134" s="70"/>
      <c r="BBI134" s="70"/>
      <c r="BBJ134" s="70"/>
      <c r="BBK134" s="70"/>
      <c r="BBL134" s="70"/>
      <c r="BBM134" s="70"/>
      <c r="BBN134" s="70"/>
      <c r="BBO134" s="70"/>
      <c r="BBP134" s="70"/>
      <c r="BBQ134" s="70"/>
      <c r="BBR134" s="70"/>
      <c r="BBS134" s="70"/>
      <c r="BBT134" s="70"/>
      <c r="BBU134" s="70"/>
      <c r="BBV134" s="70"/>
      <c r="BBW134" s="70"/>
      <c r="BBX134" s="70"/>
      <c r="BBY134" s="70"/>
      <c r="BBZ134" s="70"/>
      <c r="BCA134" s="70"/>
      <c r="BCB134" s="70"/>
      <c r="BCC134" s="70"/>
      <c r="BCD134" s="70"/>
      <c r="BCE134" s="70"/>
      <c r="BCF134" s="70"/>
      <c r="BCG134" s="70"/>
      <c r="BCH134" s="70"/>
      <c r="BCI134" s="70"/>
      <c r="BCJ134" s="70"/>
      <c r="BCK134" s="70"/>
      <c r="BCL134" s="70"/>
      <c r="BCM134" s="70"/>
      <c r="BCN134" s="70"/>
      <c r="BCO134" s="70"/>
      <c r="BCP134" s="70"/>
      <c r="BCQ134" s="70"/>
      <c r="BCR134" s="70"/>
      <c r="BCS134" s="70"/>
      <c r="BCT134" s="70"/>
      <c r="BCU134" s="70"/>
      <c r="BCV134" s="70"/>
      <c r="BCW134" s="70"/>
    </row>
    <row r="135" spans="1:1453" s="69" customFormat="1" ht="28.5" customHeight="1" x14ac:dyDescent="0.25">
      <c r="A135" s="50">
        <v>12</v>
      </c>
      <c r="B135" s="71" t="s">
        <v>297</v>
      </c>
      <c r="C135" s="71" t="s">
        <v>298</v>
      </c>
      <c r="D135" s="52">
        <v>2849500</v>
      </c>
      <c r="E135" s="71" t="s">
        <v>299</v>
      </c>
      <c r="F135" s="71" t="s">
        <v>300</v>
      </c>
      <c r="G135" s="105" t="s">
        <v>746</v>
      </c>
      <c r="H135" s="106">
        <v>13418599</v>
      </c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70"/>
      <c r="CI135" s="70"/>
      <c r="CJ135" s="70"/>
      <c r="CK135" s="70"/>
      <c r="CL135" s="70"/>
      <c r="CM135" s="70"/>
      <c r="CN135" s="70"/>
      <c r="CO135" s="70"/>
      <c r="CP135" s="70"/>
      <c r="CQ135" s="70"/>
      <c r="CR135" s="70"/>
      <c r="CS135" s="70"/>
      <c r="CT135" s="70"/>
      <c r="CU135" s="70"/>
      <c r="CV135" s="70"/>
      <c r="CW135" s="70"/>
      <c r="CX135" s="70"/>
      <c r="CY135" s="70"/>
      <c r="CZ135" s="70"/>
      <c r="DA135" s="70"/>
      <c r="DB135" s="70"/>
      <c r="DC135" s="70"/>
      <c r="DD135" s="70"/>
      <c r="DE135" s="70"/>
      <c r="DF135" s="70"/>
      <c r="DG135" s="70"/>
      <c r="DH135" s="70"/>
      <c r="DI135" s="70"/>
      <c r="DJ135" s="70"/>
      <c r="DK135" s="70"/>
      <c r="DL135" s="70"/>
      <c r="DM135" s="70"/>
      <c r="DN135" s="70"/>
      <c r="DO135" s="70"/>
      <c r="DP135" s="70"/>
      <c r="DQ135" s="70"/>
      <c r="DR135" s="70"/>
      <c r="DS135" s="70"/>
      <c r="DT135" s="70"/>
      <c r="DU135" s="70"/>
      <c r="DV135" s="70"/>
      <c r="DW135" s="70"/>
      <c r="DX135" s="70"/>
      <c r="DY135" s="70"/>
      <c r="DZ135" s="70"/>
      <c r="EA135" s="70"/>
      <c r="EB135" s="70"/>
      <c r="EC135" s="70"/>
      <c r="ED135" s="70"/>
      <c r="EE135" s="70"/>
      <c r="EF135" s="70"/>
      <c r="EG135" s="70"/>
      <c r="EH135" s="70"/>
      <c r="EI135" s="70"/>
      <c r="EJ135" s="70"/>
      <c r="EK135" s="70"/>
      <c r="EL135" s="70"/>
      <c r="EM135" s="70"/>
      <c r="EN135" s="70"/>
      <c r="EO135" s="70"/>
      <c r="EP135" s="70"/>
      <c r="EQ135" s="70"/>
      <c r="ER135" s="70"/>
      <c r="ES135" s="70"/>
      <c r="ET135" s="70"/>
      <c r="EU135" s="70"/>
      <c r="EV135" s="70"/>
      <c r="EW135" s="70"/>
      <c r="EX135" s="70"/>
      <c r="EY135" s="70"/>
      <c r="EZ135" s="70"/>
      <c r="FA135" s="70"/>
      <c r="FB135" s="70"/>
      <c r="FC135" s="70"/>
      <c r="FD135" s="70"/>
      <c r="FE135" s="70"/>
      <c r="FF135" s="70"/>
      <c r="FG135" s="70"/>
      <c r="FH135" s="70"/>
      <c r="FI135" s="70"/>
      <c r="FJ135" s="70"/>
      <c r="FK135" s="70"/>
      <c r="FL135" s="70"/>
      <c r="FM135" s="70"/>
      <c r="FN135" s="70"/>
      <c r="FO135" s="70"/>
      <c r="FP135" s="70"/>
      <c r="FQ135" s="70"/>
      <c r="FR135" s="70"/>
      <c r="FS135" s="70"/>
      <c r="FT135" s="70"/>
      <c r="FU135" s="70"/>
      <c r="FV135" s="70"/>
      <c r="FW135" s="70"/>
      <c r="FX135" s="70"/>
      <c r="FY135" s="70"/>
      <c r="FZ135" s="70"/>
      <c r="GA135" s="70"/>
      <c r="GB135" s="70"/>
      <c r="GC135" s="70"/>
      <c r="GD135" s="70"/>
      <c r="GE135" s="70"/>
      <c r="GF135" s="70"/>
      <c r="GG135" s="70"/>
      <c r="GH135" s="70"/>
      <c r="GI135" s="70"/>
      <c r="GJ135" s="70"/>
      <c r="GK135" s="70"/>
      <c r="GL135" s="70"/>
      <c r="GM135" s="70"/>
      <c r="GN135" s="70"/>
      <c r="GO135" s="70"/>
      <c r="GP135" s="70"/>
      <c r="GQ135" s="70"/>
      <c r="GR135" s="70"/>
      <c r="GS135" s="70"/>
      <c r="GT135" s="70"/>
      <c r="GU135" s="70"/>
      <c r="GV135" s="70"/>
      <c r="GW135" s="70"/>
      <c r="GX135" s="70"/>
      <c r="GY135" s="70"/>
      <c r="GZ135" s="70"/>
      <c r="HA135" s="70"/>
      <c r="HB135" s="70"/>
      <c r="HC135" s="70"/>
      <c r="HD135" s="70"/>
      <c r="HE135" s="70"/>
      <c r="HF135" s="70"/>
      <c r="HG135" s="70"/>
      <c r="HH135" s="70"/>
      <c r="HI135" s="70"/>
      <c r="HJ135" s="70"/>
      <c r="HK135" s="70"/>
      <c r="HL135" s="70"/>
      <c r="HM135" s="70"/>
      <c r="HN135" s="70"/>
      <c r="HO135" s="70"/>
      <c r="HP135" s="70"/>
      <c r="HQ135" s="70"/>
      <c r="HR135" s="70"/>
      <c r="HS135" s="70"/>
      <c r="HT135" s="70"/>
      <c r="HU135" s="70"/>
      <c r="HV135" s="70"/>
      <c r="HW135" s="70"/>
      <c r="HX135" s="70"/>
      <c r="HY135" s="70"/>
      <c r="HZ135" s="70"/>
      <c r="IA135" s="70"/>
      <c r="IB135" s="70"/>
      <c r="IC135" s="70"/>
      <c r="ID135" s="70"/>
      <c r="IE135" s="70"/>
      <c r="IF135" s="70"/>
      <c r="IG135" s="70"/>
      <c r="IH135" s="70"/>
      <c r="II135" s="70"/>
      <c r="IJ135" s="70"/>
      <c r="IK135" s="70"/>
      <c r="IL135" s="70"/>
      <c r="IM135" s="70"/>
      <c r="IN135" s="70"/>
      <c r="IO135" s="70"/>
      <c r="IP135" s="70"/>
      <c r="IQ135" s="70"/>
      <c r="IR135" s="70"/>
      <c r="IS135" s="70"/>
      <c r="IT135" s="70"/>
      <c r="IU135" s="70"/>
      <c r="IV135" s="70"/>
      <c r="IW135" s="70"/>
      <c r="IX135" s="70"/>
      <c r="IY135" s="70"/>
      <c r="IZ135" s="70"/>
      <c r="JA135" s="70"/>
      <c r="JB135" s="70"/>
      <c r="JC135" s="70"/>
      <c r="JD135" s="70"/>
      <c r="JE135" s="70"/>
      <c r="JF135" s="70"/>
      <c r="JG135" s="70"/>
      <c r="JH135" s="70"/>
      <c r="JI135" s="70"/>
      <c r="JJ135" s="70"/>
      <c r="JK135" s="70"/>
      <c r="JL135" s="70"/>
      <c r="JM135" s="70"/>
      <c r="JN135" s="70"/>
      <c r="JO135" s="70"/>
      <c r="JP135" s="70"/>
      <c r="JQ135" s="70"/>
      <c r="JR135" s="70"/>
      <c r="JS135" s="70"/>
      <c r="JT135" s="70"/>
      <c r="JU135" s="70"/>
      <c r="JV135" s="70"/>
      <c r="JW135" s="70"/>
      <c r="JX135" s="70"/>
      <c r="JY135" s="70"/>
      <c r="JZ135" s="70"/>
      <c r="KA135" s="70"/>
      <c r="KB135" s="70"/>
      <c r="KC135" s="70"/>
      <c r="KD135" s="70"/>
      <c r="KE135" s="70"/>
      <c r="KF135" s="70"/>
      <c r="KG135" s="70"/>
      <c r="KH135" s="70"/>
      <c r="KI135" s="70"/>
      <c r="KJ135" s="70"/>
      <c r="KK135" s="70"/>
      <c r="KL135" s="70"/>
      <c r="KM135" s="70"/>
      <c r="KN135" s="70"/>
      <c r="KO135" s="70"/>
      <c r="KP135" s="70"/>
      <c r="KQ135" s="70"/>
      <c r="KR135" s="70"/>
      <c r="KS135" s="70"/>
      <c r="KT135" s="70"/>
      <c r="KU135" s="70"/>
      <c r="KV135" s="70"/>
      <c r="KW135" s="70"/>
      <c r="KX135" s="70"/>
      <c r="KY135" s="70"/>
      <c r="KZ135" s="70"/>
      <c r="LA135" s="70"/>
      <c r="LB135" s="70"/>
      <c r="LC135" s="70"/>
      <c r="LD135" s="70"/>
      <c r="LE135" s="70"/>
      <c r="LF135" s="70"/>
      <c r="LG135" s="70"/>
      <c r="LH135" s="70"/>
      <c r="LI135" s="70"/>
      <c r="LJ135" s="70"/>
      <c r="LK135" s="70"/>
      <c r="LL135" s="70"/>
      <c r="LM135" s="70"/>
      <c r="LN135" s="70"/>
      <c r="LO135" s="70"/>
      <c r="LP135" s="70"/>
      <c r="LQ135" s="70"/>
      <c r="LR135" s="70"/>
      <c r="LS135" s="70"/>
      <c r="LT135" s="70"/>
      <c r="LU135" s="70"/>
      <c r="LV135" s="70"/>
      <c r="LW135" s="70"/>
      <c r="LX135" s="70"/>
      <c r="LY135" s="70"/>
      <c r="LZ135" s="70"/>
      <c r="MA135" s="70"/>
      <c r="MB135" s="70"/>
      <c r="MC135" s="70"/>
      <c r="MD135" s="70"/>
      <c r="ME135" s="70"/>
      <c r="MF135" s="70"/>
      <c r="MG135" s="70"/>
      <c r="MH135" s="70"/>
      <c r="MI135" s="70"/>
      <c r="MJ135" s="70"/>
      <c r="MK135" s="70"/>
      <c r="ML135" s="70"/>
      <c r="MM135" s="70"/>
      <c r="MN135" s="70"/>
      <c r="MO135" s="70"/>
      <c r="MP135" s="70"/>
      <c r="MQ135" s="70"/>
      <c r="MR135" s="70"/>
      <c r="MS135" s="70"/>
      <c r="MT135" s="70"/>
      <c r="MU135" s="70"/>
      <c r="MV135" s="70"/>
      <c r="MW135" s="70"/>
      <c r="MX135" s="70"/>
      <c r="MY135" s="70"/>
      <c r="MZ135" s="70"/>
      <c r="NA135" s="70"/>
      <c r="NB135" s="70"/>
      <c r="NC135" s="70"/>
      <c r="ND135" s="70"/>
      <c r="NE135" s="70"/>
      <c r="NF135" s="70"/>
      <c r="NG135" s="70"/>
      <c r="NH135" s="70"/>
      <c r="NI135" s="70"/>
      <c r="NJ135" s="70"/>
      <c r="NK135" s="70"/>
      <c r="NL135" s="70"/>
      <c r="NM135" s="70"/>
      <c r="NN135" s="70"/>
      <c r="NO135" s="70"/>
      <c r="NP135" s="70"/>
      <c r="NQ135" s="70"/>
      <c r="NR135" s="70"/>
      <c r="NS135" s="70"/>
      <c r="NT135" s="70"/>
      <c r="NU135" s="70"/>
      <c r="NV135" s="70"/>
      <c r="NW135" s="70"/>
      <c r="NX135" s="70"/>
      <c r="NY135" s="70"/>
      <c r="NZ135" s="70"/>
      <c r="OA135" s="70"/>
      <c r="OB135" s="70"/>
      <c r="OC135" s="70"/>
      <c r="OD135" s="70"/>
      <c r="OE135" s="70"/>
      <c r="OF135" s="70"/>
      <c r="OG135" s="70"/>
      <c r="OH135" s="70"/>
      <c r="OI135" s="70"/>
      <c r="OJ135" s="70"/>
      <c r="OK135" s="70"/>
      <c r="OL135" s="70"/>
      <c r="OM135" s="70"/>
      <c r="ON135" s="70"/>
      <c r="OO135" s="70"/>
      <c r="OP135" s="70"/>
      <c r="OQ135" s="70"/>
      <c r="OR135" s="70"/>
      <c r="OS135" s="70"/>
      <c r="OT135" s="70"/>
      <c r="OU135" s="70"/>
      <c r="OV135" s="70"/>
      <c r="OW135" s="70"/>
      <c r="OX135" s="70"/>
      <c r="OY135" s="70"/>
      <c r="OZ135" s="70"/>
      <c r="PA135" s="70"/>
      <c r="PB135" s="70"/>
      <c r="PC135" s="70"/>
      <c r="PD135" s="70"/>
      <c r="PE135" s="70"/>
      <c r="PF135" s="70"/>
      <c r="PG135" s="70"/>
      <c r="PH135" s="70"/>
      <c r="PI135" s="70"/>
      <c r="PJ135" s="70"/>
      <c r="PK135" s="70"/>
      <c r="PL135" s="70"/>
      <c r="PM135" s="70"/>
      <c r="PN135" s="70"/>
      <c r="PO135" s="70"/>
      <c r="PP135" s="70"/>
      <c r="PQ135" s="70"/>
      <c r="PR135" s="70"/>
      <c r="PS135" s="70"/>
      <c r="PT135" s="70"/>
      <c r="PU135" s="70"/>
      <c r="PV135" s="70"/>
      <c r="PW135" s="70"/>
      <c r="PX135" s="70"/>
      <c r="PY135" s="70"/>
      <c r="PZ135" s="70"/>
      <c r="QA135" s="70"/>
      <c r="QB135" s="70"/>
      <c r="QC135" s="70"/>
      <c r="QD135" s="70"/>
      <c r="QE135" s="70"/>
      <c r="QF135" s="70"/>
      <c r="QG135" s="70"/>
      <c r="QH135" s="70"/>
      <c r="QI135" s="70"/>
      <c r="QJ135" s="70"/>
      <c r="QK135" s="70"/>
      <c r="QL135" s="70"/>
      <c r="QM135" s="70"/>
      <c r="QN135" s="70"/>
      <c r="QO135" s="70"/>
      <c r="QP135" s="70"/>
      <c r="QQ135" s="70"/>
      <c r="QR135" s="70"/>
      <c r="QS135" s="70"/>
      <c r="QT135" s="70"/>
      <c r="QU135" s="70"/>
      <c r="QV135" s="70"/>
      <c r="QW135" s="70"/>
      <c r="QX135" s="70"/>
      <c r="QY135" s="70"/>
      <c r="QZ135" s="70"/>
      <c r="RA135" s="70"/>
      <c r="RB135" s="70"/>
      <c r="RC135" s="70"/>
      <c r="RD135" s="70"/>
      <c r="RE135" s="70"/>
      <c r="RF135" s="70"/>
      <c r="RG135" s="70"/>
      <c r="RH135" s="70"/>
      <c r="RI135" s="70"/>
      <c r="RJ135" s="70"/>
      <c r="RK135" s="70"/>
      <c r="RL135" s="70"/>
      <c r="RM135" s="70"/>
      <c r="RN135" s="70"/>
      <c r="RO135" s="70"/>
      <c r="RP135" s="70"/>
      <c r="RQ135" s="70"/>
      <c r="RR135" s="70"/>
      <c r="RS135" s="70"/>
      <c r="RT135" s="70"/>
      <c r="RU135" s="70"/>
      <c r="RV135" s="70"/>
      <c r="RW135" s="70"/>
      <c r="RX135" s="70"/>
      <c r="RY135" s="70"/>
      <c r="RZ135" s="70"/>
      <c r="SA135" s="70"/>
      <c r="SB135" s="70"/>
      <c r="SC135" s="70"/>
      <c r="SD135" s="70"/>
      <c r="SE135" s="70"/>
      <c r="SF135" s="70"/>
      <c r="SG135" s="70"/>
      <c r="SH135" s="70"/>
      <c r="SI135" s="70"/>
      <c r="SJ135" s="70"/>
      <c r="SK135" s="70"/>
      <c r="SL135" s="70"/>
      <c r="SM135" s="70"/>
      <c r="SN135" s="70"/>
      <c r="SO135" s="70"/>
      <c r="SP135" s="70"/>
      <c r="SQ135" s="70"/>
      <c r="SR135" s="70"/>
      <c r="SS135" s="70"/>
      <c r="ST135" s="70"/>
      <c r="SU135" s="70"/>
      <c r="SV135" s="70"/>
      <c r="SW135" s="70"/>
      <c r="SX135" s="70"/>
      <c r="SY135" s="70"/>
      <c r="SZ135" s="70"/>
      <c r="TA135" s="70"/>
      <c r="TB135" s="70"/>
      <c r="TC135" s="70"/>
      <c r="TD135" s="70"/>
      <c r="TE135" s="70"/>
      <c r="TF135" s="70"/>
      <c r="TG135" s="70"/>
      <c r="TH135" s="70"/>
      <c r="TI135" s="70"/>
      <c r="TJ135" s="70"/>
      <c r="TK135" s="70"/>
      <c r="TL135" s="70"/>
      <c r="TM135" s="70"/>
      <c r="TN135" s="70"/>
      <c r="TO135" s="70"/>
      <c r="TP135" s="70"/>
      <c r="TQ135" s="70"/>
      <c r="TR135" s="70"/>
      <c r="TS135" s="70"/>
      <c r="TT135" s="70"/>
      <c r="TU135" s="70"/>
      <c r="TV135" s="70"/>
      <c r="TW135" s="70"/>
      <c r="TX135" s="70"/>
      <c r="TY135" s="70"/>
      <c r="TZ135" s="70"/>
      <c r="UA135" s="70"/>
      <c r="UB135" s="70"/>
      <c r="UC135" s="70"/>
      <c r="UD135" s="70"/>
      <c r="UE135" s="70"/>
      <c r="UF135" s="70"/>
      <c r="UG135" s="70"/>
      <c r="UH135" s="70"/>
      <c r="UI135" s="70"/>
      <c r="UJ135" s="70"/>
      <c r="UK135" s="70"/>
      <c r="UL135" s="70"/>
      <c r="UM135" s="70"/>
      <c r="UN135" s="70"/>
      <c r="UO135" s="70"/>
      <c r="UP135" s="70"/>
      <c r="UQ135" s="70"/>
      <c r="UR135" s="70"/>
      <c r="US135" s="70"/>
      <c r="UT135" s="70"/>
      <c r="UU135" s="70"/>
      <c r="UV135" s="70"/>
      <c r="UW135" s="70"/>
      <c r="UX135" s="70"/>
      <c r="UY135" s="70"/>
      <c r="UZ135" s="70"/>
      <c r="VA135" s="70"/>
      <c r="VB135" s="70"/>
      <c r="VC135" s="70"/>
      <c r="VD135" s="70"/>
      <c r="VE135" s="70"/>
      <c r="VF135" s="70"/>
      <c r="VG135" s="70"/>
      <c r="VH135" s="70"/>
      <c r="VI135" s="70"/>
      <c r="VJ135" s="70"/>
      <c r="VK135" s="70"/>
      <c r="VL135" s="70"/>
      <c r="VM135" s="70"/>
      <c r="VN135" s="70"/>
      <c r="VO135" s="70"/>
      <c r="VP135" s="70"/>
      <c r="VQ135" s="70"/>
      <c r="VR135" s="70"/>
      <c r="VS135" s="70"/>
      <c r="VT135" s="70"/>
      <c r="VU135" s="70"/>
      <c r="VV135" s="70"/>
      <c r="VW135" s="70"/>
      <c r="VX135" s="70"/>
      <c r="VY135" s="70"/>
      <c r="VZ135" s="70"/>
      <c r="WA135" s="70"/>
      <c r="WB135" s="70"/>
      <c r="WC135" s="70"/>
      <c r="WD135" s="70"/>
      <c r="WE135" s="70"/>
      <c r="WF135" s="70"/>
      <c r="WG135" s="70"/>
      <c r="WH135" s="70"/>
      <c r="WI135" s="70"/>
      <c r="WJ135" s="70"/>
      <c r="WK135" s="70"/>
      <c r="WL135" s="70"/>
      <c r="WM135" s="70"/>
      <c r="WN135" s="70"/>
      <c r="WO135" s="70"/>
      <c r="WP135" s="70"/>
      <c r="WQ135" s="70"/>
      <c r="WR135" s="70"/>
      <c r="WS135" s="70"/>
      <c r="WT135" s="70"/>
      <c r="WU135" s="70"/>
      <c r="WV135" s="70"/>
      <c r="WW135" s="70"/>
      <c r="WX135" s="70"/>
      <c r="WY135" s="70"/>
      <c r="WZ135" s="70"/>
      <c r="XA135" s="70"/>
      <c r="XB135" s="70"/>
      <c r="XC135" s="70"/>
      <c r="XD135" s="70"/>
      <c r="XE135" s="70"/>
      <c r="XF135" s="70"/>
      <c r="XG135" s="70"/>
      <c r="XH135" s="70"/>
      <c r="XI135" s="70"/>
      <c r="XJ135" s="70"/>
      <c r="XK135" s="70"/>
      <c r="XL135" s="70"/>
      <c r="XM135" s="70"/>
      <c r="XN135" s="70"/>
      <c r="XO135" s="70"/>
      <c r="XP135" s="70"/>
      <c r="XQ135" s="70"/>
      <c r="XR135" s="70"/>
      <c r="XS135" s="70"/>
      <c r="XT135" s="70"/>
      <c r="XU135" s="70"/>
      <c r="XV135" s="70"/>
      <c r="XW135" s="70"/>
      <c r="XX135" s="70"/>
      <c r="XY135" s="70"/>
      <c r="XZ135" s="70"/>
      <c r="YA135" s="70"/>
      <c r="YB135" s="70"/>
      <c r="YC135" s="70"/>
      <c r="YD135" s="70"/>
      <c r="YE135" s="70"/>
      <c r="YF135" s="70"/>
      <c r="YG135" s="70"/>
      <c r="YH135" s="70"/>
      <c r="YI135" s="70"/>
      <c r="YJ135" s="70"/>
      <c r="YK135" s="70"/>
      <c r="YL135" s="70"/>
      <c r="YM135" s="70"/>
      <c r="YN135" s="70"/>
      <c r="YO135" s="70"/>
      <c r="YP135" s="70"/>
      <c r="YQ135" s="70"/>
      <c r="YR135" s="70"/>
      <c r="YS135" s="70"/>
      <c r="YT135" s="70"/>
      <c r="YU135" s="70"/>
      <c r="YV135" s="70"/>
      <c r="YW135" s="70"/>
      <c r="YX135" s="70"/>
      <c r="YY135" s="70"/>
      <c r="YZ135" s="70"/>
      <c r="ZA135" s="70"/>
      <c r="ZB135" s="70"/>
      <c r="ZC135" s="70"/>
      <c r="ZD135" s="70"/>
      <c r="ZE135" s="70"/>
      <c r="ZF135" s="70"/>
      <c r="ZG135" s="70"/>
      <c r="ZH135" s="70"/>
      <c r="ZI135" s="70"/>
      <c r="ZJ135" s="70"/>
      <c r="ZK135" s="70"/>
      <c r="ZL135" s="70"/>
      <c r="ZM135" s="70"/>
      <c r="ZN135" s="70"/>
      <c r="ZO135" s="70"/>
      <c r="ZP135" s="70"/>
      <c r="ZQ135" s="70"/>
      <c r="ZR135" s="70"/>
      <c r="ZS135" s="70"/>
      <c r="ZT135" s="70"/>
      <c r="ZU135" s="70"/>
      <c r="ZV135" s="70"/>
      <c r="ZW135" s="70"/>
      <c r="ZX135" s="70"/>
      <c r="ZY135" s="70"/>
      <c r="ZZ135" s="70"/>
      <c r="AAA135" s="70"/>
      <c r="AAB135" s="70"/>
      <c r="AAC135" s="70"/>
      <c r="AAD135" s="70"/>
      <c r="AAE135" s="70"/>
      <c r="AAF135" s="70"/>
      <c r="AAG135" s="70"/>
      <c r="AAH135" s="70"/>
      <c r="AAI135" s="70"/>
      <c r="AAJ135" s="70"/>
      <c r="AAK135" s="70"/>
      <c r="AAL135" s="70"/>
      <c r="AAM135" s="70"/>
      <c r="AAN135" s="70"/>
      <c r="AAO135" s="70"/>
      <c r="AAP135" s="70"/>
      <c r="AAQ135" s="70"/>
      <c r="AAR135" s="70"/>
      <c r="AAS135" s="70"/>
      <c r="AAT135" s="70"/>
      <c r="AAU135" s="70"/>
      <c r="AAV135" s="70"/>
      <c r="AAW135" s="70"/>
      <c r="AAX135" s="70"/>
      <c r="AAY135" s="70"/>
      <c r="AAZ135" s="70"/>
      <c r="ABA135" s="70"/>
      <c r="ABB135" s="70"/>
      <c r="ABC135" s="70"/>
      <c r="ABD135" s="70"/>
      <c r="ABE135" s="70"/>
      <c r="ABF135" s="70"/>
      <c r="ABG135" s="70"/>
      <c r="ABH135" s="70"/>
      <c r="ABI135" s="70"/>
      <c r="ABJ135" s="70"/>
      <c r="ABK135" s="70"/>
      <c r="ABL135" s="70"/>
      <c r="ABM135" s="70"/>
      <c r="ABN135" s="70"/>
      <c r="ABO135" s="70"/>
      <c r="ABP135" s="70"/>
      <c r="ABQ135" s="70"/>
      <c r="ABR135" s="70"/>
      <c r="ABS135" s="70"/>
      <c r="ABT135" s="70"/>
      <c r="ABU135" s="70"/>
      <c r="ABV135" s="70"/>
      <c r="ABW135" s="70"/>
      <c r="ABX135" s="70"/>
      <c r="ABY135" s="70"/>
      <c r="ABZ135" s="70"/>
      <c r="ACA135" s="70"/>
      <c r="ACB135" s="70"/>
      <c r="ACC135" s="70"/>
      <c r="ACD135" s="70"/>
      <c r="ACE135" s="70"/>
      <c r="ACF135" s="70"/>
      <c r="ACG135" s="70"/>
      <c r="ACH135" s="70"/>
      <c r="ACI135" s="70"/>
      <c r="ACJ135" s="70"/>
      <c r="ACK135" s="70"/>
      <c r="ACL135" s="70"/>
      <c r="ACM135" s="70"/>
      <c r="ACN135" s="70"/>
      <c r="ACO135" s="70"/>
      <c r="ACP135" s="70"/>
      <c r="ACQ135" s="70"/>
      <c r="ACR135" s="70"/>
      <c r="ACS135" s="70"/>
      <c r="ACT135" s="70"/>
      <c r="ACU135" s="70"/>
      <c r="ACV135" s="70"/>
      <c r="ACW135" s="70"/>
      <c r="ACX135" s="70"/>
      <c r="ACY135" s="70"/>
      <c r="ACZ135" s="70"/>
      <c r="ADA135" s="70"/>
      <c r="ADB135" s="70"/>
      <c r="ADC135" s="70"/>
      <c r="ADD135" s="70"/>
      <c r="ADE135" s="70"/>
      <c r="ADF135" s="70"/>
      <c r="ADG135" s="70"/>
      <c r="ADH135" s="70"/>
      <c r="ADI135" s="70"/>
      <c r="ADJ135" s="70"/>
      <c r="ADK135" s="70"/>
      <c r="ADL135" s="70"/>
      <c r="ADM135" s="70"/>
      <c r="ADN135" s="70"/>
      <c r="ADO135" s="70"/>
      <c r="ADP135" s="70"/>
      <c r="ADQ135" s="70"/>
      <c r="ADR135" s="70"/>
      <c r="ADS135" s="70"/>
      <c r="ADT135" s="70"/>
      <c r="ADU135" s="70"/>
      <c r="ADV135" s="70"/>
      <c r="ADW135" s="70"/>
      <c r="ADX135" s="70"/>
      <c r="ADY135" s="70"/>
      <c r="ADZ135" s="70"/>
      <c r="AEA135" s="70"/>
      <c r="AEB135" s="70"/>
      <c r="AEC135" s="70"/>
      <c r="AED135" s="70"/>
      <c r="AEE135" s="70"/>
      <c r="AEF135" s="70"/>
      <c r="AEG135" s="70"/>
      <c r="AEH135" s="70"/>
      <c r="AEI135" s="70"/>
      <c r="AEJ135" s="70"/>
      <c r="AEK135" s="70"/>
      <c r="AEL135" s="70"/>
      <c r="AEM135" s="70"/>
      <c r="AEN135" s="70"/>
      <c r="AEO135" s="70"/>
      <c r="AEP135" s="70"/>
      <c r="AEQ135" s="70"/>
      <c r="AER135" s="70"/>
      <c r="AES135" s="70"/>
      <c r="AET135" s="70"/>
      <c r="AEU135" s="70"/>
      <c r="AEV135" s="70"/>
      <c r="AEW135" s="70"/>
      <c r="AEX135" s="70"/>
      <c r="AEY135" s="70"/>
      <c r="AEZ135" s="70"/>
      <c r="AFA135" s="70"/>
      <c r="AFB135" s="70"/>
      <c r="AFC135" s="70"/>
      <c r="AFD135" s="70"/>
      <c r="AFE135" s="70"/>
      <c r="AFF135" s="70"/>
      <c r="AFG135" s="70"/>
      <c r="AFH135" s="70"/>
      <c r="AFI135" s="70"/>
      <c r="AFJ135" s="70"/>
      <c r="AFK135" s="70"/>
      <c r="AFL135" s="70"/>
      <c r="AFM135" s="70"/>
      <c r="AFN135" s="70"/>
      <c r="AFO135" s="70"/>
      <c r="AFP135" s="70"/>
      <c r="AFQ135" s="70"/>
      <c r="AFR135" s="70"/>
      <c r="AFS135" s="70"/>
      <c r="AFT135" s="70"/>
      <c r="AFU135" s="70"/>
      <c r="AFV135" s="70"/>
      <c r="AFW135" s="70"/>
      <c r="AFX135" s="70"/>
      <c r="AFY135" s="70"/>
      <c r="AFZ135" s="70"/>
      <c r="AGA135" s="70"/>
      <c r="AGB135" s="70"/>
      <c r="AGC135" s="70"/>
      <c r="AGD135" s="70"/>
      <c r="AGE135" s="70"/>
      <c r="AGF135" s="70"/>
      <c r="AGG135" s="70"/>
      <c r="AGH135" s="70"/>
      <c r="AGI135" s="70"/>
      <c r="AGJ135" s="70"/>
      <c r="AGK135" s="70"/>
      <c r="AGL135" s="70"/>
      <c r="AGM135" s="70"/>
      <c r="AGN135" s="70"/>
      <c r="AGO135" s="70"/>
      <c r="AGP135" s="70"/>
      <c r="AGQ135" s="70"/>
      <c r="AGR135" s="70"/>
      <c r="AGS135" s="70"/>
      <c r="AGT135" s="70"/>
      <c r="AGU135" s="70"/>
      <c r="AGV135" s="70"/>
      <c r="AGW135" s="70"/>
      <c r="AGX135" s="70"/>
      <c r="AGY135" s="70"/>
      <c r="AGZ135" s="70"/>
      <c r="AHA135" s="70"/>
      <c r="AHB135" s="70"/>
      <c r="AHC135" s="70"/>
      <c r="AHD135" s="70"/>
      <c r="AHE135" s="70"/>
      <c r="AHF135" s="70"/>
      <c r="AHG135" s="70"/>
      <c r="AHH135" s="70"/>
      <c r="AHI135" s="70"/>
      <c r="AHJ135" s="70"/>
      <c r="AHK135" s="70"/>
      <c r="AHL135" s="70"/>
      <c r="AHM135" s="70"/>
      <c r="AHN135" s="70"/>
      <c r="AHO135" s="70"/>
      <c r="AHP135" s="70"/>
      <c r="AHQ135" s="70"/>
      <c r="AHR135" s="70"/>
      <c r="AHS135" s="70"/>
      <c r="AHT135" s="70"/>
      <c r="AHU135" s="70"/>
      <c r="AHV135" s="70"/>
      <c r="AHW135" s="70"/>
      <c r="AHX135" s="70"/>
      <c r="AHY135" s="70"/>
      <c r="AHZ135" s="70"/>
      <c r="AIA135" s="70"/>
      <c r="AIB135" s="70"/>
      <c r="AIC135" s="70"/>
      <c r="AID135" s="70"/>
      <c r="AIE135" s="70"/>
      <c r="AIF135" s="70"/>
      <c r="AIG135" s="70"/>
      <c r="AIH135" s="70"/>
      <c r="AII135" s="70"/>
      <c r="AIJ135" s="70"/>
      <c r="AIK135" s="70"/>
      <c r="AIL135" s="70"/>
      <c r="AIM135" s="70"/>
      <c r="AIN135" s="70"/>
      <c r="AIO135" s="70"/>
      <c r="AIP135" s="70"/>
      <c r="AIQ135" s="70"/>
      <c r="AIR135" s="70"/>
      <c r="AIS135" s="70"/>
      <c r="AIT135" s="70"/>
      <c r="AIU135" s="70"/>
      <c r="AIV135" s="70"/>
      <c r="AIW135" s="70"/>
      <c r="AIX135" s="70"/>
      <c r="AIY135" s="70"/>
      <c r="AIZ135" s="70"/>
      <c r="AJA135" s="70"/>
      <c r="AJB135" s="70"/>
      <c r="AJC135" s="70"/>
      <c r="AJD135" s="70"/>
      <c r="AJE135" s="70"/>
      <c r="AJF135" s="70"/>
      <c r="AJG135" s="70"/>
      <c r="AJH135" s="70"/>
      <c r="AJI135" s="70"/>
      <c r="AJJ135" s="70"/>
      <c r="AJK135" s="70"/>
      <c r="AJL135" s="70"/>
      <c r="AJM135" s="70"/>
      <c r="AJN135" s="70"/>
      <c r="AJO135" s="70"/>
      <c r="AJP135" s="70"/>
      <c r="AJQ135" s="70"/>
      <c r="AJR135" s="70"/>
      <c r="AJS135" s="70"/>
      <c r="AJT135" s="70"/>
      <c r="AJU135" s="70"/>
      <c r="AJV135" s="70"/>
      <c r="AJW135" s="70"/>
      <c r="AJX135" s="70"/>
      <c r="AJY135" s="70"/>
      <c r="AJZ135" s="70"/>
      <c r="AKA135" s="70"/>
      <c r="AKB135" s="70"/>
      <c r="AKC135" s="70"/>
      <c r="AKD135" s="70"/>
      <c r="AKE135" s="70"/>
      <c r="AKF135" s="70"/>
      <c r="AKG135" s="70"/>
      <c r="AKH135" s="70"/>
      <c r="AKI135" s="70"/>
      <c r="AKJ135" s="70"/>
      <c r="AKK135" s="70"/>
      <c r="AKL135" s="70"/>
      <c r="AKM135" s="70"/>
      <c r="AKN135" s="70"/>
      <c r="AKO135" s="70"/>
      <c r="AKP135" s="70"/>
      <c r="AKQ135" s="70"/>
      <c r="AKR135" s="70"/>
      <c r="AKS135" s="70"/>
      <c r="AKT135" s="70"/>
      <c r="AKU135" s="70"/>
      <c r="AKV135" s="70"/>
      <c r="AKW135" s="70"/>
      <c r="AKX135" s="70"/>
      <c r="AKY135" s="70"/>
      <c r="AKZ135" s="70"/>
      <c r="ALA135" s="70"/>
      <c r="ALB135" s="70"/>
      <c r="ALC135" s="70"/>
      <c r="ALD135" s="70"/>
      <c r="ALE135" s="70"/>
      <c r="ALF135" s="70"/>
      <c r="ALG135" s="70"/>
      <c r="ALH135" s="70"/>
      <c r="ALI135" s="70"/>
      <c r="ALJ135" s="70"/>
      <c r="ALK135" s="70"/>
      <c r="ALL135" s="70"/>
      <c r="ALM135" s="70"/>
      <c r="ALN135" s="70"/>
      <c r="ALO135" s="70"/>
      <c r="ALP135" s="70"/>
      <c r="ALQ135" s="70"/>
      <c r="ALR135" s="70"/>
      <c r="ALS135" s="70"/>
      <c r="ALT135" s="70"/>
      <c r="ALU135" s="70"/>
      <c r="ALV135" s="70"/>
      <c r="ALW135" s="70"/>
      <c r="ALX135" s="70"/>
      <c r="ALY135" s="70"/>
      <c r="ALZ135" s="70"/>
      <c r="AMA135" s="70"/>
      <c r="AMB135" s="70"/>
      <c r="AMC135" s="70"/>
      <c r="AMD135" s="70"/>
      <c r="AME135" s="70"/>
      <c r="AMF135" s="70"/>
      <c r="AMG135" s="70"/>
      <c r="AMH135" s="70"/>
      <c r="AMI135" s="70"/>
      <c r="AMJ135" s="70"/>
      <c r="AMK135" s="70"/>
      <c r="AML135" s="70"/>
      <c r="AMM135" s="70"/>
      <c r="AMN135" s="70"/>
      <c r="AMO135" s="70"/>
      <c r="AMP135" s="70"/>
      <c r="AMQ135" s="70"/>
      <c r="AMR135" s="70"/>
      <c r="AMS135" s="70"/>
      <c r="AMT135" s="70"/>
      <c r="AMU135" s="70"/>
      <c r="AMV135" s="70"/>
      <c r="AMW135" s="70"/>
      <c r="AMX135" s="70"/>
      <c r="AMY135" s="70"/>
      <c r="AMZ135" s="70"/>
      <c r="ANA135" s="70"/>
      <c r="ANB135" s="70"/>
      <c r="ANC135" s="70"/>
      <c r="AND135" s="70"/>
      <c r="ANE135" s="70"/>
      <c r="ANF135" s="70"/>
      <c r="ANG135" s="70"/>
      <c r="ANH135" s="70"/>
      <c r="ANI135" s="70"/>
      <c r="ANJ135" s="70"/>
      <c r="ANK135" s="70"/>
      <c r="ANL135" s="70"/>
      <c r="ANM135" s="70"/>
      <c r="ANN135" s="70"/>
      <c r="ANO135" s="70"/>
      <c r="ANP135" s="70"/>
      <c r="ANQ135" s="70"/>
      <c r="ANR135" s="70"/>
      <c r="ANS135" s="70"/>
      <c r="ANT135" s="70"/>
      <c r="ANU135" s="70"/>
      <c r="ANV135" s="70"/>
      <c r="ANW135" s="70"/>
      <c r="ANX135" s="70"/>
      <c r="ANY135" s="70"/>
      <c r="ANZ135" s="70"/>
      <c r="AOA135" s="70"/>
      <c r="AOB135" s="70"/>
      <c r="AOC135" s="70"/>
      <c r="AOD135" s="70"/>
      <c r="AOE135" s="70"/>
      <c r="AOF135" s="70"/>
      <c r="AOG135" s="70"/>
      <c r="AOH135" s="70"/>
      <c r="AOI135" s="70"/>
      <c r="AOJ135" s="70"/>
      <c r="AOK135" s="70"/>
      <c r="AOL135" s="70"/>
      <c r="AOM135" s="70"/>
      <c r="AON135" s="70"/>
      <c r="AOO135" s="70"/>
      <c r="AOP135" s="70"/>
      <c r="AOQ135" s="70"/>
      <c r="AOR135" s="70"/>
      <c r="AOS135" s="70"/>
      <c r="AOT135" s="70"/>
      <c r="AOU135" s="70"/>
      <c r="AOV135" s="70"/>
      <c r="AOW135" s="70"/>
      <c r="AOX135" s="70"/>
      <c r="AOY135" s="70"/>
      <c r="AOZ135" s="70"/>
      <c r="APA135" s="70"/>
      <c r="APB135" s="70"/>
      <c r="APC135" s="70"/>
      <c r="APD135" s="70"/>
      <c r="APE135" s="70"/>
      <c r="APF135" s="70"/>
      <c r="APG135" s="70"/>
      <c r="APH135" s="70"/>
      <c r="API135" s="70"/>
      <c r="APJ135" s="70"/>
      <c r="APK135" s="70"/>
      <c r="APL135" s="70"/>
      <c r="APM135" s="70"/>
      <c r="APN135" s="70"/>
      <c r="APO135" s="70"/>
      <c r="APP135" s="70"/>
      <c r="APQ135" s="70"/>
      <c r="APR135" s="70"/>
      <c r="APS135" s="70"/>
      <c r="APT135" s="70"/>
      <c r="APU135" s="70"/>
      <c r="APV135" s="70"/>
      <c r="APW135" s="70"/>
      <c r="APX135" s="70"/>
      <c r="APY135" s="70"/>
      <c r="APZ135" s="70"/>
      <c r="AQA135" s="70"/>
      <c r="AQB135" s="70"/>
      <c r="AQC135" s="70"/>
      <c r="AQD135" s="70"/>
      <c r="AQE135" s="70"/>
      <c r="AQF135" s="70"/>
      <c r="AQG135" s="70"/>
      <c r="AQH135" s="70"/>
      <c r="AQI135" s="70"/>
      <c r="AQJ135" s="70"/>
      <c r="AQK135" s="70"/>
      <c r="AQL135" s="70"/>
      <c r="AQM135" s="70"/>
      <c r="AQN135" s="70"/>
      <c r="AQO135" s="70"/>
      <c r="AQP135" s="70"/>
      <c r="AQQ135" s="70"/>
      <c r="AQR135" s="70"/>
      <c r="AQS135" s="70"/>
      <c r="AQT135" s="70"/>
      <c r="AQU135" s="70"/>
      <c r="AQV135" s="70"/>
      <c r="AQW135" s="70"/>
      <c r="AQX135" s="70"/>
      <c r="AQY135" s="70"/>
      <c r="AQZ135" s="70"/>
      <c r="ARA135" s="70"/>
      <c r="ARB135" s="70"/>
      <c r="ARC135" s="70"/>
      <c r="ARD135" s="70"/>
      <c r="ARE135" s="70"/>
      <c r="ARF135" s="70"/>
      <c r="ARG135" s="70"/>
      <c r="ARH135" s="70"/>
      <c r="ARI135" s="70"/>
      <c r="ARJ135" s="70"/>
      <c r="ARK135" s="70"/>
      <c r="ARL135" s="70"/>
      <c r="ARM135" s="70"/>
      <c r="ARN135" s="70"/>
      <c r="ARO135" s="70"/>
      <c r="ARP135" s="70"/>
      <c r="ARQ135" s="70"/>
      <c r="ARR135" s="70"/>
      <c r="ARS135" s="70"/>
      <c r="ART135" s="70"/>
      <c r="ARU135" s="70"/>
      <c r="ARV135" s="70"/>
      <c r="ARW135" s="70"/>
      <c r="ARX135" s="70"/>
      <c r="ARY135" s="70"/>
      <c r="ARZ135" s="70"/>
      <c r="ASA135" s="70"/>
      <c r="ASB135" s="70"/>
      <c r="ASC135" s="70"/>
      <c r="ASD135" s="70"/>
      <c r="ASE135" s="70"/>
      <c r="ASF135" s="70"/>
      <c r="ASG135" s="70"/>
      <c r="ASH135" s="70"/>
      <c r="ASI135" s="70"/>
      <c r="ASJ135" s="70"/>
      <c r="ASK135" s="70"/>
      <c r="ASL135" s="70"/>
      <c r="ASM135" s="70"/>
      <c r="ASN135" s="70"/>
      <c r="ASO135" s="70"/>
      <c r="ASP135" s="70"/>
      <c r="ASQ135" s="70"/>
      <c r="ASR135" s="70"/>
      <c r="ASS135" s="70"/>
      <c r="AST135" s="70"/>
      <c r="ASU135" s="70"/>
      <c r="ASV135" s="70"/>
      <c r="ASW135" s="70"/>
      <c r="ASX135" s="70"/>
      <c r="ASY135" s="70"/>
      <c r="ASZ135" s="70"/>
      <c r="ATA135" s="70"/>
      <c r="ATB135" s="70"/>
      <c r="ATC135" s="70"/>
      <c r="ATD135" s="70"/>
      <c r="ATE135" s="70"/>
      <c r="ATF135" s="70"/>
      <c r="ATG135" s="70"/>
      <c r="ATH135" s="70"/>
      <c r="ATI135" s="70"/>
      <c r="ATJ135" s="70"/>
      <c r="ATK135" s="70"/>
      <c r="ATL135" s="70"/>
      <c r="ATM135" s="70"/>
      <c r="ATN135" s="70"/>
      <c r="ATO135" s="70"/>
      <c r="ATP135" s="70"/>
      <c r="ATQ135" s="70"/>
      <c r="ATR135" s="70"/>
      <c r="ATS135" s="70"/>
      <c r="ATT135" s="70"/>
      <c r="ATU135" s="70"/>
      <c r="ATV135" s="70"/>
      <c r="ATW135" s="70"/>
      <c r="ATX135" s="70"/>
      <c r="ATY135" s="70"/>
      <c r="ATZ135" s="70"/>
      <c r="AUA135" s="70"/>
      <c r="AUB135" s="70"/>
      <c r="AUC135" s="70"/>
      <c r="AUD135" s="70"/>
      <c r="AUE135" s="70"/>
      <c r="AUF135" s="70"/>
      <c r="AUG135" s="70"/>
      <c r="AUH135" s="70"/>
      <c r="AUI135" s="70"/>
      <c r="AUJ135" s="70"/>
      <c r="AUK135" s="70"/>
      <c r="AUL135" s="70"/>
      <c r="AUM135" s="70"/>
      <c r="AUN135" s="70"/>
      <c r="AUO135" s="70"/>
      <c r="AUP135" s="70"/>
      <c r="AUQ135" s="70"/>
      <c r="AUR135" s="70"/>
      <c r="AUS135" s="70"/>
      <c r="AUT135" s="70"/>
      <c r="AUU135" s="70"/>
      <c r="AUV135" s="70"/>
      <c r="AUW135" s="70"/>
      <c r="AUX135" s="70"/>
      <c r="AUY135" s="70"/>
      <c r="AUZ135" s="70"/>
      <c r="AVA135" s="70"/>
      <c r="AVB135" s="70"/>
      <c r="AVC135" s="70"/>
      <c r="AVD135" s="70"/>
      <c r="AVE135" s="70"/>
      <c r="AVF135" s="70"/>
      <c r="AVG135" s="70"/>
      <c r="AVH135" s="70"/>
      <c r="AVI135" s="70"/>
      <c r="AVJ135" s="70"/>
      <c r="AVK135" s="70"/>
      <c r="AVL135" s="70"/>
      <c r="AVM135" s="70"/>
      <c r="AVN135" s="70"/>
      <c r="AVO135" s="70"/>
      <c r="AVP135" s="70"/>
      <c r="AVQ135" s="70"/>
      <c r="AVR135" s="70"/>
      <c r="AVS135" s="70"/>
      <c r="AVT135" s="70"/>
      <c r="AVU135" s="70"/>
      <c r="AVV135" s="70"/>
      <c r="AVW135" s="70"/>
      <c r="AVX135" s="70"/>
      <c r="AVY135" s="70"/>
      <c r="AVZ135" s="70"/>
      <c r="AWA135" s="70"/>
      <c r="AWB135" s="70"/>
      <c r="AWC135" s="70"/>
      <c r="AWD135" s="70"/>
      <c r="AWE135" s="70"/>
      <c r="AWF135" s="70"/>
      <c r="AWG135" s="70"/>
      <c r="AWH135" s="70"/>
      <c r="AWI135" s="70"/>
      <c r="AWJ135" s="70"/>
      <c r="AWK135" s="70"/>
      <c r="AWL135" s="70"/>
      <c r="AWM135" s="70"/>
      <c r="AWN135" s="70"/>
      <c r="AWO135" s="70"/>
      <c r="AWP135" s="70"/>
      <c r="AWQ135" s="70"/>
      <c r="AWR135" s="70"/>
      <c r="AWS135" s="70"/>
      <c r="AWT135" s="70"/>
      <c r="AWU135" s="70"/>
      <c r="AWV135" s="70"/>
      <c r="AWW135" s="70"/>
      <c r="AWX135" s="70"/>
      <c r="AWY135" s="70"/>
      <c r="AWZ135" s="70"/>
      <c r="AXA135" s="70"/>
      <c r="AXB135" s="70"/>
      <c r="AXC135" s="70"/>
      <c r="AXD135" s="70"/>
      <c r="AXE135" s="70"/>
      <c r="AXF135" s="70"/>
      <c r="AXG135" s="70"/>
      <c r="AXH135" s="70"/>
      <c r="AXI135" s="70"/>
      <c r="AXJ135" s="70"/>
      <c r="AXK135" s="70"/>
      <c r="AXL135" s="70"/>
      <c r="AXM135" s="70"/>
      <c r="AXN135" s="70"/>
      <c r="AXO135" s="70"/>
      <c r="AXP135" s="70"/>
      <c r="AXQ135" s="70"/>
      <c r="AXR135" s="70"/>
      <c r="AXS135" s="70"/>
      <c r="AXT135" s="70"/>
      <c r="AXU135" s="70"/>
      <c r="AXV135" s="70"/>
      <c r="AXW135" s="70"/>
      <c r="AXX135" s="70"/>
      <c r="AXY135" s="70"/>
      <c r="AXZ135" s="70"/>
      <c r="AYA135" s="70"/>
      <c r="AYB135" s="70"/>
      <c r="AYC135" s="70"/>
      <c r="AYD135" s="70"/>
      <c r="AYE135" s="70"/>
      <c r="AYF135" s="70"/>
      <c r="AYG135" s="70"/>
      <c r="AYH135" s="70"/>
      <c r="AYI135" s="70"/>
      <c r="AYJ135" s="70"/>
      <c r="AYK135" s="70"/>
      <c r="AYL135" s="70"/>
      <c r="AYM135" s="70"/>
      <c r="AYN135" s="70"/>
      <c r="AYO135" s="70"/>
      <c r="AYP135" s="70"/>
      <c r="AYQ135" s="70"/>
      <c r="AYR135" s="70"/>
      <c r="AYS135" s="70"/>
      <c r="AYT135" s="70"/>
      <c r="AYU135" s="70"/>
      <c r="AYV135" s="70"/>
      <c r="AYW135" s="70"/>
      <c r="AYX135" s="70"/>
      <c r="AYY135" s="70"/>
      <c r="AYZ135" s="70"/>
      <c r="AZA135" s="70"/>
      <c r="AZB135" s="70"/>
      <c r="AZC135" s="70"/>
      <c r="AZD135" s="70"/>
      <c r="AZE135" s="70"/>
      <c r="AZF135" s="70"/>
      <c r="AZG135" s="70"/>
      <c r="AZH135" s="70"/>
      <c r="AZI135" s="70"/>
      <c r="AZJ135" s="70"/>
      <c r="AZK135" s="70"/>
      <c r="AZL135" s="70"/>
      <c r="AZM135" s="70"/>
      <c r="AZN135" s="70"/>
      <c r="AZO135" s="70"/>
      <c r="AZP135" s="70"/>
      <c r="AZQ135" s="70"/>
      <c r="AZR135" s="70"/>
      <c r="AZS135" s="70"/>
      <c r="AZT135" s="70"/>
      <c r="AZU135" s="70"/>
      <c r="AZV135" s="70"/>
      <c r="AZW135" s="70"/>
      <c r="AZX135" s="70"/>
      <c r="AZY135" s="70"/>
      <c r="AZZ135" s="70"/>
      <c r="BAA135" s="70"/>
      <c r="BAB135" s="70"/>
      <c r="BAC135" s="70"/>
      <c r="BAD135" s="70"/>
      <c r="BAE135" s="70"/>
      <c r="BAF135" s="70"/>
      <c r="BAG135" s="70"/>
      <c r="BAH135" s="70"/>
      <c r="BAI135" s="70"/>
      <c r="BAJ135" s="70"/>
      <c r="BAK135" s="70"/>
      <c r="BAL135" s="70"/>
      <c r="BAM135" s="70"/>
      <c r="BAN135" s="70"/>
      <c r="BAO135" s="70"/>
      <c r="BAP135" s="70"/>
      <c r="BAQ135" s="70"/>
      <c r="BAR135" s="70"/>
      <c r="BAS135" s="70"/>
      <c r="BAT135" s="70"/>
      <c r="BAU135" s="70"/>
      <c r="BAV135" s="70"/>
      <c r="BAW135" s="70"/>
      <c r="BAX135" s="70"/>
      <c r="BAY135" s="70"/>
      <c r="BAZ135" s="70"/>
      <c r="BBA135" s="70"/>
      <c r="BBB135" s="70"/>
      <c r="BBC135" s="70"/>
      <c r="BBD135" s="70"/>
      <c r="BBE135" s="70"/>
      <c r="BBF135" s="70"/>
      <c r="BBG135" s="70"/>
      <c r="BBH135" s="70"/>
      <c r="BBI135" s="70"/>
      <c r="BBJ135" s="70"/>
      <c r="BBK135" s="70"/>
      <c r="BBL135" s="70"/>
      <c r="BBM135" s="70"/>
      <c r="BBN135" s="70"/>
      <c r="BBO135" s="70"/>
      <c r="BBP135" s="70"/>
      <c r="BBQ135" s="70"/>
      <c r="BBR135" s="70"/>
      <c r="BBS135" s="70"/>
      <c r="BBT135" s="70"/>
      <c r="BBU135" s="70"/>
      <c r="BBV135" s="70"/>
      <c r="BBW135" s="70"/>
      <c r="BBX135" s="70"/>
      <c r="BBY135" s="70"/>
      <c r="BBZ135" s="70"/>
      <c r="BCA135" s="70"/>
      <c r="BCB135" s="70"/>
      <c r="BCC135" s="70"/>
      <c r="BCD135" s="70"/>
      <c r="BCE135" s="70"/>
      <c r="BCF135" s="70"/>
      <c r="BCG135" s="70"/>
      <c r="BCH135" s="70"/>
      <c r="BCI135" s="70"/>
      <c r="BCJ135" s="70"/>
      <c r="BCK135" s="70"/>
      <c r="BCL135" s="70"/>
      <c r="BCM135" s="70"/>
      <c r="BCN135" s="70"/>
      <c r="BCO135" s="70"/>
      <c r="BCP135" s="70"/>
      <c r="BCQ135" s="70"/>
      <c r="BCR135" s="70"/>
      <c r="BCS135" s="70"/>
      <c r="BCT135" s="70"/>
      <c r="BCU135" s="70"/>
      <c r="BCV135" s="70"/>
      <c r="BCW135" s="70"/>
    </row>
    <row r="136" spans="1:1453" s="69" customFormat="1" ht="25.5" x14ac:dyDescent="0.25">
      <c r="A136" s="50">
        <v>13</v>
      </c>
      <c r="B136" s="73" t="s">
        <v>301</v>
      </c>
      <c r="C136" s="73" t="s">
        <v>303</v>
      </c>
      <c r="D136" s="52">
        <v>18195800</v>
      </c>
      <c r="E136" s="73" t="s">
        <v>513</v>
      </c>
      <c r="F136" s="73" t="s">
        <v>302</v>
      </c>
      <c r="G136" s="71"/>
      <c r="H136" s="71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  <c r="BN136" s="70"/>
      <c r="BO136" s="70"/>
      <c r="BP136" s="70"/>
      <c r="BQ136" s="70"/>
      <c r="BR136" s="70"/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G136" s="70"/>
      <c r="CH136" s="70"/>
      <c r="CI136" s="70"/>
      <c r="CJ136" s="70"/>
      <c r="CK136" s="70"/>
      <c r="CL136" s="70"/>
      <c r="CM136" s="70"/>
      <c r="CN136" s="70"/>
      <c r="CO136" s="70"/>
      <c r="CP136" s="70"/>
      <c r="CQ136" s="70"/>
      <c r="CR136" s="70"/>
      <c r="CS136" s="70"/>
      <c r="CT136" s="70"/>
      <c r="CU136" s="70"/>
      <c r="CV136" s="70"/>
      <c r="CW136" s="70"/>
      <c r="CX136" s="70"/>
      <c r="CY136" s="70"/>
      <c r="CZ136" s="70"/>
      <c r="DA136" s="70"/>
      <c r="DB136" s="70"/>
      <c r="DC136" s="70"/>
      <c r="DD136" s="70"/>
      <c r="DE136" s="70"/>
      <c r="DF136" s="70"/>
      <c r="DG136" s="70"/>
      <c r="DH136" s="70"/>
      <c r="DI136" s="70"/>
      <c r="DJ136" s="70"/>
      <c r="DK136" s="70"/>
      <c r="DL136" s="70"/>
      <c r="DM136" s="70"/>
      <c r="DN136" s="70"/>
      <c r="DO136" s="70"/>
      <c r="DP136" s="70"/>
      <c r="DQ136" s="70"/>
      <c r="DR136" s="70"/>
      <c r="DS136" s="70"/>
      <c r="DT136" s="70"/>
      <c r="DU136" s="70"/>
      <c r="DV136" s="70"/>
      <c r="DW136" s="70"/>
      <c r="DX136" s="70"/>
      <c r="DY136" s="70"/>
      <c r="DZ136" s="70"/>
      <c r="EA136" s="70"/>
      <c r="EB136" s="70"/>
      <c r="EC136" s="70"/>
      <c r="ED136" s="70"/>
      <c r="EE136" s="70"/>
      <c r="EF136" s="70"/>
      <c r="EG136" s="70"/>
      <c r="EH136" s="70"/>
      <c r="EI136" s="70"/>
      <c r="EJ136" s="70"/>
      <c r="EK136" s="70"/>
      <c r="EL136" s="70"/>
      <c r="EM136" s="70"/>
      <c r="EN136" s="70"/>
      <c r="EO136" s="70"/>
      <c r="EP136" s="70"/>
      <c r="EQ136" s="70"/>
      <c r="ER136" s="70"/>
      <c r="ES136" s="70"/>
      <c r="ET136" s="70"/>
      <c r="EU136" s="70"/>
      <c r="EV136" s="70"/>
      <c r="EW136" s="70"/>
      <c r="EX136" s="70"/>
      <c r="EY136" s="70"/>
      <c r="EZ136" s="70"/>
      <c r="FA136" s="70"/>
      <c r="FB136" s="70"/>
      <c r="FC136" s="70"/>
      <c r="FD136" s="70"/>
      <c r="FE136" s="70"/>
      <c r="FF136" s="70"/>
      <c r="FG136" s="70"/>
      <c r="FH136" s="70"/>
      <c r="FI136" s="70"/>
      <c r="FJ136" s="70"/>
      <c r="FK136" s="70"/>
      <c r="FL136" s="70"/>
      <c r="FM136" s="70"/>
      <c r="FN136" s="70"/>
      <c r="FO136" s="70"/>
      <c r="FP136" s="70"/>
      <c r="FQ136" s="70"/>
      <c r="FR136" s="70"/>
      <c r="FS136" s="70"/>
      <c r="FT136" s="70"/>
      <c r="FU136" s="70"/>
      <c r="FV136" s="70"/>
      <c r="FW136" s="70"/>
      <c r="FX136" s="70"/>
      <c r="FY136" s="70"/>
      <c r="FZ136" s="70"/>
      <c r="GA136" s="70"/>
      <c r="GB136" s="70"/>
      <c r="GC136" s="70"/>
      <c r="GD136" s="70"/>
      <c r="GE136" s="70"/>
      <c r="GF136" s="70"/>
      <c r="GG136" s="70"/>
      <c r="GH136" s="70"/>
      <c r="GI136" s="70"/>
      <c r="GJ136" s="70"/>
      <c r="GK136" s="70"/>
      <c r="GL136" s="70"/>
      <c r="GM136" s="70"/>
      <c r="GN136" s="70"/>
      <c r="GO136" s="70"/>
      <c r="GP136" s="70"/>
      <c r="GQ136" s="70"/>
      <c r="GR136" s="70"/>
      <c r="GS136" s="70"/>
      <c r="GT136" s="70"/>
      <c r="GU136" s="70"/>
      <c r="GV136" s="70"/>
      <c r="GW136" s="70"/>
      <c r="GX136" s="70"/>
      <c r="GY136" s="70"/>
      <c r="GZ136" s="70"/>
      <c r="HA136" s="70"/>
      <c r="HB136" s="70"/>
      <c r="HC136" s="70"/>
      <c r="HD136" s="70"/>
      <c r="HE136" s="70"/>
      <c r="HF136" s="70"/>
      <c r="HG136" s="70"/>
      <c r="HH136" s="70"/>
      <c r="HI136" s="70"/>
      <c r="HJ136" s="70"/>
      <c r="HK136" s="70"/>
      <c r="HL136" s="70"/>
      <c r="HM136" s="70"/>
      <c r="HN136" s="70"/>
      <c r="HO136" s="70"/>
      <c r="HP136" s="70"/>
      <c r="HQ136" s="70"/>
      <c r="HR136" s="70"/>
      <c r="HS136" s="70"/>
      <c r="HT136" s="70"/>
      <c r="HU136" s="70"/>
      <c r="HV136" s="70"/>
      <c r="HW136" s="70"/>
      <c r="HX136" s="70"/>
      <c r="HY136" s="70"/>
      <c r="HZ136" s="70"/>
      <c r="IA136" s="70"/>
      <c r="IB136" s="70"/>
      <c r="IC136" s="70"/>
      <c r="ID136" s="70"/>
      <c r="IE136" s="70"/>
      <c r="IF136" s="70"/>
      <c r="IG136" s="70"/>
      <c r="IH136" s="70"/>
      <c r="II136" s="70"/>
      <c r="IJ136" s="70"/>
      <c r="IK136" s="70"/>
      <c r="IL136" s="70"/>
      <c r="IM136" s="70"/>
      <c r="IN136" s="70"/>
      <c r="IO136" s="70"/>
      <c r="IP136" s="70"/>
      <c r="IQ136" s="70"/>
      <c r="IR136" s="70"/>
      <c r="IS136" s="70"/>
      <c r="IT136" s="70"/>
      <c r="IU136" s="70"/>
      <c r="IV136" s="70"/>
      <c r="IW136" s="70"/>
      <c r="IX136" s="70"/>
      <c r="IY136" s="70"/>
      <c r="IZ136" s="70"/>
      <c r="JA136" s="70"/>
      <c r="JB136" s="70"/>
      <c r="JC136" s="70"/>
      <c r="JD136" s="70"/>
      <c r="JE136" s="70"/>
      <c r="JF136" s="70"/>
      <c r="JG136" s="70"/>
      <c r="JH136" s="70"/>
      <c r="JI136" s="70"/>
      <c r="JJ136" s="70"/>
      <c r="JK136" s="70"/>
      <c r="JL136" s="70"/>
      <c r="JM136" s="70"/>
      <c r="JN136" s="70"/>
      <c r="JO136" s="70"/>
      <c r="JP136" s="70"/>
      <c r="JQ136" s="70"/>
      <c r="JR136" s="70"/>
      <c r="JS136" s="70"/>
      <c r="JT136" s="70"/>
      <c r="JU136" s="70"/>
      <c r="JV136" s="70"/>
      <c r="JW136" s="70"/>
      <c r="JX136" s="70"/>
      <c r="JY136" s="70"/>
      <c r="JZ136" s="70"/>
      <c r="KA136" s="70"/>
      <c r="KB136" s="70"/>
      <c r="KC136" s="70"/>
      <c r="KD136" s="70"/>
      <c r="KE136" s="70"/>
      <c r="KF136" s="70"/>
      <c r="KG136" s="70"/>
      <c r="KH136" s="70"/>
      <c r="KI136" s="70"/>
      <c r="KJ136" s="70"/>
      <c r="KK136" s="70"/>
      <c r="KL136" s="70"/>
      <c r="KM136" s="70"/>
      <c r="KN136" s="70"/>
      <c r="KO136" s="70"/>
      <c r="KP136" s="70"/>
      <c r="KQ136" s="70"/>
      <c r="KR136" s="70"/>
      <c r="KS136" s="70"/>
      <c r="KT136" s="70"/>
      <c r="KU136" s="70"/>
      <c r="KV136" s="70"/>
      <c r="KW136" s="70"/>
      <c r="KX136" s="70"/>
      <c r="KY136" s="70"/>
      <c r="KZ136" s="70"/>
      <c r="LA136" s="70"/>
      <c r="LB136" s="70"/>
      <c r="LC136" s="70"/>
      <c r="LD136" s="70"/>
      <c r="LE136" s="70"/>
      <c r="LF136" s="70"/>
      <c r="LG136" s="70"/>
      <c r="LH136" s="70"/>
      <c r="LI136" s="70"/>
      <c r="LJ136" s="70"/>
      <c r="LK136" s="70"/>
      <c r="LL136" s="70"/>
      <c r="LM136" s="70"/>
      <c r="LN136" s="70"/>
      <c r="LO136" s="70"/>
      <c r="LP136" s="70"/>
      <c r="LQ136" s="70"/>
      <c r="LR136" s="70"/>
      <c r="LS136" s="70"/>
      <c r="LT136" s="70"/>
      <c r="LU136" s="70"/>
      <c r="LV136" s="70"/>
      <c r="LW136" s="70"/>
      <c r="LX136" s="70"/>
      <c r="LY136" s="70"/>
      <c r="LZ136" s="70"/>
      <c r="MA136" s="70"/>
      <c r="MB136" s="70"/>
      <c r="MC136" s="70"/>
      <c r="MD136" s="70"/>
      <c r="ME136" s="70"/>
      <c r="MF136" s="70"/>
      <c r="MG136" s="70"/>
      <c r="MH136" s="70"/>
      <c r="MI136" s="70"/>
      <c r="MJ136" s="70"/>
      <c r="MK136" s="70"/>
      <c r="ML136" s="70"/>
      <c r="MM136" s="70"/>
      <c r="MN136" s="70"/>
      <c r="MO136" s="70"/>
      <c r="MP136" s="70"/>
      <c r="MQ136" s="70"/>
      <c r="MR136" s="70"/>
      <c r="MS136" s="70"/>
      <c r="MT136" s="70"/>
      <c r="MU136" s="70"/>
      <c r="MV136" s="70"/>
      <c r="MW136" s="70"/>
      <c r="MX136" s="70"/>
      <c r="MY136" s="70"/>
      <c r="MZ136" s="70"/>
      <c r="NA136" s="70"/>
      <c r="NB136" s="70"/>
      <c r="NC136" s="70"/>
      <c r="ND136" s="70"/>
      <c r="NE136" s="70"/>
      <c r="NF136" s="70"/>
      <c r="NG136" s="70"/>
      <c r="NH136" s="70"/>
      <c r="NI136" s="70"/>
      <c r="NJ136" s="70"/>
      <c r="NK136" s="70"/>
      <c r="NL136" s="70"/>
      <c r="NM136" s="70"/>
      <c r="NN136" s="70"/>
      <c r="NO136" s="70"/>
      <c r="NP136" s="70"/>
      <c r="NQ136" s="70"/>
      <c r="NR136" s="70"/>
      <c r="NS136" s="70"/>
      <c r="NT136" s="70"/>
      <c r="NU136" s="70"/>
      <c r="NV136" s="70"/>
      <c r="NW136" s="70"/>
      <c r="NX136" s="70"/>
      <c r="NY136" s="70"/>
      <c r="NZ136" s="70"/>
      <c r="OA136" s="70"/>
      <c r="OB136" s="70"/>
      <c r="OC136" s="70"/>
      <c r="OD136" s="70"/>
      <c r="OE136" s="70"/>
      <c r="OF136" s="70"/>
      <c r="OG136" s="70"/>
      <c r="OH136" s="70"/>
      <c r="OI136" s="70"/>
      <c r="OJ136" s="70"/>
      <c r="OK136" s="70"/>
      <c r="OL136" s="70"/>
      <c r="OM136" s="70"/>
      <c r="ON136" s="70"/>
      <c r="OO136" s="70"/>
      <c r="OP136" s="70"/>
      <c r="OQ136" s="70"/>
      <c r="OR136" s="70"/>
      <c r="OS136" s="70"/>
      <c r="OT136" s="70"/>
      <c r="OU136" s="70"/>
      <c r="OV136" s="70"/>
      <c r="OW136" s="70"/>
      <c r="OX136" s="70"/>
      <c r="OY136" s="70"/>
      <c r="OZ136" s="70"/>
      <c r="PA136" s="70"/>
      <c r="PB136" s="70"/>
      <c r="PC136" s="70"/>
      <c r="PD136" s="70"/>
      <c r="PE136" s="70"/>
      <c r="PF136" s="70"/>
      <c r="PG136" s="70"/>
      <c r="PH136" s="70"/>
      <c r="PI136" s="70"/>
      <c r="PJ136" s="70"/>
      <c r="PK136" s="70"/>
      <c r="PL136" s="70"/>
      <c r="PM136" s="70"/>
      <c r="PN136" s="70"/>
      <c r="PO136" s="70"/>
      <c r="PP136" s="70"/>
      <c r="PQ136" s="70"/>
      <c r="PR136" s="70"/>
      <c r="PS136" s="70"/>
      <c r="PT136" s="70"/>
      <c r="PU136" s="70"/>
      <c r="PV136" s="70"/>
      <c r="PW136" s="70"/>
      <c r="PX136" s="70"/>
      <c r="PY136" s="70"/>
      <c r="PZ136" s="70"/>
      <c r="QA136" s="70"/>
      <c r="QB136" s="70"/>
      <c r="QC136" s="70"/>
      <c r="QD136" s="70"/>
      <c r="QE136" s="70"/>
      <c r="QF136" s="70"/>
      <c r="QG136" s="70"/>
      <c r="QH136" s="70"/>
      <c r="QI136" s="70"/>
      <c r="QJ136" s="70"/>
      <c r="QK136" s="70"/>
      <c r="QL136" s="70"/>
      <c r="QM136" s="70"/>
      <c r="QN136" s="70"/>
      <c r="QO136" s="70"/>
      <c r="QP136" s="70"/>
      <c r="QQ136" s="70"/>
      <c r="QR136" s="70"/>
      <c r="QS136" s="70"/>
      <c r="QT136" s="70"/>
      <c r="QU136" s="70"/>
      <c r="QV136" s="70"/>
      <c r="QW136" s="70"/>
      <c r="QX136" s="70"/>
      <c r="QY136" s="70"/>
      <c r="QZ136" s="70"/>
      <c r="RA136" s="70"/>
      <c r="RB136" s="70"/>
      <c r="RC136" s="70"/>
      <c r="RD136" s="70"/>
      <c r="RE136" s="70"/>
      <c r="RF136" s="70"/>
      <c r="RG136" s="70"/>
      <c r="RH136" s="70"/>
      <c r="RI136" s="70"/>
      <c r="RJ136" s="70"/>
      <c r="RK136" s="70"/>
      <c r="RL136" s="70"/>
      <c r="RM136" s="70"/>
      <c r="RN136" s="70"/>
      <c r="RO136" s="70"/>
      <c r="RP136" s="70"/>
      <c r="RQ136" s="70"/>
      <c r="RR136" s="70"/>
      <c r="RS136" s="70"/>
      <c r="RT136" s="70"/>
      <c r="RU136" s="70"/>
      <c r="RV136" s="70"/>
      <c r="RW136" s="70"/>
      <c r="RX136" s="70"/>
      <c r="RY136" s="70"/>
      <c r="RZ136" s="70"/>
      <c r="SA136" s="70"/>
      <c r="SB136" s="70"/>
      <c r="SC136" s="70"/>
      <c r="SD136" s="70"/>
      <c r="SE136" s="70"/>
      <c r="SF136" s="70"/>
      <c r="SG136" s="70"/>
      <c r="SH136" s="70"/>
      <c r="SI136" s="70"/>
      <c r="SJ136" s="70"/>
      <c r="SK136" s="70"/>
      <c r="SL136" s="70"/>
      <c r="SM136" s="70"/>
      <c r="SN136" s="70"/>
      <c r="SO136" s="70"/>
      <c r="SP136" s="70"/>
      <c r="SQ136" s="70"/>
      <c r="SR136" s="70"/>
      <c r="SS136" s="70"/>
      <c r="ST136" s="70"/>
      <c r="SU136" s="70"/>
      <c r="SV136" s="70"/>
      <c r="SW136" s="70"/>
      <c r="SX136" s="70"/>
      <c r="SY136" s="70"/>
      <c r="SZ136" s="70"/>
      <c r="TA136" s="70"/>
      <c r="TB136" s="70"/>
      <c r="TC136" s="70"/>
      <c r="TD136" s="70"/>
      <c r="TE136" s="70"/>
      <c r="TF136" s="70"/>
      <c r="TG136" s="70"/>
      <c r="TH136" s="70"/>
      <c r="TI136" s="70"/>
      <c r="TJ136" s="70"/>
      <c r="TK136" s="70"/>
      <c r="TL136" s="70"/>
      <c r="TM136" s="70"/>
      <c r="TN136" s="70"/>
      <c r="TO136" s="70"/>
      <c r="TP136" s="70"/>
      <c r="TQ136" s="70"/>
      <c r="TR136" s="70"/>
      <c r="TS136" s="70"/>
      <c r="TT136" s="70"/>
      <c r="TU136" s="70"/>
      <c r="TV136" s="70"/>
      <c r="TW136" s="70"/>
      <c r="TX136" s="70"/>
      <c r="TY136" s="70"/>
      <c r="TZ136" s="70"/>
      <c r="UA136" s="70"/>
      <c r="UB136" s="70"/>
      <c r="UC136" s="70"/>
      <c r="UD136" s="70"/>
      <c r="UE136" s="70"/>
      <c r="UF136" s="70"/>
      <c r="UG136" s="70"/>
      <c r="UH136" s="70"/>
      <c r="UI136" s="70"/>
      <c r="UJ136" s="70"/>
      <c r="UK136" s="70"/>
      <c r="UL136" s="70"/>
      <c r="UM136" s="70"/>
      <c r="UN136" s="70"/>
      <c r="UO136" s="70"/>
      <c r="UP136" s="70"/>
      <c r="UQ136" s="70"/>
      <c r="UR136" s="70"/>
      <c r="US136" s="70"/>
      <c r="UT136" s="70"/>
      <c r="UU136" s="70"/>
      <c r="UV136" s="70"/>
      <c r="UW136" s="70"/>
      <c r="UX136" s="70"/>
      <c r="UY136" s="70"/>
      <c r="UZ136" s="70"/>
      <c r="VA136" s="70"/>
      <c r="VB136" s="70"/>
      <c r="VC136" s="70"/>
      <c r="VD136" s="70"/>
      <c r="VE136" s="70"/>
      <c r="VF136" s="70"/>
      <c r="VG136" s="70"/>
      <c r="VH136" s="70"/>
      <c r="VI136" s="70"/>
      <c r="VJ136" s="70"/>
      <c r="VK136" s="70"/>
      <c r="VL136" s="70"/>
      <c r="VM136" s="70"/>
      <c r="VN136" s="70"/>
      <c r="VO136" s="70"/>
      <c r="VP136" s="70"/>
      <c r="VQ136" s="70"/>
      <c r="VR136" s="70"/>
      <c r="VS136" s="70"/>
      <c r="VT136" s="70"/>
      <c r="VU136" s="70"/>
      <c r="VV136" s="70"/>
      <c r="VW136" s="70"/>
      <c r="VX136" s="70"/>
      <c r="VY136" s="70"/>
      <c r="VZ136" s="70"/>
      <c r="WA136" s="70"/>
      <c r="WB136" s="70"/>
      <c r="WC136" s="70"/>
      <c r="WD136" s="70"/>
      <c r="WE136" s="70"/>
      <c r="WF136" s="70"/>
      <c r="WG136" s="70"/>
      <c r="WH136" s="70"/>
      <c r="WI136" s="70"/>
      <c r="WJ136" s="70"/>
      <c r="WK136" s="70"/>
      <c r="WL136" s="70"/>
      <c r="WM136" s="70"/>
      <c r="WN136" s="70"/>
      <c r="WO136" s="70"/>
      <c r="WP136" s="70"/>
      <c r="WQ136" s="70"/>
      <c r="WR136" s="70"/>
      <c r="WS136" s="70"/>
      <c r="WT136" s="70"/>
      <c r="WU136" s="70"/>
      <c r="WV136" s="70"/>
      <c r="WW136" s="70"/>
      <c r="WX136" s="70"/>
      <c r="WY136" s="70"/>
      <c r="WZ136" s="70"/>
      <c r="XA136" s="70"/>
      <c r="XB136" s="70"/>
      <c r="XC136" s="70"/>
      <c r="XD136" s="70"/>
      <c r="XE136" s="70"/>
      <c r="XF136" s="70"/>
      <c r="XG136" s="70"/>
      <c r="XH136" s="70"/>
      <c r="XI136" s="70"/>
      <c r="XJ136" s="70"/>
      <c r="XK136" s="70"/>
      <c r="XL136" s="70"/>
      <c r="XM136" s="70"/>
      <c r="XN136" s="70"/>
      <c r="XO136" s="70"/>
      <c r="XP136" s="70"/>
      <c r="XQ136" s="70"/>
      <c r="XR136" s="70"/>
      <c r="XS136" s="70"/>
      <c r="XT136" s="70"/>
      <c r="XU136" s="70"/>
      <c r="XV136" s="70"/>
      <c r="XW136" s="70"/>
      <c r="XX136" s="70"/>
      <c r="XY136" s="70"/>
      <c r="XZ136" s="70"/>
      <c r="YA136" s="70"/>
      <c r="YB136" s="70"/>
      <c r="YC136" s="70"/>
      <c r="YD136" s="70"/>
      <c r="YE136" s="70"/>
      <c r="YF136" s="70"/>
      <c r="YG136" s="70"/>
      <c r="YH136" s="70"/>
      <c r="YI136" s="70"/>
      <c r="YJ136" s="70"/>
      <c r="YK136" s="70"/>
      <c r="YL136" s="70"/>
      <c r="YM136" s="70"/>
      <c r="YN136" s="70"/>
      <c r="YO136" s="70"/>
      <c r="YP136" s="70"/>
      <c r="YQ136" s="70"/>
      <c r="YR136" s="70"/>
      <c r="YS136" s="70"/>
      <c r="YT136" s="70"/>
      <c r="YU136" s="70"/>
      <c r="YV136" s="70"/>
      <c r="YW136" s="70"/>
      <c r="YX136" s="70"/>
      <c r="YY136" s="70"/>
      <c r="YZ136" s="70"/>
      <c r="ZA136" s="70"/>
      <c r="ZB136" s="70"/>
      <c r="ZC136" s="70"/>
      <c r="ZD136" s="70"/>
      <c r="ZE136" s="70"/>
      <c r="ZF136" s="70"/>
      <c r="ZG136" s="70"/>
      <c r="ZH136" s="70"/>
      <c r="ZI136" s="70"/>
      <c r="ZJ136" s="70"/>
      <c r="ZK136" s="70"/>
      <c r="ZL136" s="70"/>
      <c r="ZM136" s="70"/>
      <c r="ZN136" s="70"/>
      <c r="ZO136" s="70"/>
      <c r="ZP136" s="70"/>
      <c r="ZQ136" s="70"/>
      <c r="ZR136" s="70"/>
      <c r="ZS136" s="70"/>
      <c r="ZT136" s="70"/>
      <c r="ZU136" s="70"/>
      <c r="ZV136" s="70"/>
      <c r="ZW136" s="70"/>
      <c r="ZX136" s="70"/>
      <c r="ZY136" s="70"/>
      <c r="ZZ136" s="70"/>
      <c r="AAA136" s="70"/>
      <c r="AAB136" s="70"/>
      <c r="AAC136" s="70"/>
      <c r="AAD136" s="70"/>
      <c r="AAE136" s="70"/>
      <c r="AAF136" s="70"/>
      <c r="AAG136" s="70"/>
      <c r="AAH136" s="70"/>
      <c r="AAI136" s="70"/>
      <c r="AAJ136" s="70"/>
      <c r="AAK136" s="70"/>
      <c r="AAL136" s="70"/>
      <c r="AAM136" s="70"/>
      <c r="AAN136" s="70"/>
      <c r="AAO136" s="70"/>
      <c r="AAP136" s="70"/>
      <c r="AAQ136" s="70"/>
      <c r="AAR136" s="70"/>
      <c r="AAS136" s="70"/>
      <c r="AAT136" s="70"/>
      <c r="AAU136" s="70"/>
      <c r="AAV136" s="70"/>
      <c r="AAW136" s="70"/>
      <c r="AAX136" s="70"/>
      <c r="AAY136" s="70"/>
      <c r="AAZ136" s="70"/>
      <c r="ABA136" s="70"/>
      <c r="ABB136" s="70"/>
      <c r="ABC136" s="70"/>
      <c r="ABD136" s="70"/>
      <c r="ABE136" s="70"/>
      <c r="ABF136" s="70"/>
      <c r="ABG136" s="70"/>
      <c r="ABH136" s="70"/>
      <c r="ABI136" s="70"/>
      <c r="ABJ136" s="70"/>
      <c r="ABK136" s="70"/>
      <c r="ABL136" s="70"/>
      <c r="ABM136" s="70"/>
      <c r="ABN136" s="70"/>
      <c r="ABO136" s="70"/>
      <c r="ABP136" s="70"/>
      <c r="ABQ136" s="70"/>
      <c r="ABR136" s="70"/>
      <c r="ABS136" s="70"/>
      <c r="ABT136" s="70"/>
      <c r="ABU136" s="70"/>
      <c r="ABV136" s="70"/>
      <c r="ABW136" s="70"/>
      <c r="ABX136" s="70"/>
      <c r="ABY136" s="70"/>
      <c r="ABZ136" s="70"/>
      <c r="ACA136" s="70"/>
      <c r="ACB136" s="70"/>
      <c r="ACC136" s="70"/>
      <c r="ACD136" s="70"/>
      <c r="ACE136" s="70"/>
      <c r="ACF136" s="70"/>
      <c r="ACG136" s="70"/>
      <c r="ACH136" s="70"/>
      <c r="ACI136" s="70"/>
      <c r="ACJ136" s="70"/>
      <c r="ACK136" s="70"/>
      <c r="ACL136" s="70"/>
      <c r="ACM136" s="70"/>
      <c r="ACN136" s="70"/>
      <c r="ACO136" s="70"/>
      <c r="ACP136" s="70"/>
      <c r="ACQ136" s="70"/>
      <c r="ACR136" s="70"/>
      <c r="ACS136" s="70"/>
      <c r="ACT136" s="70"/>
      <c r="ACU136" s="70"/>
      <c r="ACV136" s="70"/>
      <c r="ACW136" s="70"/>
      <c r="ACX136" s="70"/>
      <c r="ACY136" s="70"/>
      <c r="ACZ136" s="70"/>
      <c r="ADA136" s="70"/>
      <c r="ADB136" s="70"/>
      <c r="ADC136" s="70"/>
      <c r="ADD136" s="70"/>
      <c r="ADE136" s="70"/>
      <c r="ADF136" s="70"/>
      <c r="ADG136" s="70"/>
      <c r="ADH136" s="70"/>
      <c r="ADI136" s="70"/>
      <c r="ADJ136" s="70"/>
      <c r="ADK136" s="70"/>
      <c r="ADL136" s="70"/>
      <c r="ADM136" s="70"/>
      <c r="ADN136" s="70"/>
      <c r="ADO136" s="70"/>
      <c r="ADP136" s="70"/>
      <c r="ADQ136" s="70"/>
      <c r="ADR136" s="70"/>
      <c r="ADS136" s="70"/>
      <c r="ADT136" s="70"/>
      <c r="ADU136" s="70"/>
      <c r="ADV136" s="70"/>
      <c r="ADW136" s="70"/>
      <c r="ADX136" s="70"/>
      <c r="ADY136" s="70"/>
      <c r="ADZ136" s="70"/>
      <c r="AEA136" s="70"/>
      <c r="AEB136" s="70"/>
      <c r="AEC136" s="70"/>
      <c r="AED136" s="70"/>
      <c r="AEE136" s="70"/>
      <c r="AEF136" s="70"/>
      <c r="AEG136" s="70"/>
      <c r="AEH136" s="70"/>
      <c r="AEI136" s="70"/>
      <c r="AEJ136" s="70"/>
      <c r="AEK136" s="70"/>
      <c r="AEL136" s="70"/>
      <c r="AEM136" s="70"/>
      <c r="AEN136" s="70"/>
      <c r="AEO136" s="70"/>
      <c r="AEP136" s="70"/>
      <c r="AEQ136" s="70"/>
      <c r="AER136" s="70"/>
      <c r="AES136" s="70"/>
      <c r="AET136" s="70"/>
      <c r="AEU136" s="70"/>
      <c r="AEV136" s="70"/>
      <c r="AEW136" s="70"/>
      <c r="AEX136" s="70"/>
      <c r="AEY136" s="70"/>
      <c r="AEZ136" s="70"/>
      <c r="AFA136" s="70"/>
      <c r="AFB136" s="70"/>
      <c r="AFC136" s="70"/>
      <c r="AFD136" s="70"/>
      <c r="AFE136" s="70"/>
      <c r="AFF136" s="70"/>
      <c r="AFG136" s="70"/>
      <c r="AFH136" s="70"/>
      <c r="AFI136" s="70"/>
      <c r="AFJ136" s="70"/>
      <c r="AFK136" s="70"/>
      <c r="AFL136" s="70"/>
      <c r="AFM136" s="70"/>
      <c r="AFN136" s="70"/>
      <c r="AFO136" s="70"/>
      <c r="AFP136" s="70"/>
      <c r="AFQ136" s="70"/>
      <c r="AFR136" s="70"/>
      <c r="AFS136" s="70"/>
      <c r="AFT136" s="70"/>
      <c r="AFU136" s="70"/>
      <c r="AFV136" s="70"/>
      <c r="AFW136" s="70"/>
      <c r="AFX136" s="70"/>
      <c r="AFY136" s="70"/>
      <c r="AFZ136" s="70"/>
      <c r="AGA136" s="70"/>
      <c r="AGB136" s="70"/>
      <c r="AGC136" s="70"/>
      <c r="AGD136" s="70"/>
      <c r="AGE136" s="70"/>
      <c r="AGF136" s="70"/>
      <c r="AGG136" s="70"/>
      <c r="AGH136" s="70"/>
      <c r="AGI136" s="70"/>
      <c r="AGJ136" s="70"/>
      <c r="AGK136" s="70"/>
      <c r="AGL136" s="70"/>
      <c r="AGM136" s="70"/>
      <c r="AGN136" s="70"/>
      <c r="AGO136" s="70"/>
      <c r="AGP136" s="70"/>
      <c r="AGQ136" s="70"/>
      <c r="AGR136" s="70"/>
      <c r="AGS136" s="70"/>
      <c r="AGT136" s="70"/>
      <c r="AGU136" s="70"/>
      <c r="AGV136" s="70"/>
      <c r="AGW136" s="70"/>
      <c r="AGX136" s="70"/>
      <c r="AGY136" s="70"/>
      <c r="AGZ136" s="70"/>
      <c r="AHA136" s="70"/>
      <c r="AHB136" s="70"/>
      <c r="AHC136" s="70"/>
      <c r="AHD136" s="70"/>
      <c r="AHE136" s="70"/>
      <c r="AHF136" s="70"/>
      <c r="AHG136" s="70"/>
      <c r="AHH136" s="70"/>
      <c r="AHI136" s="70"/>
      <c r="AHJ136" s="70"/>
      <c r="AHK136" s="70"/>
      <c r="AHL136" s="70"/>
      <c r="AHM136" s="70"/>
      <c r="AHN136" s="70"/>
      <c r="AHO136" s="70"/>
      <c r="AHP136" s="70"/>
      <c r="AHQ136" s="70"/>
      <c r="AHR136" s="70"/>
      <c r="AHS136" s="70"/>
      <c r="AHT136" s="70"/>
      <c r="AHU136" s="70"/>
      <c r="AHV136" s="70"/>
      <c r="AHW136" s="70"/>
      <c r="AHX136" s="70"/>
      <c r="AHY136" s="70"/>
      <c r="AHZ136" s="70"/>
      <c r="AIA136" s="70"/>
      <c r="AIB136" s="70"/>
      <c r="AIC136" s="70"/>
      <c r="AID136" s="70"/>
      <c r="AIE136" s="70"/>
      <c r="AIF136" s="70"/>
      <c r="AIG136" s="70"/>
      <c r="AIH136" s="70"/>
      <c r="AII136" s="70"/>
      <c r="AIJ136" s="70"/>
      <c r="AIK136" s="70"/>
      <c r="AIL136" s="70"/>
      <c r="AIM136" s="70"/>
      <c r="AIN136" s="70"/>
      <c r="AIO136" s="70"/>
      <c r="AIP136" s="70"/>
      <c r="AIQ136" s="70"/>
      <c r="AIR136" s="70"/>
      <c r="AIS136" s="70"/>
      <c r="AIT136" s="70"/>
      <c r="AIU136" s="70"/>
      <c r="AIV136" s="70"/>
      <c r="AIW136" s="70"/>
      <c r="AIX136" s="70"/>
      <c r="AIY136" s="70"/>
      <c r="AIZ136" s="70"/>
      <c r="AJA136" s="70"/>
      <c r="AJB136" s="70"/>
      <c r="AJC136" s="70"/>
      <c r="AJD136" s="70"/>
      <c r="AJE136" s="70"/>
      <c r="AJF136" s="70"/>
      <c r="AJG136" s="70"/>
      <c r="AJH136" s="70"/>
      <c r="AJI136" s="70"/>
      <c r="AJJ136" s="70"/>
      <c r="AJK136" s="70"/>
      <c r="AJL136" s="70"/>
      <c r="AJM136" s="70"/>
      <c r="AJN136" s="70"/>
      <c r="AJO136" s="70"/>
      <c r="AJP136" s="70"/>
      <c r="AJQ136" s="70"/>
      <c r="AJR136" s="70"/>
      <c r="AJS136" s="70"/>
      <c r="AJT136" s="70"/>
      <c r="AJU136" s="70"/>
      <c r="AJV136" s="70"/>
      <c r="AJW136" s="70"/>
      <c r="AJX136" s="70"/>
      <c r="AJY136" s="70"/>
      <c r="AJZ136" s="70"/>
      <c r="AKA136" s="70"/>
      <c r="AKB136" s="70"/>
      <c r="AKC136" s="70"/>
      <c r="AKD136" s="70"/>
      <c r="AKE136" s="70"/>
      <c r="AKF136" s="70"/>
      <c r="AKG136" s="70"/>
      <c r="AKH136" s="70"/>
      <c r="AKI136" s="70"/>
      <c r="AKJ136" s="70"/>
      <c r="AKK136" s="70"/>
      <c r="AKL136" s="70"/>
      <c r="AKM136" s="70"/>
      <c r="AKN136" s="70"/>
      <c r="AKO136" s="70"/>
      <c r="AKP136" s="70"/>
      <c r="AKQ136" s="70"/>
      <c r="AKR136" s="70"/>
      <c r="AKS136" s="70"/>
      <c r="AKT136" s="70"/>
      <c r="AKU136" s="70"/>
      <c r="AKV136" s="70"/>
      <c r="AKW136" s="70"/>
      <c r="AKX136" s="70"/>
      <c r="AKY136" s="70"/>
      <c r="AKZ136" s="70"/>
      <c r="ALA136" s="70"/>
      <c r="ALB136" s="70"/>
      <c r="ALC136" s="70"/>
      <c r="ALD136" s="70"/>
      <c r="ALE136" s="70"/>
      <c r="ALF136" s="70"/>
      <c r="ALG136" s="70"/>
      <c r="ALH136" s="70"/>
      <c r="ALI136" s="70"/>
      <c r="ALJ136" s="70"/>
      <c r="ALK136" s="70"/>
      <c r="ALL136" s="70"/>
      <c r="ALM136" s="70"/>
      <c r="ALN136" s="70"/>
      <c r="ALO136" s="70"/>
      <c r="ALP136" s="70"/>
      <c r="ALQ136" s="70"/>
      <c r="ALR136" s="70"/>
      <c r="ALS136" s="70"/>
      <c r="ALT136" s="70"/>
      <c r="ALU136" s="70"/>
      <c r="ALV136" s="70"/>
      <c r="ALW136" s="70"/>
      <c r="ALX136" s="70"/>
      <c r="ALY136" s="70"/>
      <c r="ALZ136" s="70"/>
      <c r="AMA136" s="70"/>
      <c r="AMB136" s="70"/>
      <c r="AMC136" s="70"/>
      <c r="AMD136" s="70"/>
      <c r="AME136" s="70"/>
      <c r="AMF136" s="70"/>
      <c r="AMG136" s="70"/>
      <c r="AMH136" s="70"/>
      <c r="AMI136" s="70"/>
      <c r="AMJ136" s="70"/>
      <c r="AMK136" s="70"/>
      <c r="AML136" s="70"/>
      <c r="AMM136" s="70"/>
      <c r="AMN136" s="70"/>
      <c r="AMO136" s="70"/>
      <c r="AMP136" s="70"/>
      <c r="AMQ136" s="70"/>
      <c r="AMR136" s="70"/>
      <c r="AMS136" s="70"/>
      <c r="AMT136" s="70"/>
      <c r="AMU136" s="70"/>
      <c r="AMV136" s="70"/>
      <c r="AMW136" s="70"/>
      <c r="AMX136" s="70"/>
      <c r="AMY136" s="70"/>
      <c r="AMZ136" s="70"/>
      <c r="ANA136" s="70"/>
      <c r="ANB136" s="70"/>
      <c r="ANC136" s="70"/>
      <c r="AND136" s="70"/>
      <c r="ANE136" s="70"/>
      <c r="ANF136" s="70"/>
      <c r="ANG136" s="70"/>
      <c r="ANH136" s="70"/>
      <c r="ANI136" s="70"/>
      <c r="ANJ136" s="70"/>
      <c r="ANK136" s="70"/>
      <c r="ANL136" s="70"/>
      <c r="ANM136" s="70"/>
      <c r="ANN136" s="70"/>
      <c r="ANO136" s="70"/>
      <c r="ANP136" s="70"/>
      <c r="ANQ136" s="70"/>
      <c r="ANR136" s="70"/>
      <c r="ANS136" s="70"/>
      <c r="ANT136" s="70"/>
      <c r="ANU136" s="70"/>
      <c r="ANV136" s="70"/>
      <c r="ANW136" s="70"/>
      <c r="ANX136" s="70"/>
      <c r="ANY136" s="70"/>
      <c r="ANZ136" s="70"/>
      <c r="AOA136" s="70"/>
      <c r="AOB136" s="70"/>
      <c r="AOC136" s="70"/>
      <c r="AOD136" s="70"/>
      <c r="AOE136" s="70"/>
      <c r="AOF136" s="70"/>
      <c r="AOG136" s="70"/>
      <c r="AOH136" s="70"/>
      <c r="AOI136" s="70"/>
      <c r="AOJ136" s="70"/>
      <c r="AOK136" s="70"/>
      <c r="AOL136" s="70"/>
      <c r="AOM136" s="70"/>
      <c r="AON136" s="70"/>
      <c r="AOO136" s="70"/>
      <c r="AOP136" s="70"/>
      <c r="AOQ136" s="70"/>
      <c r="AOR136" s="70"/>
      <c r="AOS136" s="70"/>
      <c r="AOT136" s="70"/>
      <c r="AOU136" s="70"/>
      <c r="AOV136" s="70"/>
      <c r="AOW136" s="70"/>
      <c r="AOX136" s="70"/>
      <c r="AOY136" s="70"/>
      <c r="AOZ136" s="70"/>
      <c r="APA136" s="70"/>
      <c r="APB136" s="70"/>
      <c r="APC136" s="70"/>
      <c r="APD136" s="70"/>
      <c r="APE136" s="70"/>
      <c r="APF136" s="70"/>
      <c r="APG136" s="70"/>
      <c r="APH136" s="70"/>
      <c r="API136" s="70"/>
      <c r="APJ136" s="70"/>
      <c r="APK136" s="70"/>
      <c r="APL136" s="70"/>
      <c r="APM136" s="70"/>
      <c r="APN136" s="70"/>
      <c r="APO136" s="70"/>
      <c r="APP136" s="70"/>
      <c r="APQ136" s="70"/>
      <c r="APR136" s="70"/>
      <c r="APS136" s="70"/>
      <c r="APT136" s="70"/>
      <c r="APU136" s="70"/>
      <c r="APV136" s="70"/>
      <c r="APW136" s="70"/>
      <c r="APX136" s="70"/>
      <c r="APY136" s="70"/>
      <c r="APZ136" s="70"/>
      <c r="AQA136" s="70"/>
      <c r="AQB136" s="70"/>
      <c r="AQC136" s="70"/>
      <c r="AQD136" s="70"/>
      <c r="AQE136" s="70"/>
      <c r="AQF136" s="70"/>
      <c r="AQG136" s="70"/>
      <c r="AQH136" s="70"/>
      <c r="AQI136" s="70"/>
      <c r="AQJ136" s="70"/>
      <c r="AQK136" s="70"/>
      <c r="AQL136" s="70"/>
      <c r="AQM136" s="70"/>
      <c r="AQN136" s="70"/>
      <c r="AQO136" s="70"/>
      <c r="AQP136" s="70"/>
      <c r="AQQ136" s="70"/>
      <c r="AQR136" s="70"/>
      <c r="AQS136" s="70"/>
      <c r="AQT136" s="70"/>
      <c r="AQU136" s="70"/>
      <c r="AQV136" s="70"/>
      <c r="AQW136" s="70"/>
      <c r="AQX136" s="70"/>
      <c r="AQY136" s="70"/>
      <c r="AQZ136" s="70"/>
      <c r="ARA136" s="70"/>
      <c r="ARB136" s="70"/>
      <c r="ARC136" s="70"/>
      <c r="ARD136" s="70"/>
      <c r="ARE136" s="70"/>
      <c r="ARF136" s="70"/>
      <c r="ARG136" s="70"/>
      <c r="ARH136" s="70"/>
      <c r="ARI136" s="70"/>
      <c r="ARJ136" s="70"/>
      <c r="ARK136" s="70"/>
      <c r="ARL136" s="70"/>
      <c r="ARM136" s="70"/>
      <c r="ARN136" s="70"/>
      <c r="ARO136" s="70"/>
      <c r="ARP136" s="70"/>
      <c r="ARQ136" s="70"/>
      <c r="ARR136" s="70"/>
      <c r="ARS136" s="70"/>
      <c r="ART136" s="70"/>
      <c r="ARU136" s="70"/>
      <c r="ARV136" s="70"/>
      <c r="ARW136" s="70"/>
      <c r="ARX136" s="70"/>
      <c r="ARY136" s="70"/>
      <c r="ARZ136" s="70"/>
      <c r="ASA136" s="70"/>
      <c r="ASB136" s="70"/>
      <c r="ASC136" s="70"/>
      <c r="ASD136" s="70"/>
      <c r="ASE136" s="70"/>
      <c r="ASF136" s="70"/>
      <c r="ASG136" s="70"/>
      <c r="ASH136" s="70"/>
      <c r="ASI136" s="70"/>
      <c r="ASJ136" s="70"/>
      <c r="ASK136" s="70"/>
      <c r="ASL136" s="70"/>
      <c r="ASM136" s="70"/>
      <c r="ASN136" s="70"/>
      <c r="ASO136" s="70"/>
      <c r="ASP136" s="70"/>
      <c r="ASQ136" s="70"/>
      <c r="ASR136" s="70"/>
      <c r="ASS136" s="70"/>
      <c r="AST136" s="70"/>
      <c r="ASU136" s="70"/>
      <c r="ASV136" s="70"/>
      <c r="ASW136" s="70"/>
      <c r="ASX136" s="70"/>
      <c r="ASY136" s="70"/>
      <c r="ASZ136" s="70"/>
      <c r="ATA136" s="70"/>
      <c r="ATB136" s="70"/>
      <c r="ATC136" s="70"/>
      <c r="ATD136" s="70"/>
      <c r="ATE136" s="70"/>
      <c r="ATF136" s="70"/>
      <c r="ATG136" s="70"/>
      <c r="ATH136" s="70"/>
      <c r="ATI136" s="70"/>
      <c r="ATJ136" s="70"/>
      <c r="ATK136" s="70"/>
      <c r="ATL136" s="70"/>
      <c r="ATM136" s="70"/>
      <c r="ATN136" s="70"/>
      <c r="ATO136" s="70"/>
      <c r="ATP136" s="70"/>
      <c r="ATQ136" s="70"/>
      <c r="ATR136" s="70"/>
      <c r="ATS136" s="70"/>
      <c r="ATT136" s="70"/>
      <c r="ATU136" s="70"/>
      <c r="ATV136" s="70"/>
      <c r="ATW136" s="70"/>
      <c r="ATX136" s="70"/>
      <c r="ATY136" s="70"/>
      <c r="ATZ136" s="70"/>
      <c r="AUA136" s="70"/>
      <c r="AUB136" s="70"/>
      <c r="AUC136" s="70"/>
      <c r="AUD136" s="70"/>
      <c r="AUE136" s="70"/>
      <c r="AUF136" s="70"/>
      <c r="AUG136" s="70"/>
      <c r="AUH136" s="70"/>
      <c r="AUI136" s="70"/>
      <c r="AUJ136" s="70"/>
      <c r="AUK136" s="70"/>
      <c r="AUL136" s="70"/>
      <c r="AUM136" s="70"/>
      <c r="AUN136" s="70"/>
      <c r="AUO136" s="70"/>
      <c r="AUP136" s="70"/>
      <c r="AUQ136" s="70"/>
      <c r="AUR136" s="70"/>
      <c r="AUS136" s="70"/>
      <c r="AUT136" s="70"/>
      <c r="AUU136" s="70"/>
      <c r="AUV136" s="70"/>
      <c r="AUW136" s="70"/>
      <c r="AUX136" s="70"/>
      <c r="AUY136" s="70"/>
      <c r="AUZ136" s="70"/>
      <c r="AVA136" s="70"/>
      <c r="AVB136" s="70"/>
      <c r="AVC136" s="70"/>
      <c r="AVD136" s="70"/>
      <c r="AVE136" s="70"/>
      <c r="AVF136" s="70"/>
      <c r="AVG136" s="70"/>
      <c r="AVH136" s="70"/>
      <c r="AVI136" s="70"/>
      <c r="AVJ136" s="70"/>
      <c r="AVK136" s="70"/>
      <c r="AVL136" s="70"/>
      <c r="AVM136" s="70"/>
      <c r="AVN136" s="70"/>
      <c r="AVO136" s="70"/>
      <c r="AVP136" s="70"/>
      <c r="AVQ136" s="70"/>
      <c r="AVR136" s="70"/>
      <c r="AVS136" s="70"/>
      <c r="AVT136" s="70"/>
      <c r="AVU136" s="70"/>
      <c r="AVV136" s="70"/>
      <c r="AVW136" s="70"/>
      <c r="AVX136" s="70"/>
      <c r="AVY136" s="70"/>
      <c r="AVZ136" s="70"/>
      <c r="AWA136" s="70"/>
      <c r="AWB136" s="70"/>
      <c r="AWC136" s="70"/>
      <c r="AWD136" s="70"/>
      <c r="AWE136" s="70"/>
      <c r="AWF136" s="70"/>
      <c r="AWG136" s="70"/>
      <c r="AWH136" s="70"/>
      <c r="AWI136" s="70"/>
      <c r="AWJ136" s="70"/>
      <c r="AWK136" s="70"/>
      <c r="AWL136" s="70"/>
      <c r="AWM136" s="70"/>
      <c r="AWN136" s="70"/>
      <c r="AWO136" s="70"/>
      <c r="AWP136" s="70"/>
      <c r="AWQ136" s="70"/>
      <c r="AWR136" s="70"/>
      <c r="AWS136" s="70"/>
      <c r="AWT136" s="70"/>
      <c r="AWU136" s="70"/>
      <c r="AWV136" s="70"/>
      <c r="AWW136" s="70"/>
      <c r="AWX136" s="70"/>
      <c r="AWY136" s="70"/>
      <c r="AWZ136" s="70"/>
      <c r="AXA136" s="70"/>
      <c r="AXB136" s="70"/>
      <c r="AXC136" s="70"/>
      <c r="AXD136" s="70"/>
      <c r="AXE136" s="70"/>
      <c r="AXF136" s="70"/>
      <c r="AXG136" s="70"/>
      <c r="AXH136" s="70"/>
      <c r="AXI136" s="70"/>
      <c r="AXJ136" s="70"/>
      <c r="AXK136" s="70"/>
      <c r="AXL136" s="70"/>
      <c r="AXM136" s="70"/>
      <c r="AXN136" s="70"/>
      <c r="AXO136" s="70"/>
      <c r="AXP136" s="70"/>
      <c r="AXQ136" s="70"/>
      <c r="AXR136" s="70"/>
      <c r="AXS136" s="70"/>
      <c r="AXT136" s="70"/>
      <c r="AXU136" s="70"/>
      <c r="AXV136" s="70"/>
      <c r="AXW136" s="70"/>
      <c r="AXX136" s="70"/>
      <c r="AXY136" s="70"/>
      <c r="AXZ136" s="70"/>
      <c r="AYA136" s="70"/>
      <c r="AYB136" s="70"/>
      <c r="AYC136" s="70"/>
      <c r="AYD136" s="70"/>
      <c r="AYE136" s="70"/>
      <c r="AYF136" s="70"/>
      <c r="AYG136" s="70"/>
      <c r="AYH136" s="70"/>
      <c r="AYI136" s="70"/>
      <c r="AYJ136" s="70"/>
      <c r="AYK136" s="70"/>
      <c r="AYL136" s="70"/>
      <c r="AYM136" s="70"/>
      <c r="AYN136" s="70"/>
      <c r="AYO136" s="70"/>
      <c r="AYP136" s="70"/>
      <c r="AYQ136" s="70"/>
      <c r="AYR136" s="70"/>
      <c r="AYS136" s="70"/>
      <c r="AYT136" s="70"/>
      <c r="AYU136" s="70"/>
      <c r="AYV136" s="70"/>
      <c r="AYW136" s="70"/>
      <c r="AYX136" s="70"/>
      <c r="AYY136" s="70"/>
      <c r="AYZ136" s="70"/>
      <c r="AZA136" s="70"/>
      <c r="AZB136" s="70"/>
      <c r="AZC136" s="70"/>
      <c r="AZD136" s="70"/>
      <c r="AZE136" s="70"/>
      <c r="AZF136" s="70"/>
      <c r="AZG136" s="70"/>
      <c r="AZH136" s="70"/>
      <c r="AZI136" s="70"/>
      <c r="AZJ136" s="70"/>
      <c r="AZK136" s="70"/>
      <c r="AZL136" s="70"/>
      <c r="AZM136" s="70"/>
      <c r="AZN136" s="70"/>
      <c r="AZO136" s="70"/>
      <c r="AZP136" s="70"/>
      <c r="AZQ136" s="70"/>
      <c r="AZR136" s="70"/>
      <c r="AZS136" s="70"/>
      <c r="AZT136" s="70"/>
      <c r="AZU136" s="70"/>
      <c r="AZV136" s="70"/>
      <c r="AZW136" s="70"/>
      <c r="AZX136" s="70"/>
      <c r="AZY136" s="70"/>
      <c r="AZZ136" s="70"/>
      <c r="BAA136" s="70"/>
      <c r="BAB136" s="70"/>
      <c r="BAC136" s="70"/>
      <c r="BAD136" s="70"/>
      <c r="BAE136" s="70"/>
      <c r="BAF136" s="70"/>
      <c r="BAG136" s="70"/>
      <c r="BAH136" s="70"/>
      <c r="BAI136" s="70"/>
      <c r="BAJ136" s="70"/>
      <c r="BAK136" s="70"/>
      <c r="BAL136" s="70"/>
      <c r="BAM136" s="70"/>
      <c r="BAN136" s="70"/>
      <c r="BAO136" s="70"/>
      <c r="BAP136" s="70"/>
      <c r="BAQ136" s="70"/>
      <c r="BAR136" s="70"/>
      <c r="BAS136" s="70"/>
      <c r="BAT136" s="70"/>
      <c r="BAU136" s="70"/>
      <c r="BAV136" s="70"/>
      <c r="BAW136" s="70"/>
      <c r="BAX136" s="70"/>
      <c r="BAY136" s="70"/>
      <c r="BAZ136" s="70"/>
      <c r="BBA136" s="70"/>
      <c r="BBB136" s="70"/>
      <c r="BBC136" s="70"/>
      <c r="BBD136" s="70"/>
      <c r="BBE136" s="70"/>
      <c r="BBF136" s="70"/>
      <c r="BBG136" s="70"/>
      <c r="BBH136" s="70"/>
      <c r="BBI136" s="70"/>
      <c r="BBJ136" s="70"/>
      <c r="BBK136" s="70"/>
      <c r="BBL136" s="70"/>
      <c r="BBM136" s="70"/>
      <c r="BBN136" s="70"/>
      <c r="BBO136" s="70"/>
      <c r="BBP136" s="70"/>
      <c r="BBQ136" s="70"/>
      <c r="BBR136" s="70"/>
      <c r="BBS136" s="70"/>
      <c r="BBT136" s="70"/>
      <c r="BBU136" s="70"/>
      <c r="BBV136" s="70"/>
      <c r="BBW136" s="70"/>
      <c r="BBX136" s="70"/>
      <c r="BBY136" s="70"/>
      <c r="BBZ136" s="70"/>
      <c r="BCA136" s="70"/>
      <c r="BCB136" s="70"/>
      <c r="BCC136" s="70"/>
      <c r="BCD136" s="70"/>
      <c r="BCE136" s="70"/>
      <c r="BCF136" s="70"/>
      <c r="BCG136" s="70"/>
      <c r="BCH136" s="70"/>
      <c r="BCI136" s="70"/>
      <c r="BCJ136" s="70"/>
      <c r="BCK136" s="70"/>
      <c r="BCL136" s="70"/>
      <c r="BCM136" s="70"/>
      <c r="BCN136" s="70"/>
      <c r="BCO136" s="70"/>
      <c r="BCP136" s="70"/>
      <c r="BCQ136" s="70"/>
      <c r="BCR136" s="70"/>
      <c r="BCS136" s="70"/>
      <c r="BCT136" s="70"/>
      <c r="BCU136" s="70"/>
      <c r="BCV136" s="70"/>
      <c r="BCW136" s="70"/>
    </row>
    <row r="137" spans="1:1453" s="69" customFormat="1" ht="24.75" customHeight="1" x14ac:dyDescent="0.25">
      <c r="A137" s="50">
        <v>14</v>
      </c>
      <c r="B137" s="73" t="s">
        <v>336</v>
      </c>
      <c r="C137" s="73" t="s">
        <v>337</v>
      </c>
      <c r="D137" s="52">
        <v>4924100</v>
      </c>
      <c r="E137" s="72" t="s">
        <v>338</v>
      </c>
      <c r="F137" s="73" t="s">
        <v>302</v>
      </c>
      <c r="G137" s="71"/>
      <c r="H137" s="71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  <c r="IX137" s="70"/>
      <c r="IY137" s="70"/>
      <c r="IZ137" s="70"/>
      <c r="JA137" s="70"/>
      <c r="JB137" s="70"/>
      <c r="JC137" s="70"/>
      <c r="JD137" s="70"/>
      <c r="JE137" s="70"/>
      <c r="JF137" s="70"/>
      <c r="JG137" s="70"/>
      <c r="JH137" s="70"/>
      <c r="JI137" s="70"/>
      <c r="JJ137" s="70"/>
      <c r="JK137" s="70"/>
      <c r="JL137" s="70"/>
      <c r="JM137" s="70"/>
      <c r="JN137" s="70"/>
      <c r="JO137" s="70"/>
      <c r="JP137" s="70"/>
      <c r="JQ137" s="70"/>
      <c r="JR137" s="70"/>
      <c r="JS137" s="70"/>
      <c r="JT137" s="70"/>
      <c r="JU137" s="70"/>
      <c r="JV137" s="70"/>
      <c r="JW137" s="70"/>
      <c r="JX137" s="70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70"/>
      <c r="KN137" s="70"/>
      <c r="KO137" s="70"/>
      <c r="KP137" s="70"/>
      <c r="KQ137" s="70"/>
      <c r="KR137" s="70"/>
      <c r="KS137" s="70"/>
      <c r="KT137" s="70"/>
      <c r="KU137" s="70"/>
      <c r="KV137" s="70"/>
      <c r="KW137" s="70"/>
      <c r="KX137" s="70"/>
      <c r="KY137" s="70"/>
      <c r="KZ137" s="70"/>
      <c r="LA137" s="70"/>
      <c r="LB137" s="70"/>
      <c r="LC137" s="70"/>
      <c r="LD137" s="70"/>
      <c r="LE137" s="70"/>
      <c r="LF137" s="70"/>
      <c r="LG137" s="70"/>
      <c r="LH137" s="70"/>
      <c r="LI137" s="70"/>
      <c r="LJ137" s="70"/>
      <c r="LK137" s="70"/>
      <c r="LL137" s="70"/>
      <c r="LM137" s="70"/>
      <c r="LN137" s="70"/>
      <c r="LO137" s="70"/>
      <c r="LP137" s="70"/>
      <c r="LQ137" s="70"/>
      <c r="LR137" s="70"/>
      <c r="LS137" s="70"/>
      <c r="LT137" s="70"/>
      <c r="LU137" s="70"/>
      <c r="LV137" s="70"/>
      <c r="LW137" s="70"/>
      <c r="LX137" s="70"/>
      <c r="LY137" s="70"/>
      <c r="LZ137" s="70"/>
      <c r="MA137" s="70"/>
      <c r="MB137" s="70"/>
      <c r="MC137" s="70"/>
      <c r="MD137" s="70"/>
      <c r="ME137" s="70"/>
      <c r="MF137" s="70"/>
      <c r="MG137" s="70"/>
      <c r="MH137" s="70"/>
      <c r="MI137" s="70"/>
      <c r="MJ137" s="70"/>
      <c r="MK137" s="70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70"/>
      <c r="NA137" s="70"/>
      <c r="NB137" s="70"/>
      <c r="NC137" s="70"/>
      <c r="ND137" s="70"/>
      <c r="NE137" s="70"/>
      <c r="NF137" s="70"/>
      <c r="NG137" s="70"/>
      <c r="NH137" s="70"/>
      <c r="NI137" s="70"/>
      <c r="NJ137" s="70"/>
      <c r="NK137" s="70"/>
      <c r="NL137" s="70"/>
      <c r="NM137" s="70"/>
      <c r="NN137" s="70"/>
      <c r="NO137" s="70"/>
      <c r="NP137" s="70"/>
      <c r="NQ137" s="70"/>
      <c r="NR137" s="70"/>
      <c r="NS137" s="70"/>
      <c r="NT137" s="70"/>
      <c r="NU137" s="70"/>
      <c r="NV137" s="70"/>
      <c r="NW137" s="70"/>
      <c r="NX137" s="70"/>
      <c r="NY137" s="70"/>
      <c r="NZ137" s="70"/>
      <c r="OA137" s="70"/>
      <c r="OB137" s="70"/>
      <c r="OC137" s="70"/>
      <c r="OD137" s="70"/>
      <c r="OE137" s="70"/>
      <c r="OF137" s="70"/>
      <c r="OG137" s="70"/>
      <c r="OH137" s="70"/>
      <c r="OI137" s="70"/>
      <c r="OJ137" s="70"/>
      <c r="OK137" s="70"/>
      <c r="OL137" s="70"/>
      <c r="OM137" s="70"/>
      <c r="ON137" s="70"/>
      <c r="OO137" s="70"/>
      <c r="OP137" s="70"/>
      <c r="OQ137" s="70"/>
      <c r="OR137" s="70"/>
      <c r="OS137" s="70"/>
      <c r="OT137" s="70"/>
      <c r="OU137" s="70"/>
      <c r="OV137" s="70"/>
      <c r="OW137" s="70"/>
      <c r="OX137" s="70"/>
      <c r="OY137" s="70"/>
      <c r="OZ137" s="70"/>
      <c r="PA137" s="70"/>
      <c r="PB137" s="70"/>
      <c r="PC137" s="70"/>
      <c r="PD137" s="70"/>
      <c r="PE137" s="70"/>
      <c r="PF137" s="70"/>
      <c r="PG137" s="70"/>
      <c r="PH137" s="70"/>
      <c r="PI137" s="70"/>
      <c r="PJ137" s="70"/>
      <c r="PK137" s="70"/>
      <c r="PL137" s="70"/>
      <c r="PM137" s="70"/>
      <c r="PN137" s="70"/>
      <c r="PO137" s="70"/>
      <c r="PP137" s="70"/>
      <c r="PQ137" s="70"/>
      <c r="PR137" s="70"/>
      <c r="PS137" s="70"/>
      <c r="PT137" s="70"/>
      <c r="PU137" s="70"/>
      <c r="PV137" s="70"/>
      <c r="PW137" s="70"/>
      <c r="PX137" s="70"/>
      <c r="PY137" s="70"/>
      <c r="PZ137" s="70"/>
      <c r="QA137" s="70"/>
      <c r="QB137" s="70"/>
      <c r="QC137" s="70"/>
      <c r="QD137" s="70"/>
      <c r="QE137" s="70"/>
      <c r="QF137" s="70"/>
      <c r="QG137" s="70"/>
      <c r="QH137" s="70"/>
      <c r="QI137" s="70"/>
      <c r="QJ137" s="70"/>
      <c r="QK137" s="70"/>
      <c r="QL137" s="70"/>
      <c r="QM137" s="70"/>
      <c r="QN137" s="70"/>
      <c r="QO137" s="70"/>
      <c r="QP137" s="70"/>
      <c r="QQ137" s="70"/>
      <c r="QR137" s="70"/>
      <c r="QS137" s="70"/>
      <c r="QT137" s="70"/>
      <c r="QU137" s="70"/>
      <c r="QV137" s="70"/>
      <c r="QW137" s="70"/>
      <c r="QX137" s="70"/>
      <c r="QY137" s="70"/>
      <c r="QZ137" s="70"/>
      <c r="RA137" s="70"/>
      <c r="RB137" s="70"/>
      <c r="RC137" s="70"/>
      <c r="RD137" s="70"/>
      <c r="RE137" s="70"/>
      <c r="RF137" s="70"/>
      <c r="RG137" s="70"/>
      <c r="RH137" s="70"/>
      <c r="RI137" s="70"/>
      <c r="RJ137" s="70"/>
      <c r="RK137" s="70"/>
      <c r="RL137" s="70"/>
      <c r="RM137" s="70"/>
      <c r="RN137" s="70"/>
      <c r="RO137" s="70"/>
      <c r="RP137" s="70"/>
      <c r="RQ137" s="70"/>
      <c r="RR137" s="70"/>
      <c r="RS137" s="70"/>
      <c r="RT137" s="70"/>
      <c r="RU137" s="70"/>
      <c r="RV137" s="70"/>
      <c r="RW137" s="70"/>
      <c r="RX137" s="70"/>
      <c r="RY137" s="70"/>
      <c r="RZ137" s="70"/>
      <c r="SA137" s="70"/>
      <c r="SB137" s="70"/>
      <c r="SC137" s="70"/>
      <c r="SD137" s="70"/>
      <c r="SE137" s="70"/>
      <c r="SF137" s="70"/>
      <c r="SG137" s="70"/>
      <c r="SH137" s="70"/>
      <c r="SI137" s="70"/>
      <c r="SJ137" s="70"/>
      <c r="SK137" s="70"/>
      <c r="SL137" s="70"/>
      <c r="SM137" s="70"/>
      <c r="SN137" s="70"/>
      <c r="SO137" s="70"/>
      <c r="SP137" s="70"/>
      <c r="SQ137" s="70"/>
      <c r="SR137" s="70"/>
      <c r="SS137" s="70"/>
      <c r="ST137" s="70"/>
      <c r="SU137" s="70"/>
      <c r="SV137" s="70"/>
      <c r="SW137" s="70"/>
      <c r="SX137" s="70"/>
      <c r="SY137" s="70"/>
      <c r="SZ137" s="70"/>
      <c r="TA137" s="70"/>
      <c r="TB137" s="70"/>
      <c r="TC137" s="70"/>
      <c r="TD137" s="70"/>
      <c r="TE137" s="70"/>
      <c r="TF137" s="70"/>
      <c r="TG137" s="70"/>
      <c r="TH137" s="70"/>
      <c r="TI137" s="70"/>
      <c r="TJ137" s="70"/>
      <c r="TK137" s="70"/>
      <c r="TL137" s="70"/>
      <c r="TM137" s="70"/>
      <c r="TN137" s="70"/>
      <c r="TO137" s="70"/>
      <c r="TP137" s="70"/>
      <c r="TQ137" s="70"/>
      <c r="TR137" s="70"/>
      <c r="TS137" s="70"/>
      <c r="TT137" s="70"/>
      <c r="TU137" s="70"/>
      <c r="TV137" s="70"/>
      <c r="TW137" s="70"/>
      <c r="TX137" s="70"/>
      <c r="TY137" s="70"/>
      <c r="TZ137" s="70"/>
      <c r="UA137" s="70"/>
      <c r="UB137" s="70"/>
      <c r="UC137" s="70"/>
      <c r="UD137" s="70"/>
      <c r="UE137" s="70"/>
      <c r="UF137" s="70"/>
      <c r="UG137" s="70"/>
      <c r="UH137" s="70"/>
      <c r="UI137" s="70"/>
      <c r="UJ137" s="70"/>
      <c r="UK137" s="70"/>
      <c r="UL137" s="70"/>
      <c r="UM137" s="70"/>
      <c r="UN137" s="70"/>
      <c r="UO137" s="70"/>
      <c r="UP137" s="70"/>
      <c r="UQ137" s="70"/>
      <c r="UR137" s="70"/>
      <c r="US137" s="70"/>
      <c r="UT137" s="70"/>
      <c r="UU137" s="70"/>
      <c r="UV137" s="70"/>
      <c r="UW137" s="70"/>
      <c r="UX137" s="70"/>
      <c r="UY137" s="70"/>
      <c r="UZ137" s="70"/>
      <c r="VA137" s="70"/>
      <c r="VB137" s="70"/>
      <c r="VC137" s="70"/>
      <c r="VD137" s="70"/>
      <c r="VE137" s="70"/>
      <c r="VF137" s="70"/>
      <c r="VG137" s="70"/>
      <c r="VH137" s="70"/>
      <c r="VI137" s="70"/>
      <c r="VJ137" s="70"/>
      <c r="VK137" s="70"/>
      <c r="VL137" s="70"/>
      <c r="VM137" s="70"/>
      <c r="VN137" s="70"/>
      <c r="VO137" s="70"/>
      <c r="VP137" s="70"/>
      <c r="VQ137" s="70"/>
      <c r="VR137" s="70"/>
      <c r="VS137" s="70"/>
      <c r="VT137" s="70"/>
      <c r="VU137" s="70"/>
      <c r="VV137" s="70"/>
      <c r="VW137" s="70"/>
      <c r="VX137" s="70"/>
      <c r="VY137" s="70"/>
      <c r="VZ137" s="70"/>
      <c r="WA137" s="70"/>
      <c r="WB137" s="70"/>
      <c r="WC137" s="70"/>
      <c r="WD137" s="70"/>
      <c r="WE137" s="70"/>
      <c r="WF137" s="70"/>
      <c r="WG137" s="70"/>
      <c r="WH137" s="70"/>
      <c r="WI137" s="70"/>
      <c r="WJ137" s="70"/>
      <c r="WK137" s="70"/>
      <c r="WL137" s="70"/>
      <c r="WM137" s="70"/>
      <c r="WN137" s="70"/>
      <c r="WO137" s="70"/>
      <c r="WP137" s="70"/>
      <c r="WQ137" s="70"/>
      <c r="WR137" s="70"/>
      <c r="WS137" s="70"/>
      <c r="WT137" s="70"/>
      <c r="WU137" s="70"/>
      <c r="WV137" s="70"/>
      <c r="WW137" s="70"/>
      <c r="WX137" s="70"/>
      <c r="WY137" s="70"/>
      <c r="WZ137" s="70"/>
      <c r="XA137" s="70"/>
      <c r="XB137" s="70"/>
      <c r="XC137" s="70"/>
      <c r="XD137" s="70"/>
      <c r="XE137" s="70"/>
      <c r="XF137" s="70"/>
      <c r="XG137" s="70"/>
      <c r="XH137" s="70"/>
      <c r="XI137" s="70"/>
      <c r="XJ137" s="70"/>
      <c r="XK137" s="70"/>
      <c r="XL137" s="70"/>
      <c r="XM137" s="70"/>
      <c r="XN137" s="70"/>
      <c r="XO137" s="70"/>
      <c r="XP137" s="70"/>
      <c r="XQ137" s="70"/>
      <c r="XR137" s="70"/>
      <c r="XS137" s="70"/>
      <c r="XT137" s="70"/>
      <c r="XU137" s="70"/>
      <c r="XV137" s="70"/>
      <c r="XW137" s="70"/>
      <c r="XX137" s="70"/>
      <c r="XY137" s="70"/>
      <c r="XZ137" s="70"/>
      <c r="YA137" s="70"/>
      <c r="YB137" s="70"/>
      <c r="YC137" s="70"/>
      <c r="YD137" s="70"/>
      <c r="YE137" s="70"/>
      <c r="YF137" s="70"/>
      <c r="YG137" s="70"/>
      <c r="YH137" s="70"/>
      <c r="YI137" s="70"/>
      <c r="YJ137" s="70"/>
      <c r="YK137" s="70"/>
      <c r="YL137" s="70"/>
      <c r="YM137" s="70"/>
      <c r="YN137" s="70"/>
      <c r="YO137" s="70"/>
      <c r="YP137" s="70"/>
      <c r="YQ137" s="70"/>
      <c r="YR137" s="70"/>
      <c r="YS137" s="70"/>
      <c r="YT137" s="70"/>
      <c r="YU137" s="70"/>
      <c r="YV137" s="70"/>
      <c r="YW137" s="70"/>
      <c r="YX137" s="70"/>
      <c r="YY137" s="70"/>
      <c r="YZ137" s="70"/>
      <c r="ZA137" s="70"/>
      <c r="ZB137" s="70"/>
      <c r="ZC137" s="70"/>
      <c r="ZD137" s="70"/>
      <c r="ZE137" s="70"/>
      <c r="ZF137" s="70"/>
      <c r="ZG137" s="70"/>
      <c r="ZH137" s="70"/>
      <c r="ZI137" s="70"/>
      <c r="ZJ137" s="70"/>
      <c r="ZK137" s="70"/>
      <c r="ZL137" s="70"/>
      <c r="ZM137" s="70"/>
      <c r="ZN137" s="70"/>
      <c r="ZO137" s="70"/>
      <c r="ZP137" s="70"/>
      <c r="ZQ137" s="70"/>
      <c r="ZR137" s="70"/>
      <c r="ZS137" s="70"/>
      <c r="ZT137" s="70"/>
      <c r="ZU137" s="70"/>
      <c r="ZV137" s="70"/>
      <c r="ZW137" s="70"/>
      <c r="ZX137" s="70"/>
      <c r="ZY137" s="70"/>
      <c r="ZZ137" s="70"/>
      <c r="AAA137" s="70"/>
      <c r="AAB137" s="70"/>
      <c r="AAC137" s="70"/>
      <c r="AAD137" s="70"/>
      <c r="AAE137" s="70"/>
      <c r="AAF137" s="70"/>
      <c r="AAG137" s="70"/>
      <c r="AAH137" s="70"/>
      <c r="AAI137" s="70"/>
      <c r="AAJ137" s="70"/>
      <c r="AAK137" s="70"/>
      <c r="AAL137" s="70"/>
      <c r="AAM137" s="70"/>
      <c r="AAN137" s="70"/>
      <c r="AAO137" s="70"/>
      <c r="AAP137" s="70"/>
      <c r="AAQ137" s="70"/>
      <c r="AAR137" s="70"/>
      <c r="AAS137" s="70"/>
      <c r="AAT137" s="70"/>
      <c r="AAU137" s="70"/>
      <c r="AAV137" s="70"/>
      <c r="AAW137" s="70"/>
      <c r="AAX137" s="70"/>
      <c r="AAY137" s="70"/>
      <c r="AAZ137" s="70"/>
      <c r="ABA137" s="70"/>
      <c r="ABB137" s="70"/>
      <c r="ABC137" s="70"/>
      <c r="ABD137" s="70"/>
      <c r="ABE137" s="70"/>
      <c r="ABF137" s="70"/>
      <c r="ABG137" s="70"/>
      <c r="ABH137" s="70"/>
      <c r="ABI137" s="70"/>
      <c r="ABJ137" s="70"/>
      <c r="ABK137" s="70"/>
      <c r="ABL137" s="70"/>
      <c r="ABM137" s="70"/>
      <c r="ABN137" s="70"/>
      <c r="ABO137" s="70"/>
      <c r="ABP137" s="70"/>
      <c r="ABQ137" s="70"/>
      <c r="ABR137" s="70"/>
      <c r="ABS137" s="70"/>
      <c r="ABT137" s="70"/>
      <c r="ABU137" s="70"/>
      <c r="ABV137" s="70"/>
      <c r="ABW137" s="70"/>
      <c r="ABX137" s="70"/>
      <c r="ABY137" s="70"/>
      <c r="ABZ137" s="70"/>
      <c r="ACA137" s="70"/>
      <c r="ACB137" s="70"/>
      <c r="ACC137" s="70"/>
      <c r="ACD137" s="70"/>
      <c r="ACE137" s="70"/>
      <c r="ACF137" s="70"/>
      <c r="ACG137" s="70"/>
      <c r="ACH137" s="70"/>
      <c r="ACI137" s="70"/>
      <c r="ACJ137" s="70"/>
      <c r="ACK137" s="70"/>
      <c r="ACL137" s="70"/>
      <c r="ACM137" s="70"/>
      <c r="ACN137" s="70"/>
      <c r="ACO137" s="70"/>
      <c r="ACP137" s="70"/>
      <c r="ACQ137" s="70"/>
      <c r="ACR137" s="70"/>
      <c r="ACS137" s="70"/>
      <c r="ACT137" s="70"/>
      <c r="ACU137" s="70"/>
      <c r="ACV137" s="70"/>
      <c r="ACW137" s="70"/>
      <c r="ACX137" s="70"/>
      <c r="ACY137" s="70"/>
      <c r="ACZ137" s="70"/>
      <c r="ADA137" s="70"/>
      <c r="ADB137" s="70"/>
      <c r="ADC137" s="70"/>
      <c r="ADD137" s="70"/>
      <c r="ADE137" s="70"/>
      <c r="ADF137" s="70"/>
      <c r="ADG137" s="70"/>
      <c r="ADH137" s="70"/>
      <c r="ADI137" s="70"/>
      <c r="ADJ137" s="70"/>
      <c r="ADK137" s="70"/>
      <c r="ADL137" s="70"/>
      <c r="ADM137" s="70"/>
      <c r="ADN137" s="70"/>
      <c r="ADO137" s="70"/>
      <c r="ADP137" s="70"/>
      <c r="ADQ137" s="70"/>
      <c r="ADR137" s="70"/>
      <c r="ADS137" s="70"/>
      <c r="ADT137" s="70"/>
      <c r="ADU137" s="70"/>
      <c r="ADV137" s="70"/>
      <c r="ADW137" s="70"/>
      <c r="ADX137" s="70"/>
      <c r="ADY137" s="70"/>
      <c r="ADZ137" s="70"/>
      <c r="AEA137" s="70"/>
      <c r="AEB137" s="70"/>
      <c r="AEC137" s="70"/>
      <c r="AED137" s="70"/>
      <c r="AEE137" s="70"/>
      <c r="AEF137" s="70"/>
      <c r="AEG137" s="70"/>
      <c r="AEH137" s="70"/>
      <c r="AEI137" s="70"/>
      <c r="AEJ137" s="70"/>
      <c r="AEK137" s="70"/>
      <c r="AEL137" s="70"/>
      <c r="AEM137" s="70"/>
      <c r="AEN137" s="70"/>
      <c r="AEO137" s="70"/>
      <c r="AEP137" s="70"/>
      <c r="AEQ137" s="70"/>
      <c r="AER137" s="70"/>
      <c r="AES137" s="70"/>
      <c r="AET137" s="70"/>
      <c r="AEU137" s="70"/>
      <c r="AEV137" s="70"/>
      <c r="AEW137" s="70"/>
      <c r="AEX137" s="70"/>
      <c r="AEY137" s="70"/>
      <c r="AEZ137" s="70"/>
      <c r="AFA137" s="70"/>
      <c r="AFB137" s="70"/>
      <c r="AFC137" s="70"/>
      <c r="AFD137" s="70"/>
      <c r="AFE137" s="70"/>
      <c r="AFF137" s="70"/>
      <c r="AFG137" s="70"/>
      <c r="AFH137" s="70"/>
      <c r="AFI137" s="70"/>
      <c r="AFJ137" s="70"/>
      <c r="AFK137" s="70"/>
      <c r="AFL137" s="70"/>
      <c r="AFM137" s="70"/>
      <c r="AFN137" s="70"/>
      <c r="AFO137" s="70"/>
      <c r="AFP137" s="70"/>
      <c r="AFQ137" s="70"/>
      <c r="AFR137" s="70"/>
      <c r="AFS137" s="70"/>
      <c r="AFT137" s="70"/>
      <c r="AFU137" s="70"/>
      <c r="AFV137" s="70"/>
      <c r="AFW137" s="70"/>
      <c r="AFX137" s="70"/>
      <c r="AFY137" s="70"/>
      <c r="AFZ137" s="70"/>
      <c r="AGA137" s="70"/>
      <c r="AGB137" s="70"/>
      <c r="AGC137" s="70"/>
      <c r="AGD137" s="70"/>
      <c r="AGE137" s="70"/>
      <c r="AGF137" s="70"/>
      <c r="AGG137" s="70"/>
      <c r="AGH137" s="70"/>
      <c r="AGI137" s="70"/>
      <c r="AGJ137" s="70"/>
      <c r="AGK137" s="70"/>
      <c r="AGL137" s="70"/>
      <c r="AGM137" s="70"/>
      <c r="AGN137" s="70"/>
      <c r="AGO137" s="70"/>
      <c r="AGP137" s="70"/>
      <c r="AGQ137" s="70"/>
      <c r="AGR137" s="70"/>
      <c r="AGS137" s="70"/>
      <c r="AGT137" s="70"/>
      <c r="AGU137" s="70"/>
      <c r="AGV137" s="70"/>
      <c r="AGW137" s="70"/>
      <c r="AGX137" s="70"/>
      <c r="AGY137" s="70"/>
      <c r="AGZ137" s="70"/>
      <c r="AHA137" s="70"/>
      <c r="AHB137" s="70"/>
      <c r="AHC137" s="70"/>
      <c r="AHD137" s="70"/>
      <c r="AHE137" s="70"/>
      <c r="AHF137" s="70"/>
      <c r="AHG137" s="70"/>
      <c r="AHH137" s="70"/>
      <c r="AHI137" s="70"/>
      <c r="AHJ137" s="70"/>
      <c r="AHK137" s="70"/>
      <c r="AHL137" s="70"/>
      <c r="AHM137" s="70"/>
      <c r="AHN137" s="70"/>
      <c r="AHO137" s="70"/>
      <c r="AHP137" s="70"/>
      <c r="AHQ137" s="70"/>
      <c r="AHR137" s="70"/>
      <c r="AHS137" s="70"/>
      <c r="AHT137" s="70"/>
      <c r="AHU137" s="70"/>
      <c r="AHV137" s="70"/>
      <c r="AHW137" s="70"/>
      <c r="AHX137" s="70"/>
      <c r="AHY137" s="70"/>
      <c r="AHZ137" s="70"/>
      <c r="AIA137" s="70"/>
      <c r="AIB137" s="70"/>
      <c r="AIC137" s="70"/>
      <c r="AID137" s="70"/>
      <c r="AIE137" s="70"/>
      <c r="AIF137" s="70"/>
      <c r="AIG137" s="70"/>
      <c r="AIH137" s="70"/>
      <c r="AII137" s="70"/>
      <c r="AIJ137" s="70"/>
      <c r="AIK137" s="70"/>
      <c r="AIL137" s="70"/>
      <c r="AIM137" s="70"/>
      <c r="AIN137" s="70"/>
      <c r="AIO137" s="70"/>
      <c r="AIP137" s="70"/>
      <c r="AIQ137" s="70"/>
      <c r="AIR137" s="70"/>
      <c r="AIS137" s="70"/>
      <c r="AIT137" s="70"/>
      <c r="AIU137" s="70"/>
      <c r="AIV137" s="70"/>
      <c r="AIW137" s="70"/>
      <c r="AIX137" s="70"/>
      <c r="AIY137" s="70"/>
      <c r="AIZ137" s="70"/>
      <c r="AJA137" s="70"/>
      <c r="AJB137" s="70"/>
      <c r="AJC137" s="70"/>
      <c r="AJD137" s="70"/>
      <c r="AJE137" s="70"/>
      <c r="AJF137" s="70"/>
      <c r="AJG137" s="70"/>
      <c r="AJH137" s="70"/>
      <c r="AJI137" s="70"/>
      <c r="AJJ137" s="70"/>
      <c r="AJK137" s="70"/>
      <c r="AJL137" s="70"/>
      <c r="AJM137" s="70"/>
      <c r="AJN137" s="70"/>
      <c r="AJO137" s="70"/>
      <c r="AJP137" s="70"/>
      <c r="AJQ137" s="70"/>
      <c r="AJR137" s="70"/>
      <c r="AJS137" s="70"/>
      <c r="AJT137" s="70"/>
      <c r="AJU137" s="70"/>
      <c r="AJV137" s="70"/>
      <c r="AJW137" s="70"/>
      <c r="AJX137" s="70"/>
      <c r="AJY137" s="70"/>
      <c r="AJZ137" s="70"/>
      <c r="AKA137" s="70"/>
      <c r="AKB137" s="70"/>
      <c r="AKC137" s="70"/>
      <c r="AKD137" s="70"/>
      <c r="AKE137" s="70"/>
      <c r="AKF137" s="70"/>
      <c r="AKG137" s="70"/>
      <c r="AKH137" s="70"/>
      <c r="AKI137" s="70"/>
      <c r="AKJ137" s="70"/>
      <c r="AKK137" s="70"/>
      <c r="AKL137" s="70"/>
      <c r="AKM137" s="70"/>
      <c r="AKN137" s="70"/>
      <c r="AKO137" s="70"/>
      <c r="AKP137" s="70"/>
      <c r="AKQ137" s="70"/>
      <c r="AKR137" s="70"/>
      <c r="AKS137" s="70"/>
      <c r="AKT137" s="70"/>
      <c r="AKU137" s="70"/>
      <c r="AKV137" s="70"/>
      <c r="AKW137" s="70"/>
      <c r="AKX137" s="70"/>
      <c r="AKY137" s="70"/>
      <c r="AKZ137" s="70"/>
      <c r="ALA137" s="70"/>
      <c r="ALB137" s="70"/>
      <c r="ALC137" s="70"/>
      <c r="ALD137" s="70"/>
      <c r="ALE137" s="70"/>
      <c r="ALF137" s="70"/>
      <c r="ALG137" s="70"/>
      <c r="ALH137" s="70"/>
      <c r="ALI137" s="70"/>
      <c r="ALJ137" s="70"/>
      <c r="ALK137" s="70"/>
      <c r="ALL137" s="70"/>
      <c r="ALM137" s="70"/>
      <c r="ALN137" s="70"/>
      <c r="ALO137" s="70"/>
      <c r="ALP137" s="70"/>
      <c r="ALQ137" s="70"/>
      <c r="ALR137" s="70"/>
      <c r="ALS137" s="70"/>
      <c r="ALT137" s="70"/>
      <c r="ALU137" s="70"/>
      <c r="ALV137" s="70"/>
      <c r="ALW137" s="70"/>
      <c r="ALX137" s="70"/>
      <c r="ALY137" s="70"/>
      <c r="ALZ137" s="70"/>
      <c r="AMA137" s="70"/>
      <c r="AMB137" s="70"/>
      <c r="AMC137" s="70"/>
      <c r="AMD137" s="70"/>
      <c r="AME137" s="70"/>
      <c r="AMF137" s="70"/>
      <c r="AMG137" s="70"/>
      <c r="AMH137" s="70"/>
      <c r="AMI137" s="70"/>
      <c r="AMJ137" s="70"/>
      <c r="AMK137" s="70"/>
      <c r="AML137" s="70"/>
      <c r="AMM137" s="70"/>
      <c r="AMN137" s="70"/>
      <c r="AMO137" s="70"/>
      <c r="AMP137" s="70"/>
      <c r="AMQ137" s="70"/>
      <c r="AMR137" s="70"/>
      <c r="AMS137" s="70"/>
      <c r="AMT137" s="70"/>
      <c r="AMU137" s="70"/>
      <c r="AMV137" s="70"/>
      <c r="AMW137" s="70"/>
      <c r="AMX137" s="70"/>
      <c r="AMY137" s="70"/>
      <c r="AMZ137" s="70"/>
      <c r="ANA137" s="70"/>
      <c r="ANB137" s="70"/>
      <c r="ANC137" s="70"/>
      <c r="AND137" s="70"/>
      <c r="ANE137" s="70"/>
      <c r="ANF137" s="70"/>
      <c r="ANG137" s="70"/>
      <c r="ANH137" s="70"/>
      <c r="ANI137" s="70"/>
      <c r="ANJ137" s="70"/>
      <c r="ANK137" s="70"/>
      <c r="ANL137" s="70"/>
      <c r="ANM137" s="70"/>
      <c r="ANN137" s="70"/>
      <c r="ANO137" s="70"/>
      <c r="ANP137" s="70"/>
      <c r="ANQ137" s="70"/>
      <c r="ANR137" s="70"/>
      <c r="ANS137" s="70"/>
      <c r="ANT137" s="70"/>
      <c r="ANU137" s="70"/>
      <c r="ANV137" s="70"/>
      <c r="ANW137" s="70"/>
      <c r="ANX137" s="70"/>
      <c r="ANY137" s="70"/>
      <c r="ANZ137" s="70"/>
      <c r="AOA137" s="70"/>
      <c r="AOB137" s="70"/>
      <c r="AOC137" s="70"/>
      <c r="AOD137" s="70"/>
      <c r="AOE137" s="70"/>
      <c r="AOF137" s="70"/>
      <c r="AOG137" s="70"/>
      <c r="AOH137" s="70"/>
      <c r="AOI137" s="70"/>
      <c r="AOJ137" s="70"/>
      <c r="AOK137" s="70"/>
      <c r="AOL137" s="70"/>
      <c r="AOM137" s="70"/>
      <c r="AON137" s="70"/>
      <c r="AOO137" s="70"/>
      <c r="AOP137" s="70"/>
      <c r="AOQ137" s="70"/>
      <c r="AOR137" s="70"/>
      <c r="AOS137" s="70"/>
      <c r="AOT137" s="70"/>
      <c r="AOU137" s="70"/>
      <c r="AOV137" s="70"/>
      <c r="AOW137" s="70"/>
      <c r="AOX137" s="70"/>
      <c r="AOY137" s="70"/>
      <c r="AOZ137" s="70"/>
      <c r="APA137" s="70"/>
      <c r="APB137" s="70"/>
      <c r="APC137" s="70"/>
      <c r="APD137" s="70"/>
      <c r="APE137" s="70"/>
      <c r="APF137" s="70"/>
      <c r="APG137" s="70"/>
      <c r="APH137" s="70"/>
      <c r="API137" s="70"/>
      <c r="APJ137" s="70"/>
      <c r="APK137" s="70"/>
      <c r="APL137" s="70"/>
      <c r="APM137" s="70"/>
      <c r="APN137" s="70"/>
      <c r="APO137" s="70"/>
      <c r="APP137" s="70"/>
      <c r="APQ137" s="70"/>
      <c r="APR137" s="70"/>
      <c r="APS137" s="70"/>
      <c r="APT137" s="70"/>
      <c r="APU137" s="70"/>
      <c r="APV137" s="70"/>
      <c r="APW137" s="70"/>
      <c r="APX137" s="70"/>
      <c r="APY137" s="70"/>
      <c r="APZ137" s="70"/>
      <c r="AQA137" s="70"/>
      <c r="AQB137" s="70"/>
      <c r="AQC137" s="70"/>
      <c r="AQD137" s="70"/>
      <c r="AQE137" s="70"/>
      <c r="AQF137" s="70"/>
      <c r="AQG137" s="70"/>
      <c r="AQH137" s="70"/>
      <c r="AQI137" s="70"/>
      <c r="AQJ137" s="70"/>
      <c r="AQK137" s="70"/>
      <c r="AQL137" s="70"/>
      <c r="AQM137" s="70"/>
      <c r="AQN137" s="70"/>
      <c r="AQO137" s="70"/>
      <c r="AQP137" s="70"/>
      <c r="AQQ137" s="70"/>
      <c r="AQR137" s="70"/>
      <c r="AQS137" s="70"/>
      <c r="AQT137" s="70"/>
      <c r="AQU137" s="70"/>
      <c r="AQV137" s="70"/>
      <c r="AQW137" s="70"/>
      <c r="AQX137" s="70"/>
      <c r="AQY137" s="70"/>
      <c r="AQZ137" s="70"/>
      <c r="ARA137" s="70"/>
      <c r="ARB137" s="70"/>
      <c r="ARC137" s="70"/>
      <c r="ARD137" s="70"/>
      <c r="ARE137" s="70"/>
      <c r="ARF137" s="70"/>
      <c r="ARG137" s="70"/>
      <c r="ARH137" s="70"/>
      <c r="ARI137" s="70"/>
      <c r="ARJ137" s="70"/>
      <c r="ARK137" s="70"/>
      <c r="ARL137" s="70"/>
      <c r="ARM137" s="70"/>
      <c r="ARN137" s="70"/>
      <c r="ARO137" s="70"/>
      <c r="ARP137" s="70"/>
      <c r="ARQ137" s="70"/>
      <c r="ARR137" s="70"/>
      <c r="ARS137" s="70"/>
      <c r="ART137" s="70"/>
      <c r="ARU137" s="70"/>
      <c r="ARV137" s="70"/>
      <c r="ARW137" s="70"/>
      <c r="ARX137" s="70"/>
      <c r="ARY137" s="70"/>
      <c r="ARZ137" s="70"/>
      <c r="ASA137" s="70"/>
      <c r="ASB137" s="70"/>
      <c r="ASC137" s="70"/>
      <c r="ASD137" s="70"/>
      <c r="ASE137" s="70"/>
      <c r="ASF137" s="70"/>
      <c r="ASG137" s="70"/>
      <c r="ASH137" s="70"/>
      <c r="ASI137" s="70"/>
      <c r="ASJ137" s="70"/>
      <c r="ASK137" s="70"/>
      <c r="ASL137" s="70"/>
      <c r="ASM137" s="70"/>
      <c r="ASN137" s="70"/>
      <c r="ASO137" s="70"/>
      <c r="ASP137" s="70"/>
      <c r="ASQ137" s="70"/>
      <c r="ASR137" s="70"/>
      <c r="ASS137" s="70"/>
      <c r="AST137" s="70"/>
      <c r="ASU137" s="70"/>
      <c r="ASV137" s="70"/>
      <c r="ASW137" s="70"/>
      <c r="ASX137" s="70"/>
      <c r="ASY137" s="70"/>
      <c r="ASZ137" s="70"/>
      <c r="ATA137" s="70"/>
      <c r="ATB137" s="70"/>
      <c r="ATC137" s="70"/>
      <c r="ATD137" s="70"/>
      <c r="ATE137" s="70"/>
      <c r="ATF137" s="70"/>
      <c r="ATG137" s="70"/>
      <c r="ATH137" s="70"/>
      <c r="ATI137" s="70"/>
      <c r="ATJ137" s="70"/>
      <c r="ATK137" s="70"/>
      <c r="ATL137" s="70"/>
      <c r="ATM137" s="70"/>
      <c r="ATN137" s="70"/>
      <c r="ATO137" s="70"/>
      <c r="ATP137" s="70"/>
      <c r="ATQ137" s="70"/>
      <c r="ATR137" s="70"/>
      <c r="ATS137" s="70"/>
      <c r="ATT137" s="70"/>
      <c r="ATU137" s="70"/>
      <c r="ATV137" s="70"/>
      <c r="ATW137" s="70"/>
      <c r="ATX137" s="70"/>
      <c r="ATY137" s="70"/>
      <c r="ATZ137" s="70"/>
      <c r="AUA137" s="70"/>
      <c r="AUB137" s="70"/>
      <c r="AUC137" s="70"/>
      <c r="AUD137" s="70"/>
      <c r="AUE137" s="70"/>
      <c r="AUF137" s="70"/>
      <c r="AUG137" s="70"/>
      <c r="AUH137" s="70"/>
      <c r="AUI137" s="70"/>
      <c r="AUJ137" s="70"/>
      <c r="AUK137" s="70"/>
      <c r="AUL137" s="70"/>
      <c r="AUM137" s="70"/>
      <c r="AUN137" s="70"/>
      <c r="AUO137" s="70"/>
      <c r="AUP137" s="70"/>
      <c r="AUQ137" s="70"/>
      <c r="AUR137" s="70"/>
      <c r="AUS137" s="70"/>
      <c r="AUT137" s="70"/>
      <c r="AUU137" s="70"/>
      <c r="AUV137" s="70"/>
      <c r="AUW137" s="70"/>
      <c r="AUX137" s="70"/>
      <c r="AUY137" s="70"/>
      <c r="AUZ137" s="70"/>
      <c r="AVA137" s="70"/>
      <c r="AVB137" s="70"/>
      <c r="AVC137" s="70"/>
      <c r="AVD137" s="70"/>
      <c r="AVE137" s="70"/>
      <c r="AVF137" s="70"/>
      <c r="AVG137" s="70"/>
      <c r="AVH137" s="70"/>
      <c r="AVI137" s="70"/>
      <c r="AVJ137" s="70"/>
      <c r="AVK137" s="70"/>
      <c r="AVL137" s="70"/>
      <c r="AVM137" s="70"/>
      <c r="AVN137" s="70"/>
      <c r="AVO137" s="70"/>
      <c r="AVP137" s="70"/>
      <c r="AVQ137" s="70"/>
      <c r="AVR137" s="70"/>
      <c r="AVS137" s="70"/>
      <c r="AVT137" s="70"/>
      <c r="AVU137" s="70"/>
      <c r="AVV137" s="70"/>
      <c r="AVW137" s="70"/>
      <c r="AVX137" s="70"/>
      <c r="AVY137" s="70"/>
      <c r="AVZ137" s="70"/>
      <c r="AWA137" s="70"/>
      <c r="AWB137" s="70"/>
      <c r="AWC137" s="70"/>
      <c r="AWD137" s="70"/>
      <c r="AWE137" s="70"/>
      <c r="AWF137" s="70"/>
      <c r="AWG137" s="70"/>
      <c r="AWH137" s="70"/>
      <c r="AWI137" s="70"/>
      <c r="AWJ137" s="70"/>
      <c r="AWK137" s="70"/>
      <c r="AWL137" s="70"/>
      <c r="AWM137" s="70"/>
      <c r="AWN137" s="70"/>
      <c r="AWO137" s="70"/>
      <c r="AWP137" s="70"/>
      <c r="AWQ137" s="70"/>
      <c r="AWR137" s="70"/>
      <c r="AWS137" s="70"/>
      <c r="AWT137" s="70"/>
      <c r="AWU137" s="70"/>
      <c r="AWV137" s="70"/>
      <c r="AWW137" s="70"/>
      <c r="AWX137" s="70"/>
      <c r="AWY137" s="70"/>
      <c r="AWZ137" s="70"/>
      <c r="AXA137" s="70"/>
      <c r="AXB137" s="70"/>
      <c r="AXC137" s="70"/>
      <c r="AXD137" s="70"/>
      <c r="AXE137" s="70"/>
      <c r="AXF137" s="70"/>
      <c r="AXG137" s="70"/>
      <c r="AXH137" s="70"/>
      <c r="AXI137" s="70"/>
      <c r="AXJ137" s="70"/>
      <c r="AXK137" s="70"/>
      <c r="AXL137" s="70"/>
      <c r="AXM137" s="70"/>
      <c r="AXN137" s="70"/>
      <c r="AXO137" s="70"/>
      <c r="AXP137" s="70"/>
      <c r="AXQ137" s="70"/>
      <c r="AXR137" s="70"/>
      <c r="AXS137" s="70"/>
      <c r="AXT137" s="70"/>
      <c r="AXU137" s="70"/>
      <c r="AXV137" s="70"/>
      <c r="AXW137" s="70"/>
      <c r="AXX137" s="70"/>
      <c r="AXY137" s="70"/>
      <c r="AXZ137" s="70"/>
      <c r="AYA137" s="70"/>
      <c r="AYB137" s="70"/>
      <c r="AYC137" s="70"/>
      <c r="AYD137" s="70"/>
      <c r="AYE137" s="70"/>
      <c r="AYF137" s="70"/>
      <c r="AYG137" s="70"/>
      <c r="AYH137" s="70"/>
      <c r="AYI137" s="70"/>
      <c r="AYJ137" s="70"/>
      <c r="AYK137" s="70"/>
      <c r="AYL137" s="70"/>
      <c r="AYM137" s="70"/>
      <c r="AYN137" s="70"/>
      <c r="AYO137" s="70"/>
      <c r="AYP137" s="70"/>
      <c r="AYQ137" s="70"/>
      <c r="AYR137" s="70"/>
      <c r="AYS137" s="70"/>
      <c r="AYT137" s="70"/>
      <c r="AYU137" s="70"/>
      <c r="AYV137" s="70"/>
      <c r="AYW137" s="70"/>
      <c r="AYX137" s="70"/>
      <c r="AYY137" s="70"/>
      <c r="AYZ137" s="70"/>
      <c r="AZA137" s="70"/>
      <c r="AZB137" s="70"/>
      <c r="AZC137" s="70"/>
      <c r="AZD137" s="70"/>
      <c r="AZE137" s="70"/>
      <c r="AZF137" s="70"/>
      <c r="AZG137" s="70"/>
      <c r="AZH137" s="70"/>
      <c r="AZI137" s="70"/>
      <c r="AZJ137" s="70"/>
      <c r="AZK137" s="70"/>
      <c r="AZL137" s="70"/>
      <c r="AZM137" s="70"/>
      <c r="AZN137" s="70"/>
      <c r="AZO137" s="70"/>
      <c r="AZP137" s="70"/>
      <c r="AZQ137" s="70"/>
      <c r="AZR137" s="70"/>
      <c r="AZS137" s="70"/>
      <c r="AZT137" s="70"/>
      <c r="AZU137" s="70"/>
      <c r="AZV137" s="70"/>
      <c r="AZW137" s="70"/>
      <c r="AZX137" s="70"/>
      <c r="AZY137" s="70"/>
      <c r="AZZ137" s="70"/>
      <c r="BAA137" s="70"/>
      <c r="BAB137" s="70"/>
      <c r="BAC137" s="70"/>
      <c r="BAD137" s="70"/>
      <c r="BAE137" s="70"/>
      <c r="BAF137" s="70"/>
      <c r="BAG137" s="70"/>
      <c r="BAH137" s="70"/>
      <c r="BAI137" s="70"/>
      <c r="BAJ137" s="70"/>
      <c r="BAK137" s="70"/>
      <c r="BAL137" s="70"/>
      <c r="BAM137" s="70"/>
      <c r="BAN137" s="70"/>
      <c r="BAO137" s="70"/>
      <c r="BAP137" s="70"/>
      <c r="BAQ137" s="70"/>
      <c r="BAR137" s="70"/>
      <c r="BAS137" s="70"/>
      <c r="BAT137" s="70"/>
      <c r="BAU137" s="70"/>
      <c r="BAV137" s="70"/>
      <c r="BAW137" s="70"/>
      <c r="BAX137" s="70"/>
      <c r="BAY137" s="70"/>
      <c r="BAZ137" s="70"/>
      <c r="BBA137" s="70"/>
      <c r="BBB137" s="70"/>
      <c r="BBC137" s="70"/>
      <c r="BBD137" s="70"/>
      <c r="BBE137" s="70"/>
      <c r="BBF137" s="70"/>
      <c r="BBG137" s="70"/>
      <c r="BBH137" s="70"/>
      <c r="BBI137" s="70"/>
      <c r="BBJ137" s="70"/>
      <c r="BBK137" s="70"/>
      <c r="BBL137" s="70"/>
      <c r="BBM137" s="70"/>
      <c r="BBN137" s="70"/>
      <c r="BBO137" s="70"/>
      <c r="BBP137" s="70"/>
      <c r="BBQ137" s="70"/>
      <c r="BBR137" s="70"/>
      <c r="BBS137" s="70"/>
      <c r="BBT137" s="70"/>
      <c r="BBU137" s="70"/>
      <c r="BBV137" s="70"/>
      <c r="BBW137" s="70"/>
      <c r="BBX137" s="70"/>
      <c r="BBY137" s="70"/>
      <c r="BBZ137" s="70"/>
      <c r="BCA137" s="70"/>
      <c r="BCB137" s="70"/>
      <c r="BCC137" s="70"/>
      <c r="BCD137" s="70"/>
      <c r="BCE137" s="70"/>
      <c r="BCF137" s="70"/>
      <c r="BCG137" s="70"/>
      <c r="BCH137" s="70"/>
      <c r="BCI137" s="70"/>
      <c r="BCJ137" s="70"/>
      <c r="BCK137" s="70"/>
      <c r="BCL137" s="70"/>
      <c r="BCM137" s="70"/>
      <c r="BCN137" s="70"/>
      <c r="BCO137" s="70"/>
      <c r="BCP137" s="70"/>
      <c r="BCQ137" s="70"/>
      <c r="BCR137" s="70"/>
      <c r="BCS137" s="70"/>
      <c r="BCT137" s="70"/>
      <c r="BCU137" s="70"/>
      <c r="BCV137" s="70"/>
      <c r="BCW137" s="70"/>
    </row>
    <row r="138" spans="1:1453" s="69" customFormat="1" ht="24.75" customHeight="1" x14ac:dyDescent="0.25">
      <c r="A138" s="50">
        <v>15</v>
      </c>
      <c r="B138" s="73" t="s">
        <v>333</v>
      </c>
      <c r="C138" s="73" t="s">
        <v>334</v>
      </c>
      <c r="D138" s="52">
        <v>2062393</v>
      </c>
      <c r="E138" s="150" t="s">
        <v>514</v>
      </c>
      <c r="F138" s="73" t="s">
        <v>335</v>
      </c>
      <c r="G138" s="71"/>
      <c r="H138" s="71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0"/>
      <c r="BO138" s="70"/>
      <c r="BP138" s="70"/>
      <c r="BQ138" s="70"/>
      <c r="BR138" s="70"/>
      <c r="BS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70"/>
      <c r="CE138" s="70"/>
      <c r="CF138" s="70"/>
      <c r="CG138" s="70"/>
      <c r="CH138" s="70"/>
      <c r="CI138" s="70"/>
      <c r="CJ138" s="70"/>
      <c r="CK138" s="70"/>
      <c r="CL138" s="70"/>
      <c r="CM138" s="70"/>
      <c r="CN138" s="70"/>
      <c r="CO138" s="70"/>
      <c r="CP138" s="70"/>
      <c r="CQ138" s="70"/>
      <c r="CR138" s="70"/>
      <c r="CS138" s="70"/>
      <c r="CT138" s="70"/>
      <c r="CU138" s="70"/>
      <c r="CV138" s="70"/>
      <c r="CW138" s="70"/>
      <c r="CX138" s="70"/>
      <c r="CY138" s="70"/>
      <c r="CZ138" s="70"/>
      <c r="DA138" s="70"/>
      <c r="DB138" s="70"/>
      <c r="DC138" s="70"/>
      <c r="DD138" s="70"/>
      <c r="DE138" s="70"/>
      <c r="DF138" s="70"/>
      <c r="DG138" s="70"/>
      <c r="DH138" s="70"/>
      <c r="DI138" s="70"/>
      <c r="DJ138" s="70"/>
      <c r="DK138" s="70"/>
      <c r="DL138" s="70"/>
      <c r="DM138" s="70"/>
      <c r="DN138" s="70"/>
      <c r="DO138" s="70"/>
      <c r="DP138" s="70"/>
      <c r="DQ138" s="70"/>
      <c r="DR138" s="70"/>
      <c r="DS138" s="70"/>
      <c r="DT138" s="70"/>
      <c r="DU138" s="70"/>
      <c r="DV138" s="70"/>
      <c r="DW138" s="70"/>
      <c r="DX138" s="70"/>
      <c r="DY138" s="70"/>
      <c r="DZ138" s="70"/>
      <c r="EA138" s="70"/>
      <c r="EB138" s="70"/>
      <c r="EC138" s="70"/>
      <c r="ED138" s="70"/>
      <c r="EE138" s="70"/>
      <c r="EF138" s="70"/>
      <c r="EG138" s="70"/>
      <c r="EH138" s="70"/>
      <c r="EI138" s="70"/>
      <c r="EJ138" s="70"/>
      <c r="EK138" s="70"/>
      <c r="EL138" s="70"/>
      <c r="EM138" s="70"/>
      <c r="EN138" s="70"/>
      <c r="EO138" s="70"/>
      <c r="EP138" s="70"/>
      <c r="EQ138" s="70"/>
      <c r="ER138" s="70"/>
      <c r="ES138" s="70"/>
      <c r="ET138" s="70"/>
      <c r="EU138" s="70"/>
      <c r="EV138" s="70"/>
      <c r="EW138" s="70"/>
      <c r="EX138" s="70"/>
      <c r="EY138" s="70"/>
      <c r="EZ138" s="70"/>
      <c r="FA138" s="70"/>
      <c r="FB138" s="70"/>
      <c r="FC138" s="70"/>
      <c r="FD138" s="70"/>
      <c r="FE138" s="70"/>
      <c r="FF138" s="70"/>
      <c r="FG138" s="70"/>
      <c r="FH138" s="70"/>
      <c r="FI138" s="70"/>
      <c r="FJ138" s="70"/>
      <c r="FK138" s="70"/>
      <c r="FL138" s="70"/>
      <c r="FM138" s="70"/>
      <c r="FN138" s="70"/>
      <c r="FO138" s="70"/>
      <c r="FP138" s="70"/>
      <c r="FQ138" s="70"/>
      <c r="FR138" s="70"/>
      <c r="FS138" s="70"/>
      <c r="FT138" s="70"/>
      <c r="FU138" s="70"/>
      <c r="FV138" s="70"/>
      <c r="FW138" s="70"/>
      <c r="FX138" s="70"/>
      <c r="FY138" s="70"/>
      <c r="FZ138" s="70"/>
      <c r="GA138" s="70"/>
      <c r="GB138" s="70"/>
      <c r="GC138" s="70"/>
      <c r="GD138" s="70"/>
      <c r="GE138" s="70"/>
      <c r="GF138" s="70"/>
      <c r="GG138" s="70"/>
      <c r="GH138" s="70"/>
      <c r="GI138" s="70"/>
      <c r="GJ138" s="70"/>
      <c r="GK138" s="70"/>
      <c r="GL138" s="70"/>
      <c r="GM138" s="70"/>
      <c r="GN138" s="70"/>
      <c r="GO138" s="70"/>
      <c r="GP138" s="70"/>
      <c r="GQ138" s="70"/>
      <c r="GR138" s="70"/>
      <c r="GS138" s="70"/>
      <c r="GT138" s="70"/>
      <c r="GU138" s="70"/>
      <c r="GV138" s="70"/>
      <c r="GW138" s="70"/>
      <c r="GX138" s="70"/>
      <c r="GY138" s="70"/>
      <c r="GZ138" s="70"/>
      <c r="HA138" s="70"/>
      <c r="HB138" s="70"/>
      <c r="HC138" s="70"/>
      <c r="HD138" s="70"/>
      <c r="HE138" s="70"/>
      <c r="HF138" s="70"/>
      <c r="HG138" s="70"/>
      <c r="HH138" s="70"/>
      <c r="HI138" s="70"/>
      <c r="HJ138" s="70"/>
      <c r="HK138" s="70"/>
      <c r="HL138" s="70"/>
      <c r="HM138" s="70"/>
      <c r="HN138" s="70"/>
      <c r="HO138" s="70"/>
      <c r="HP138" s="70"/>
      <c r="HQ138" s="70"/>
      <c r="HR138" s="70"/>
      <c r="HS138" s="70"/>
      <c r="HT138" s="70"/>
      <c r="HU138" s="70"/>
      <c r="HV138" s="70"/>
      <c r="HW138" s="70"/>
      <c r="HX138" s="70"/>
      <c r="HY138" s="70"/>
      <c r="HZ138" s="70"/>
      <c r="IA138" s="70"/>
      <c r="IB138" s="70"/>
      <c r="IC138" s="70"/>
      <c r="ID138" s="70"/>
      <c r="IE138" s="70"/>
      <c r="IF138" s="70"/>
      <c r="IG138" s="70"/>
      <c r="IH138" s="70"/>
      <c r="II138" s="70"/>
      <c r="IJ138" s="70"/>
      <c r="IK138" s="70"/>
      <c r="IL138" s="70"/>
      <c r="IM138" s="70"/>
      <c r="IN138" s="70"/>
      <c r="IO138" s="70"/>
      <c r="IP138" s="70"/>
      <c r="IQ138" s="70"/>
      <c r="IR138" s="70"/>
      <c r="IS138" s="70"/>
      <c r="IT138" s="70"/>
      <c r="IU138" s="70"/>
      <c r="IV138" s="70"/>
      <c r="IW138" s="70"/>
      <c r="IX138" s="70"/>
      <c r="IY138" s="70"/>
      <c r="IZ138" s="70"/>
      <c r="JA138" s="70"/>
      <c r="JB138" s="70"/>
      <c r="JC138" s="70"/>
      <c r="JD138" s="70"/>
      <c r="JE138" s="70"/>
      <c r="JF138" s="70"/>
      <c r="JG138" s="70"/>
      <c r="JH138" s="70"/>
      <c r="JI138" s="70"/>
      <c r="JJ138" s="70"/>
      <c r="JK138" s="70"/>
      <c r="JL138" s="70"/>
      <c r="JM138" s="70"/>
      <c r="JN138" s="70"/>
      <c r="JO138" s="70"/>
      <c r="JP138" s="70"/>
      <c r="JQ138" s="70"/>
      <c r="JR138" s="70"/>
      <c r="JS138" s="70"/>
      <c r="JT138" s="70"/>
      <c r="JU138" s="70"/>
      <c r="JV138" s="70"/>
      <c r="JW138" s="70"/>
      <c r="JX138" s="70"/>
      <c r="JY138" s="70"/>
      <c r="JZ138" s="70"/>
      <c r="KA138" s="70"/>
      <c r="KB138" s="70"/>
      <c r="KC138" s="70"/>
      <c r="KD138" s="70"/>
      <c r="KE138" s="70"/>
      <c r="KF138" s="70"/>
      <c r="KG138" s="70"/>
      <c r="KH138" s="70"/>
      <c r="KI138" s="70"/>
      <c r="KJ138" s="70"/>
      <c r="KK138" s="70"/>
      <c r="KL138" s="70"/>
      <c r="KM138" s="70"/>
      <c r="KN138" s="70"/>
      <c r="KO138" s="70"/>
      <c r="KP138" s="70"/>
      <c r="KQ138" s="70"/>
      <c r="KR138" s="70"/>
      <c r="KS138" s="70"/>
      <c r="KT138" s="70"/>
      <c r="KU138" s="70"/>
      <c r="KV138" s="70"/>
      <c r="KW138" s="70"/>
      <c r="KX138" s="70"/>
      <c r="KY138" s="70"/>
      <c r="KZ138" s="70"/>
      <c r="LA138" s="70"/>
      <c r="LB138" s="70"/>
      <c r="LC138" s="70"/>
      <c r="LD138" s="70"/>
      <c r="LE138" s="70"/>
      <c r="LF138" s="70"/>
      <c r="LG138" s="70"/>
      <c r="LH138" s="70"/>
      <c r="LI138" s="70"/>
      <c r="LJ138" s="70"/>
      <c r="LK138" s="70"/>
      <c r="LL138" s="70"/>
      <c r="LM138" s="70"/>
      <c r="LN138" s="70"/>
      <c r="LO138" s="70"/>
      <c r="LP138" s="70"/>
      <c r="LQ138" s="70"/>
      <c r="LR138" s="70"/>
      <c r="LS138" s="70"/>
      <c r="LT138" s="70"/>
      <c r="LU138" s="70"/>
      <c r="LV138" s="70"/>
      <c r="LW138" s="70"/>
      <c r="LX138" s="70"/>
      <c r="LY138" s="70"/>
      <c r="LZ138" s="70"/>
      <c r="MA138" s="70"/>
      <c r="MB138" s="70"/>
      <c r="MC138" s="70"/>
      <c r="MD138" s="70"/>
      <c r="ME138" s="70"/>
      <c r="MF138" s="70"/>
      <c r="MG138" s="70"/>
      <c r="MH138" s="70"/>
      <c r="MI138" s="70"/>
      <c r="MJ138" s="70"/>
      <c r="MK138" s="70"/>
      <c r="ML138" s="70"/>
      <c r="MM138" s="70"/>
      <c r="MN138" s="70"/>
      <c r="MO138" s="70"/>
      <c r="MP138" s="70"/>
      <c r="MQ138" s="70"/>
      <c r="MR138" s="70"/>
      <c r="MS138" s="70"/>
      <c r="MT138" s="70"/>
      <c r="MU138" s="70"/>
      <c r="MV138" s="70"/>
      <c r="MW138" s="70"/>
      <c r="MX138" s="70"/>
      <c r="MY138" s="70"/>
      <c r="MZ138" s="70"/>
      <c r="NA138" s="70"/>
      <c r="NB138" s="70"/>
      <c r="NC138" s="70"/>
      <c r="ND138" s="70"/>
      <c r="NE138" s="70"/>
      <c r="NF138" s="70"/>
      <c r="NG138" s="70"/>
      <c r="NH138" s="70"/>
      <c r="NI138" s="70"/>
      <c r="NJ138" s="70"/>
      <c r="NK138" s="70"/>
      <c r="NL138" s="70"/>
      <c r="NM138" s="70"/>
      <c r="NN138" s="70"/>
      <c r="NO138" s="70"/>
      <c r="NP138" s="70"/>
      <c r="NQ138" s="70"/>
      <c r="NR138" s="70"/>
      <c r="NS138" s="70"/>
      <c r="NT138" s="70"/>
      <c r="NU138" s="70"/>
      <c r="NV138" s="70"/>
      <c r="NW138" s="70"/>
      <c r="NX138" s="70"/>
      <c r="NY138" s="70"/>
      <c r="NZ138" s="70"/>
      <c r="OA138" s="70"/>
      <c r="OB138" s="70"/>
      <c r="OC138" s="70"/>
      <c r="OD138" s="70"/>
      <c r="OE138" s="70"/>
      <c r="OF138" s="70"/>
      <c r="OG138" s="70"/>
      <c r="OH138" s="70"/>
      <c r="OI138" s="70"/>
      <c r="OJ138" s="70"/>
      <c r="OK138" s="70"/>
      <c r="OL138" s="70"/>
      <c r="OM138" s="70"/>
      <c r="ON138" s="70"/>
      <c r="OO138" s="70"/>
      <c r="OP138" s="70"/>
      <c r="OQ138" s="70"/>
      <c r="OR138" s="70"/>
      <c r="OS138" s="70"/>
      <c r="OT138" s="70"/>
      <c r="OU138" s="70"/>
      <c r="OV138" s="70"/>
      <c r="OW138" s="70"/>
      <c r="OX138" s="70"/>
      <c r="OY138" s="70"/>
      <c r="OZ138" s="70"/>
      <c r="PA138" s="70"/>
      <c r="PB138" s="70"/>
      <c r="PC138" s="70"/>
      <c r="PD138" s="70"/>
      <c r="PE138" s="70"/>
      <c r="PF138" s="70"/>
      <c r="PG138" s="70"/>
      <c r="PH138" s="70"/>
      <c r="PI138" s="70"/>
      <c r="PJ138" s="70"/>
      <c r="PK138" s="70"/>
      <c r="PL138" s="70"/>
      <c r="PM138" s="70"/>
      <c r="PN138" s="70"/>
      <c r="PO138" s="70"/>
      <c r="PP138" s="70"/>
      <c r="PQ138" s="70"/>
      <c r="PR138" s="70"/>
      <c r="PS138" s="70"/>
      <c r="PT138" s="70"/>
      <c r="PU138" s="70"/>
      <c r="PV138" s="70"/>
      <c r="PW138" s="70"/>
      <c r="PX138" s="70"/>
      <c r="PY138" s="70"/>
      <c r="PZ138" s="70"/>
      <c r="QA138" s="70"/>
      <c r="QB138" s="70"/>
      <c r="QC138" s="70"/>
      <c r="QD138" s="70"/>
      <c r="QE138" s="70"/>
      <c r="QF138" s="70"/>
      <c r="QG138" s="70"/>
      <c r="QH138" s="70"/>
      <c r="QI138" s="70"/>
      <c r="QJ138" s="70"/>
      <c r="QK138" s="70"/>
      <c r="QL138" s="70"/>
      <c r="QM138" s="70"/>
      <c r="QN138" s="70"/>
      <c r="QO138" s="70"/>
      <c r="QP138" s="70"/>
      <c r="QQ138" s="70"/>
      <c r="QR138" s="70"/>
      <c r="QS138" s="70"/>
      <c r="QT138" s="70"/>
      <c r="QU138" s="70"/>
      <c r="QV138" s="70"/>
      <c r="QW138" s="70"/>
      <c r="QX138" s="70"/>
      <c r="QY138" s="70"/>
      <c r="QZ138" s="70"/>
      <c r="RA138" s="70"/>
      <c r="RB138" s="70"/>
      <c r="RC138" s="70"/>
      <c r="RD138" s="70"/>
      <c r="RE138" s="70"/>
      <c r="RF138" s="70"/>
      <c r="RG138" s="70"/>
      <c r="RH138" s="70"/>
      <c r="RI138" s="70"/>
      <c r="RJ138" s="70"/>
      <c r="RK138" s="70"/>
      <c r="RL138" s="70"/>
      <c r="RM138" s="70"/>
      <c r="RN138" s="70"/>
      <c r="RO138" s="70"/>
      <c r="RP138" s="70"/>
      <c r="RQ138" s="70"/>
      <c r="RR138" s="70"/>
      <c r="RS138" s="70"/>
      <c r="RT138" s="70"/>
      <c r="RU138" s="70"/>
      <c r="RV138" s="70"/>
      <c r="RW138" s="70"/>
      <c r="RX138" s="70"/>
      <c r="RY138" s="70"/>
      <c r="RZ138" s="70"/>
      <c r="SA138" s="70"/>
      <c r="SB138" s="70"/>
      <c r="SC138" s="70"/>
      <c r="SD138" s="70"/>
      <c r="SE138" s="70"/>
      <c r="SF138" s="70"/>
      <c r="SG138" s="70"/>
      <c r="SH138" s="70"/>
      <c r="SI138" s="70"/>
      <c r="SJ138" s="70"/>
      <c r="SK138" s="70"/>
      <c r="SL138" s="70"/>
      <c r="SM138" s="70"/>
      <c r="SN138" s="70"/>
      <c r="SO138" s="70"/>
      <c r="SP138" s="70"/>
      <c r="SQ138" s="70"/>
      <c r="SR138" s="70"/>
      <c r="SS138" s="70"/>
      <c r="ST138" s="70"/>
      <c r="SU138" s="70"/>
      <c r="SV138" s="70"/>
      <c r="SW138" s="70"/>
      <c r="SX138" s="70"/>
      <c r="SY138" s="70"/>
      <c r="SZ138" s="70"/>
      <c r="TA138" s="70"/>
      <c r="TB138" s="70"/>
      <c r="TC138" s="70"/>
      <c r="TD138" s="70"/>
      <c r="TE138" s="70"/>
      <c r="TF138" s="70"/>
      <c r="TG138" s="70"/>
      <c r="TH138" s="70"/>
      <c r="TI138" s="70"/>
      <c r="TJ138" s="70"/>
      <c r="TK138" s="70"/>
      <c r="TL138" s="70"/>
      <c r="TM138" s="70"/>
      <c r="TN138" s="70"/>
      <c r="TO138" s="70"/>
      <c r="TP138" s="70"/>
      <c r="TQ138" s="70"/>
      <c r="TR138" s="70"/>
      <c r="TS138" s="70"/>
      <c r="TT138" s="70"/>
      <c r="TU138" s="70"/>
      <c r="TV138" s="70"/>
      <c r="TW138" s="70"/>
      <c r="TX138" s="70"/>
      <c r="TY138" s="70"/>
      <c r="TZ138" s="70"/>
      <c r="UA138" s="70"/>
      <c r="UB138" s="70"/>
      <c r="UC138" s="70"/>
      <c r="UD138" s="70"/>
      <c r="UE138" s="70"/>
      <c r="UF138" s="70"/>
      <c r="UG138" s="70"/>
      <c r="UH138" s="70"/>
      <c r="UI138" s="70"/>
      <c r="UJ138" s="70"/>
      <c r="UK138" s="70"/>
      <c r="UL138" s="70"/>
      <c r="UM138" s="70"/>
      <c r="UN138" s="70"/>
      <c r="UO138" s="70"/>
      <c r="UP138" s="70"/>
      <c r="UQ138" s="70"/>
      <c r="UR138" s="70"/>
      <c r="US138" s="70"/>
      <c r="UT138" s="70"/>
      <c r="UU138" s="70"/>
      <c r="UV138" s="70"/>
      <c r="UW138" s="70"/>
      <c r="UX138" s="70"/>
      <c r="UY138" s="70"/>
      <c r="UZ138" s="70"/>
      <c r="VA138" s="70"/>
      <c r="VB138" s="70"/>
      <c r="VC138" s="70"/>
      <c r="VD138" s="70"/>
      <c r="VE138" s="70"/>
      <c r="VF138" s="70"/>
      <c r="VG138" s="70"/>
      <c r="VH138" s="70"/>
      <c r="VI138" s="70"/>
      <c r="VJ138" s="70"/>
      <c r="VK138" s="70"/>
      <c r="VL138" s="70"/>
      <c r="VM138" s="70"/>
      <c r="VN138" s="70"/>
      <c r="VO138" s="70"/>
      <c r="VP138" s="70"/>
      <c r="VQ138" s="70"/>
      <c r="VR138" s="70"/>
      <c r="VS138" s="70"/>
      <c r="VT138" s="70"/>
      <c r="VU138" s="70"/>
      <c r="VV138" s="70"/>
      <c r="VW138" s="70"/>
      <c r="VX138" s="70"/>
      <c r="VY138" s="70"/>
      <c r="VZ138" s="70"/>
      <c r="WA138" s="70"/>
      <c r="WB138" s="70"/>
      <c r="WC138" s="70"/>
      <c r="WD138" s="70"/>
      <c r="WE138" s="70"/>
      <c r="WF138" s="70"/>
      <c r="WG138" s="70"/>
      <c r="WH138" s="70"/>
      <c r="WI138" s="70"/>
      <c r="WJ138" s="70"/>
      <c r="WK138" s="70"/>
      <c r="WL138" s="70"/>
      <c r="WM138" s="70"/>
      <c r="WN138" s="70"/>
      <c r="WO138" s="70"/>
      <c r="WP138" s="70"/>
      <c r="WQ138" s="70"/>
      <c r="WR138" s="70"/>
      <c r="WS138" s="70"/>
      <c r="WT138" s="70"/>
      <c r="WU138" s="70"/>
      <c r="WV138" s="70"/>
      <c r="WW138" s="70"/>
      <c r="WX138" s="70"/>
      <c r="WY138" s="70"/>
      <c r="WZ138" s="70"/>
      <c r="XA138" s="70"/>
      <c r="XB138" s="70"/>
      <c r="XC138" s="70"/>
      <c r="XD138" s="70"/>
      <c r="XE138" s="70"/>
      <c r="XF138" s="70"/>
      <c r="XG138" s="70"/>
      <c r="XH138" s="70"/>
      <c r="XI138" s="70"/>
      <c r="XJ138" s="70"/>
      <c r="XK138" s="70"/>
      <c r="XL138" s="70"/>
      <c r="XM138" s="70"/>
      <c r="XN138" s="70"/>
      <c r="XO138" s="70"/>
      <c r="XP138" s="70"/>
      <c r="XQ138" s="70"/>
      <c r="XR138" s="70"/>
      <c r="XS138" s="70"/>
      <c r="XT138" s="70"/>
      <c r="XU138" s="70"/>
      <c r="XV138" s="70"/>
      <c r="XW138" s="70"/>
      <c r="XX138" s="70"/>
      <c r="XY138" s="70"/>
      <c r="XZ138" s="70"/>
      <c r="YA138" s="70"/>
      <c r="YB138" s="70"/>
      <c r="YC138" s="70"/>
      <c r="YD138" s="70"/>
      <c r="YE138" s="70"/>
      <c r="YF138" s="70"/>
      <c r="YG138" s="70"/>
      <c r="YH138" s="70"/>
      <c r="YI138" s="70"/>
      <c r="YJ138" s="70"/>
      <c r="YK138" s="70"/>
      <c r="YL138" s="70"/>
      <c r="YM138" s="70"/>
      <c r="YN138" s="70"/>
      <c r="YO138" s="70"/>
      <c r="YP138" s="70"/>
      <c r="YQ138" s="70"/>
      <c r="YR138" s="70"/>
      <c r="YS138" s="70"/>
      <c r="YT138" s="70"/>
      <c r="YU138" s="70"/>
      <c r="YV138" s="70"/>
      <c r="YW138" s="70"/>
      <c r="YX138" s="70"/>
      <c r="YY138" s="70"/>
      <c r="YZ138" s="70"/>
      <c r="ZA138" s="70"/>
      <c r="ZB138" s="70"/>
      <c r="ZC138" s="70"/>
      <c r="ZD138" s="70"/>
      <c r="ZE138" s="70"/>
      <c r="ZF138" s="70"/>
      <c r="ZG138" s="70"/>
      <c r="ZH138" s="70"/>
      <c r="ZI138" s="70"/>
      <c r="ZJ138" s="70"/>
      <c r="ZK138" s="70"/>
      <c r="ZL138" s="70"/>
      <c r="ZM138" s="70"/>
      <c r="ZN138" s="70"/>
      <c r="ZO138" s="70"/>
      <c r="ZP138" s="70"/>
      <c r="ZQ138" s="70"/>
      <c r="ZR138" s="70"/>
      <c r="ZS138" s="70"/>
      <c r="ZT138" s="70"/>
      <c r="ZU138" s="70"/>
      <c r="ZV138" s="70"/>
      <c r="ZW138" s="70"/>
      <c r="ZX138" s="70"/>
      <c r="ZY138" s="70"/>
      <c r="ZZ138" s="70"/>
      <c r="AAA138" s="70"/>
      <c r="AAB138" s="70"/>
      <c r="AAC138" s="70"/>
      <c r="AAD138" s="70"/>
      <c r="AAE138" s="70"/>
      <c r="AAF138" s="70"/>
      <c r="AAG138" s="70"/>
      <c r="AAH138" s="70"/>
      <c r="AAI138" s="70"/>
      <c r="AAJ138" s="70"/>
      <c r="AAK138" s="70"/>
      <c r="AAL138" s="70"/>
      <c r="AAM138" s="70"/>
      <c r="AAN138" s="70"/>
      <c r="AAO138" s="70"/>
      <c r="AAP138" s="70"/>
      <c r="AAQ138" s="70"/>
      <c r="AAR138" s="70"/>
      <c r="AAS138" s="70"/>
      <c r="AAT138" s="70"/>
      <c r="AAU138" s="70"/>
      <c r="AAV138" s="70"/>
      <c r="AAW138" s="70"/>
      <c r="AAX138" s="70"/>
      <c r="AAY138" s="70"/>
      <c r="AAZ138" s="70"/>
      <c r="ABA138" s="70"/>
      <c r="ABB138" s="70"/>
      <c r="ABC138" s="70"/>
      <c r="ABD138" s="70"/>
      <c r="ABE138" s="70"/>
      <c r="ABF138" s="70"/>
      <c r="ABG138" s="70"/>
      <c r="ABH138" s="70"/>
      <c r="ABI138" s="70"/>
      <c r="ABJ138" s="70"/>
      <c r="ABK138" s="70"/>
      <c r="ABL138" s="70"/>
      <c r="ABM138" s="70"/>
      <c r="ABN138" s="70"/>
      <c r="ABO138" s="70"/>
      <c r="ABP138" s="70"/>
      <c r="ABQ138" s="70"/>
      <c r="ABR138" s="70"/>
      <c r="ABS138" s="70"/>
      <c r="ABT138" s="70"/>
      <c r="ABU138" s="70"/>
      <c r="ABV138" s="70"/>
      <c r="ABW138" s="70"/>
      <c r="ABX138" s="70"/>
      <c r="ABY138" s="70"/>
      <c r="ABZ138" s="70"/>
      <c r="ACA138" s="70"/>
      <c r="ACB138" s="70"/>
      <c r="ACC138" s="70"/>
      <c r="ACD138" s="70"/>
      <c r="ACE138" s="70"/>
      <c r="ACF138" s="70"/>
      <c r="ACG138" s="70"/>
      <c r="ACH138" s="70"/>
      <c r="ACI138" s="70"/>
      <c r="ACJ138" s="70"/>
      <c r="ACK138" s="70"/>
      <c r="ACL138" s="70"/>
      <c r="ACM138" s="70"/>
      <c r="ACN138" s="70"/>
      <c r="ACO138" s="70"/>
      <c r="ACP138" s="70"/>
      <c r="ACQ138" s="70"/>
      <c r="ACR138" s="70"/>
      <c r="ACS138" s="70"/>
      <c r="ACT138" s="70"/>
      <c r="ACU138" s="70"/>
      <c r="ACV138" s="70"/>
      <c r="ACW138" s="70"/>
      <c r="ACX138" s="70"/>
      <c r="ACY138" s="70"/>
      <c r="ACZ138" s="70"/>
      <c r="ADA138" s="70"/>
      <c r="ADB138" s="70"/>
      <c r="ADC138" s="70"/>
      <c r="ADD138" s="70"/>
      <c r="ADE138" s="70"/>
      <c r="ADF138" s="70"/>
      <c r="ADG138" s="70"/>
      <c r="ADH138" s="70"/>
      <c r="ADI138" s="70"/>
      <c r="ADJ138" s="70"/>
      <c r="ADK138" s="70"/>
      <c r="ADL138" s="70"/>
      <c r="ADM138" s="70"/>
      <c r="ADN138" s="70"/>
      <c r="ADO138" s="70"/>
      <c r="ADP138" s="70"/>
      <c r="ADQ138" s="70"/>
      <c r="ADR138" s="70"/>
      <c r="ADS138" s="70"/>
      <c r="ADT138" s="70"/>
      <c r="ADU138" s="70"/>
      <c r="ADV138" s="70"/>
      <c r="ADW138" s="70"/>
      <c r="ADX138" s="70"/>
      <c r="ADY138" s="70"/>
      <c r="ADZ138" s="70"/>
      <c r="AEA138" s="70"/>
      <c r="AEB138" s="70"/>
      <c r="AEC138" s="70"/>
      <c r="AED138" s="70"/>
      <c r="AEE138" s="70"/>
      <c r="AEF138" s="70"/>
      <c r="AEG138" s="70"/>
      <c r="AEH138" s="70"/>
      <c r="AEI138" s="70"/>
      <c r="AEJ138" s="70"/>
      <c r="AEK138" s="70"/>
      <c r="AEL138" s="70"/>
      <c r="AEM138" s="70"/>
      <c r="AEN138" s="70"/>
      <c r="AEO138" s="70"/>
      <c r="AEP138" s="70"/>
      <c r="AEQ138" s="70"/>
      <c r="AER138" s="70"/>
      <c r="AES138" s="70"/>
      <c r="AET138" s="70"/>
      <c r="AEU138" s="70"/>
      <c r="AEV138" s="70"/>
      <c r="AEW138" s="70"/>
      <c r="AEX138" s="70"/>
      <c r="AEY138" s="70"/>
      <c r="AEZ138" s="70"/>
      <c r="AFA138" s="70"/>
      <c r="AFB138" s="70"/>
      <c r="AFC138" s="70"/>
      <c r="AFD138" s="70"/>
      <c r="AFE138" s="70"/>
      <c r="AFF138" s="70"/>
      <c r="AFG138" s="70"/>
      <c r="AFH138" s="70"/>
      <c r="AFI138" s="70"/>
      <c r="AFJ138" s="70"/>
      <c r="AFK138" s="70"/>
      <c r="AFL138" s="70"/>
      <c r="AFM138" s="70"/>
      <c r="AFN138" s="70"/>
      <c r="AFO138" s="70"/>
      <c r="AFP138" s="70"/>
      <c r="AFQ138" s="70"/>
      <c r="AFR138" s="70"/>
      <c r="AFS138" s="70"/>
      <c r="AFT138" s="70"/>
      <c r="AFU138" s="70"/>
      <c r="AFV138" s="70"/>
      <c r="AFW138" s="70"/>
      <c r="AFX138" s="70"/>
      <c r="AFY138" s="70"/>
      <c r="AFZ138" s="70"/>
      <c r="AGA138" s="70"/>
      <c r="AGB138" s="70"/>
      <c r="AGC138" s="70"/>
      <c r="AGD138" s="70"/>
      <c r="AGE138" s="70"/>
      <c r="AGF138" s="70"/>
      <c r="AGG138" s="70"/>
      <c r="AGH138" s="70"/>
      <c r="AGI138" s="70"/>
      <c r="AGJ138" s="70"/>
      <c r="AGK138" s="70"/>
      <c r="AGL138" s="70"/>
      <c r="AGM138" s="70"/>
      <c r="AGN138" s="70"/>
      <c r="AGO138" s="70"/>
      <c r="AGP138" s="70"/>
      <c r="AGQ138" s="70"/>
      <c r="AGR138" s="70"/>
      <c r="AGS138" s="70"/>
      <c r="AGT138" s="70"/>
      <c r="AGU138" s="70"/>
      <c r="AGV138" s="70"/>
      <c r="AGW138" s="70"/>
      <c r="AGX138" s="70"/>
      <c r="AGY138" s="70"/>
      <c r="AGZ138" s="70"/>
      <c r="AHA138" s="70"/>
      <c r="AHB138" s="70"/>
      <c r="AHC138" s="70"/>
      <c r="AHD138" s="70"/>
      <c r="AHE138" s="70"/>
      <c r="AHF138" s="70"/>
      <c r="AHG138" s="70"/>
      <c r="AHH138" s="70"/>
      <c r="AHI138" s="70"/>
      <c r="AHJ138" s="70"/>
      <c r="AHK138" s="70"/>
      <c r="AHL138" s="70"/>
      <c r="AHM138" s="70"/>
      <c r="AHN138" s="70"/>
      <c r="AHO138" s="70"/>
      <c r="AHP138" s="70"/>
      <c r="AHQ138" s="70"/>
      <c r="AHR138" s="70"/>
      <c r="AHS138" s="70"/>
      <c r="AHT138" s="70"/>
      <c r="AHU138" s="70"/>
      <c r="AHV138" s="70"/>
      <c r="AHW138" s="70"/>
      <c r="AHX138" s="70"/>
      <c r="AHY138" s="70"/>
      <c r="AHZ138" s="70"/>
      <c r="AIA138" s="70"/>
      <c r="AIB138" s="70"/>
      <c r="AIC138" s="70"/>
      <c r="AID138" s="70"/>
      <c r="AIE138" s="70"/>
      <c r="AIF138" s="70"/>
      <c r="AIG138" s="70"/>
      <c r="AIH138" s="70"/>
      <c r="AII138" s="70"/>
      <c r="AIJ138" s="70"/>
      <c r="AIK138" s="70"/>
      <c r="AIL138" s="70"/>
      <c r="AIM138" s="70"/>
      <c r="AIN138" s="70"/>
      <c r="AIO138" s="70"/>
      <c r="AIP138" s="70"/>
      <c r="AIQ138" s="70"/>
      <c r="AIR138" s="70"/>
      <c r="AIS138" s="70"/>
      <c r="AIT138" s="70"/>
      <c r="AIU138" s="70"/>
      <c r="AIV138" s="70"/>
      <c r="AIW138" s="70"/>
      <c r="AIX138" s="70"/>
      <c r="AIY138" s="70"/>
      <c r="AIZ138" s="70"/>
      <c r="AJA138" s="70"/>
      <c r="AJB138" s="70"/>
      <c r="AJC138" s="70"/>
      <c r="AJD138" s="70"/>
      <c r="AJE138" s="70"/>
      <c r="AJF138" s="70"/>
      <c r="AJG138" s="70"/>
      <c r="AJH138" s="70"/>
      <c r="AJI138" s="70"/>
      <c r="AJJ138" s="70"/>
      <c r="AJK138" s="70"/>
      <c r="AJL138" s="70"/>
      <c r="AJM138" s="70"/>
      <c r="AJN138" s="70"/>
      <c r="AJO138" s="70"/>
      <c r="AJP138" s="70"/>
      <c r="AJQ138" s="70"/>
      <c r="AJR138" s="70"/>
      <c r="AJS138" s="70"/>
      <c r="AJT138" s="70"/>
      <c r="AJU138" s="70"/>
      <c r="AJV138" s="70"/>
      <c r="AJW138" s="70"/>
      <c r="AJX138" s="70"/>
      <c r="AJY138" s="70"/>
      <c r="AJZ138" s="70"/>
      <c r="AKA138" s="70"/>
      <c r="AKB138" s="70"/>
      <c r="AKC138" s="70"/>
      <c r="AKD138" s="70"/>
      <c r="AKE138" s="70"/>
      <c r="AKF138" s="70"/>
      <c r="AKG138" s="70"/>
      <c r="AKH138" s="70"/>
      <c r="AKI138" s="70"/>
      <c r="AKJ138" s="70"/>
      <c r="AKK138" s="70"/>
      <c r="AKL138" s="70"/>
      <c r="AKM138" s="70"/>
      <c r="AKN138" s="70"/>
      <c r="AKO138" s="70"/>
      <c r="AKP138" s="70"/>
      <c r="AKQ138" s="70"/>
      <c r="AKR138" s="70"/>
      <c r="AKS138" s="70"/>
      <c r="AKT138" s="70"/>
      <c r="AKU138" s="70"/>
      <c r="AKV138" s="70"/>
      <c r="AKW138" s="70"/>
      <c r="AKX138" s="70"/>
      <c r="AKY138" s="70"/>
      <c r="AKZ138" s="70"/>
      <c r="ALA138" s="70"/>
      <c r="ALB138" s="70"/>
      <c r="ALC138" s="70"/>
      <c r="ALD138" s="70"/>
      <c r="ALE138" s="70"/>
      <c r="ALF138" s="70"/>
      <c r="ALG138" s="70"/>
      <c r="ALH138" s="70"/>
      <c r="ALI138" s="70"/>
      <c r="ALJ138" s="70"/>
      <c r="ALK138" s="70"/>
      <c r="ALL138" s="70"/>
      <c r="ALM138" s="70"/>
      <c r="ALN138" s="70"/>
      <c r="ALO138" s="70"/>
      <c r="ALP138" s="70"/>
      <c r="ALQ138" s="70"/>
      <c r="ALR138" s="70"/>
      <c r="ALS138" s="70"/>
      <c r="ALT138" s="70"/>
      <c r="ALU138" s="70"/>
      <c r="ALV138" s="70"/>
      <c r="ALW138" s="70"/>
      <c r="ALX138" s="70"/>
      <c r="ALY138" s="70"/>
      <c r="ALZ138" s="70"/>
      <c r="AMA138" s="70"/>
      <c r="AMB138" s="70"/>
      <c r="AMC138" s="70"/>
      <c r="AMD138" s="70"/>
      <c r="AME138" s="70"/>
      <c r="AMF138" s="70"/>
      <c r="AMG138" s="70"/>
      <c r="AMH138" s="70"/>
      <c r="AMI138" s="70"/>
      <c r="AMJ138" s="70"/>
      <c r="AMK138" s="70"/>
      <c r="AML138" s="70"/>
      <c r="AMM138" s="70"/>
      <c r="AMN138" s="70"/>
      <c r="AMO138" s="70"/>
      <c r="AMP138" s="70"/>
      <c r="AMQ138" s="70"/>
      <c r="AMR138" s="70"/>
      <c r="AMS138" s="70"/>
      <c r="AMT138" s="70"/>
      <c r="AMU138" s="70"/>
      <c r="AMV138" s="70"/>
      <c r="AMW138" s="70"/>
      <c r="AMX138" s="70"/>
      <c r="AMY138" s="70"/>
      <c r="AMZ138" s="70"/>
      <c r="ANA138" s="70"/>
      <c r="ANB138" s="70"/>
      <c r="ANC138" s="70"/>
      <c r="AND138" s="70"/>
      <c r="ANE138" s="70"/>
      <c r="ANF138" s="70"/>
      <c r="ANG138" s="70"/>
      <c r="ANH138" s="70"/>
      <c r="ANI138" s="70"/>
      <c r="ANJ138" s="70"/>
      <c r="ANK138" s="70"/>
      <c r="ANL138" s="70"/>
      <c r="ANM138" s="70"/>
      <c r="ANN138" s="70"/>
      <c r="ANO138" s="70"/>
      <c r="ANP138" s="70"/>
      <c r="ANQ138" s="70"/>
      <c r="ANR138" s="70"/>
      <c r="ANS138" s="70"/>
      <c r="ANT138" s="70"/>
      <c r="ANU138" s="70"/>
      <c r="ANV138" s="70"/>
      <c r="ANW138" s="70"/>
      <c r="ANX138" s="70"/>
      <c r="ANY138" s="70"/>
      <c r="ANZ138" s="70"/>
      <c r="AOA138" s="70"/>
      <c r="AOB138" s="70"/>
      <c r="AOC138" s="70"/>
      <c r="AOD138" s="70"/>
      <c r="AOE138" s="70"/>
      <c r="AOF138" s="70"/>
      <c r="AOG138" s="70"/>
      <c r="AOH138" s="70"/>
      <c r="AOI138" s="70"/>
      <c r="AOJ138" s="70"/>
      <c r="AOK138" s="70"/>
      <c r="AOL138" s="70"/>
      <c r="AOM138" s="70"/>
      <c r="AON138" s="70"/>
      <c r="AOO138" s="70"/>
      <c r="AOP138" s="70"/>
      <c r="AOQ138" s="70"/>
      <c r="AOR138" s="70"/>
      <c r="AOS138" s="70"/>
      <c r="AOT138" s="70"/>
      <c r="AOU138" s="70"/>
      <c r="AOV138" s="70"/>
      <c r="AOW138" s="70"/>
      <c r="AOX138" s="70"/>
      <c r="AOY138" s="70"/>
      <c r="AOZ138" s="70"/>
      <c r="APA138" s="70"/>
      <c r="APB138" s="70"/>
      <c r="APC138" s="70"/>
      <c r="APD138" s="70"/>
      <c r="APE138" s="70"/>
      <c r="APF138" s="70"/>
      <c r="APG138" s="70"/>
      <c r="APH138" s="70"/>
      <c r="API138" s="70"/>
      <c r="APJ138" s="70"/>
      <c r="APK138" s="70"/>
      <c r="APL138" s="70"/>
      <c r="APM138" s="70"/>
      <c r="APN138" s="70"/>
      <c r="APO138" s="70"/>
      <c r="APP138" s="70"/>
      <c r="APQ138" s="70"/>
      <c r="APR138" s="70"/>
      <c r="APS138" s="70"/>
      <c r="APT138" s="70"/>
      <c r="APU138" s="70"/>
      <c r="APV138" s="70"/>
      <c r="APW138" s="70"/>
      <c r="APX138" s="70"/>
      <c r="APY138" s="70"/>
      <c r="APZ138" s="70"/>
      <c r="AQA138" s="70"/>
      <c r="AQB138" s="70"/>
      <c r="AQC138" s="70"/>
      <c r="AQD138" s="70"/>
      <c r="AQE138" s="70"/>
      <c r="AQF138" s="70"/>
      <c r="AQG138" s="70"/>
      <c r="AQH138" s="70"/>
      <c r="AQI138" s="70"/>
      <c r="AQJ138" s="70"/>
      <c r="AQK138" s="70"/>
      <c r="AQL138" s="70"/>
      <c r="AQM138" s="70"/>
      <c r="AQN138" s="70"/>
      <c r="AQO138" s="70"/>
      <c r="AQP138" s="70"/>
      <c r="AQQ138" s="70"/>
      <c r="AQR138" s="70"/>
      <c r="AQS138" s="70"/>
      <c r="AQT138" s="70"/>
      <c r="AQU138" s="70"/>
      <c r="AQV138" s="70"/>
      <c r="AQW138" s="70"/>
      <c r="AQX138" s="70"/>
      <c r="AQY138" s="70"/>
      <c r="AQZ138" s="70"/>
      <c r="ARA138" s="70"/>
      <c r="ARB138" s="70"/>
      <c r="ARC138" s="70"/>
      <c r="ARD138" s="70"/>
      <c r="ARE138" s="70"/>
      <c r="ARF138" s="70"/>
      <c r="ARG138" s="70"/>
      <c r="ARH138" s="70"/>
      <c r="ARI138" s="70"/>
      <c r="ARJ138" s="70"/>
      <c r="ARK138" s="70"/>
      <c r="ARL138" s="70"/>
      <c r="ARM138" s="70"/>
      <c r="ARN138" s="70"/>
      <c r="ARO138" s="70"/>
      <c r="ARP138" s="70"/>
      <c r="ARQ138" s="70"/>
      <c r="ARR138" s="70"/>
      <c r="ARS138" s="70"/>
      <c r="ART138" s="70"/>
      <c r="ARU138" s="70"/>
      <c r="ARV138" s="70"/>
      <c r="ARW138" s="70"/>
      <c r="ARX138" s="70"/>
      <c r="ARY138" s="70"/>
      <c r="ARZ138" s="70"/>
      <c r="ASA138" s="70"/>
      <c r="ASB138" s="70"/>
      <c r="ASC138" s="70"/>
      <c r="ASD138" s="70"/>
      <c r="ASE138" s="70"/>
      <c r="ASF138" s="70"/>
      <c r="ASG138" s="70"/>
      <c r="ASH138" s="70"/>
      <c r="ASI138" s="70"/>
      <c r="ASJ138" s="70"/>
      <c r="ASK138" s="70"/>
      <c r="ASL138" s="70"/>
      <c r="ASM138" s="70"/>
      <c r="ASN138" s="70"/>
      <c r="ASO138" s="70"/>
      <c r="ASP138" s="70"/>
      <c r="ASQ138" s="70"/>
      <c r="ASR138" s="70"/>
      <c r="ASS138" s="70"/>
      <c r="AST138" s="70"/>
      <c r="ASU138" s="70"/>
      <c r="ASV138" s="70"/>
      <c r="ASW138" s="70"/>
      <c r="ASX138" s="70"/>
      <c r="ASY138" s="70"/>
      <c r="ASZ138" s="70"/>
      <c r="ATA138" s="70"/>
      <c r="ATB138" s="70"/>
      <c r="ATC138" s="70"/>
      <c r="ATD138" s="70"/>
      <c r="ATE138" s="70"/>
      <c r="ATF138" s="70"/>
      <c r="ATG138" s="70"/>
      <c r="ATH138" s="70"/>
      <c r="ATI138" s="70"/>
      <c r="ATJ138" s="70"/>
      <c r="ATK138" s="70"/>
      <c r="ATL138" s="70"/>
      <c r="ATM138" s="70"/>
      <c r="ATN138" s="70"/>
      <c r="ATO138" s="70"/>
      <c r="ATP138" s="70"/>
      <c r="ATQ138" s="70"/>
      <c r="ATR138" s="70"/>
      <c r="ATS138" s="70"/>
      <c r="ATT138" s="70"/>
      <c r="ATU138" s="70"/>
      <c r="ATV138" s="70"/>
      <c r="ATW138" s="70"/>
      <c r="ATX138" s="70"/>
      <c r="ATY138" s="70"/>
      <c r="ATZ138" s="70"/>
      <c r="AUA138" s="70"/>
      <c r="AUB138" s="70"/>
      <c r="AUC138" s="70"/>
      <c r="AUD138" s="70"/>
      <c r="AUE138" s="70"/>
      <c r="AUF138" s="70"/>
      <c r="AUG138" s="70"/>
      <c r="AUH138" s="70"/>
      <c r="AUI138" s="70"/>
      <c r="AUJ138" s="70"/>
      <c r="AUK138" s="70"/>
      <c r="AUL138" s="70"/>
      <c r="AUM138" s="70"/>
      <c r="AUN138" s="70"/>
      <c r="AUO138" s="70"/>
      <c r="AUP138" s="70"/>
      <c r="AUQ138" s="70"/>
      <c r="AUR138" s="70"/>
      <c r="AUS138" s="70"/>
      <c r="AUT138" s="70"/>
      <c r="AUU138" s="70"/>
      <c r="AUV138" s="70"/>
      <c r="AUW138" s="70"/>
      <c r="AUX138" s="70"/>
      <c r="AUY138" s="70"/>
      <c r="AUZ138" s="70"/>
      <c r="AVA138" s="70"/>
      <c r="AVB138" s="70"/>
      <c r="AVC138" s="70"/>
      <c r="AVD138" s="70"/>
      <c r="AVE138" s="70"/>
      <c r="AVF138" s="70"/>
      <c r="AVG138" s="70"/>
      <c r="AVH138" s="70"/>
      <c r="AVI138" s="70"/>
      <c r="AVJ138" s="70"/>
      <c r="AVK138" s="70"/>
      <c r="AVL138" s="70"/>
      <c r="AVM138" s="70"/>
      <c r="AVN138" s="70"/>
      <c r="AVO138" s="70"/>
      <c r="AVP138" s="70"/>
      <c r="AVQ138" s="70"/>
      <c r="AVR138" s="70"/>
      <c r="AVS138" s="70"/>
      <c r="AVT138" s="70"/>
      <c r="AVU138" s="70"/>
      <c r="AVV138" s="70"/>
      <c r="AVW138" s="70"/>
      <c r="AVX138" s="70"/>
      <c r="AVY138" s="70"/>
      <c r="AVZ138" s="70"/>
      <c r="AWA138" s="70"/>
      <c r="AWB138" s="70"/>
      <c r="AWC138" s="70"/>
      <c r="AWD138" s="70"/>
      <c r="AWE138" s="70"/>
      <c r="AWF138" s="70"/>
      <c r="AWG138" s="70"/>
      <c r="AWH138" s="70"/>
      <c r="AWI138" s="70"/>
      <c r="AWJ138" s="70"/>
      <c r="AWK138" s="70"/>
      <c r="AWL138" s="70"/>
      <c r="AWM138" s="70"/>
      <c r="AWN138" s="70"/>
      <c r="AWO138" s="70"/>
      <c r="AWP138" s="70"/>
      <c r="AWQ138" s="70"/>
      <c r="AWR138" s="70"/>
      <c r="AWS138" s="70"/>
      <c r="AWT138" s="70"/>
      <c r="AWU138" s="70"/>
      <c r="AWV138" s="70"/>
      <c r="AWW138" s="70"/>
      <c r="AWX138" s="70"/>
      <c r="AWY138" s="70"/>
      <c r="AWZ138" s="70"/>
      <c r="AXA138" s="70"/>
      <c r="AXB138" s="70"/>
      <c r="AXC138" s="70"/>
      <c r="AXD138" s="70"/>
      <c r="AXE138" s="70"/>
      <c r="AXF138" s="70"/>
      <c r="AXG138" s="70"/>
      <c r="AXH138" s="70"/>
      <c r="AXI138" s="70"/>
      <c r="AXJ138" s="70"/>
      <c r="AXK138" s="70"/>
      <c r="AXL138" s="70"/>
      <c r="AXM138" s="70"/>
      <c r="AXN138" s="70"/>
      <c r="AXO138" s="70"/>
      <c r="AXP138" s="70"/>
      <c r="AXQ138" s="70"/>
      <c r="AXR138" s="70"/>
      <c r="AXS138" s="70"/>
      <c r="AXT138" s="70"/>
      <c r="AXU138" s="70"/>
      <c r="AXV138" s="70"/>
      <c r="AXW138" s="70"/>
      <c r="AXX138" s="70"/>
      <c r="AXY138" s="70"/>
      <c r="AXZ138" s="70"/>
      <c r="AYA138" s="70"/>
      <c r="AYB138" s="70"/>
      <c r="AYC138" s="70"/>
      <c r="AYD138" s="70"/>
      <c r="AYE138" s="70"/>
      <c r="AYF138" s="70"/>
      <c r="AYG138" s="70"/>
      <c r="AYH138" s="70"/>
      <c r="AYI138" s="70"/>
      <c r="AYJ138" s="70"/>
      <c r="AYK138" s="70"/>
      <c r="AYL138" s="70"/>
      <c r="AYM138" s="70"/>
      <c r="AYN138" s="70"/>
      <c r="AYO138" s="70"/>
      <c r="AYP138" s="70"/>
      <c r="AYQ138" s="70"/>
      <c r="AYR138" s="70"/>
      <c r="AYS138" s="70"/>
      <c r="AYT138" s="70"/>
      <c r="AYU138" s="70"/>
      <c r="AYV138" s="70"/>
      <c r="AYW138" s="70"/>
      <c r="AYX138" s="70"/>
      <c r="AYY138" s="70"/>
      <c r="AYZ138" s="70"/>
      <c r="AZA138" s="70"/>
      <c r="AZB138" s="70"/>
      <c r="AZC138" s="70"/>
      <c r="AZD138" s="70"/>
      <c r="AZE138" s="70"/>
      <c r="AZF138" s="70"/>
      <c r="AZG138" s="70"/>
      <c r="AZH138" s="70"/>
      <c r="AZI138" s="70"/>
      <c r="AZJ138" s="70"/>
      <c r="AZK138" s="70"/>
      <c r="AZL138" s="70"/>
      <c r="AZM138" s="70"/>
      <c r="AZN138" s="70"/>
      <c r="AZO138" s="70"/>
      <c r="AZP138" s="70"/>
      <c r="AZQ138" s="70"/>
      <c r="AZR138" s="70"/>
      <c r="AZS138" s="70"/>
      <c r="AZT138" s="70"/>
      <c r="AZU138" s="70"/>
      <c r="AZV138" s="70"/>
      <c r="AZW138" s="70"/>
      <c r="AZX138" s="70"/>
      <c r="AZY138" s="70"/>
      <c r="AZZ138" s="70"/>
      <c r="BAA138" s="70"/>
      <c r="BAB138" s="70"/>
      <c r="BAC138" s="70"/>
      <c r="BAD138" s="70"/>
      <c r="BAE138" s="70"/>
      <c r="BAF138" s="70"/>
      <c r="BAG138" s="70"/>
      <c r="BAH138" s="70"/>
      <c r="BAI138" s="70"/>
      <c r="BAJ138" s="70"/>
      <c r="BAK138" s="70"/>
      <c r="BAL138" s="70"/>
      <c r="BAM138" s="70"/>
      <c r="BAN138" s="70"/>
      <c r="BAO138" s="70"/>
      <c r="BAP138" s="70"/>
      <c r="BAQ138" s="70"/>
      <c r="BAR138" s="70"/>
      <c r="BAS138" s="70"/>
      <c r="BAT138" s="70"/>
      <c r="BAU138" s="70"/>
      <c r="BAV138" s="70"/>
      <c r="BAW138" s="70"/>
      <c r="BAX138" s="70"/>
      <c r="BAY138" s="70"/>
      <c r="BAZ138" s="70"/>
      <c r="BBA138" s="70"/>
      <c r="BBB138" s="70"/>
      <c r="BBC138" s="70"/>
      <c r="BBD138" s="70"/>
      <c r="BBE138" s="70"/>
      <c r="BBF138" s="70"/>
      <c r="BBG138" s="70"/>
      <c r="BBH138" s="70"/>
      <c r="BBI138" s="70"/>
      <c r="BBJ138" s="70"/>
      <c r="BBK138" s="70"/>
      <c r="BBL138" s="70"/>
      <c r="BBM138" s="70"/>
      <c r="BBN138" s="70"/>
      <c r="BBO138" s="70"/>
      <c r="BBP138" s="70"/>
      <c r="BBQ138" s="70"/>
      <c r="BBR138" s="70"/>
      <c r="BBS138" s="70"/>
      <c r="BBT138" s="70"/>
      <c r="BBU138" s="70"/>
      <c r="BBV138" s="70"/>
      <c r="BBW138" s="70"/>
      <c r="BBX138" s="70"/>
      <c r="BBY138" s="70"/>
      <c r="BBZ138" s="70"/>
      <c r="BCA138" s="70"/>
      <c r="BCB138" s="70"/>
      <c r="BCC138" s="70"/>
      <c r="BCD138" s="70"/>
      <c r="BCE138" s="70"/>
      <c r="BCF138" s="70"/>
      <c r="BCG138" s="70"/>
      <c r="BCH138" s="70"/>
      <c r="BCI138" s="70"/>
      <c r="BCJ138" s="70"/>
      <c r="BCK138" s="70"/>
      <c r="BCL138" s="70"/>
      <c r="BCM138" s="70"/>
      <c r="BCN138" s="70"/>
      <c r="BCO138" s="70"/>
      <c r="BCP138" s="70"/>
      <c r="BCQ138" s="70"/>
      <c r="BCR138" s="70"/>
      <c r="BCS138" s="70"/>
      <c r="BCT138" s="70"/>
      <c r="BCU138" s="70"/>
      <c r="BCV138" s="70"/>
      <c r="BCW138" s="70"/>
    </row>
    <row r="139" spans="1:1453" s="69" customFormat="1" ht="30" customHeight="1" x14ac:dyDescent="0.25">
      <c r="A139" s="50">
        <v>16</v>
      </c>
      <c r="B139" s="73" t="s">
        <v>394</v>
      </c>
      <c r="C139" s="73" t="s">
        <v>395</v>
      </c>
      <c r="D139" s="52">
        <v>11517174.699999999</v>
      </c>
      <c r="E139" s="151"/>
      <c r="F139" s="73" t="s">
        <v>335</v>
      </c>
      <c r="G139" s="71"/>
      <c r="H139" s="71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70"/>
      <c r="HW139" s="70"/>
      <c r="HX139" s="70"/>
      <c r="HY139" s="70"/>
      <c r="HZ139" s="70"/>
      <c r="IA139" s="70"/>
      <c r="IB139" s="70"/>
      <c r="IC139" s="70"/>
      <c r="ID139" s="70"/>
      <c r="IE139" s="70"/>
      <c r="IF139" s="70"/>
      <c r="IG139" s="70"/>
      <c r="IH139" s="70"/>
      <c r="II139" s="70"/>
      <c r="IJ139" s="70"/>
      <c r="IK139" s="70"/>
      <c r="IL139" s="70"/>
      <c r="IM139" s="70"/>
      <c r="IN139" s="70"/>
      <c r="IO139" s="70"/>
      <c r="IP139" s="70"/>
      <c r="IQ139" s="70"/>
      <c r="IR139" s="70"/>
      <c r="IS139" s="70"/>
      <c r="IT139" s="70"/>
      <c r="IU139" s="70"/>
      <c r="IV139" s="70"/>
      <c r="IW139" s="70"/>
      <c r="IX139" s="70"/>
      <c r="IY139" s="70"/>
      <c r="IZ139" s="70"/>
      <c r="JA139" s="70"/>
      <c r="JB139" s="70"/>
      <c r="JC139" s="70"/>
      <c r="JD139" s="70"/>
      <c r="JE139" s="70"/>
      <c r="JF139" s="70"/>
      <c r="JG139" s="70"/>
      <c r="JH139" s="70"/>
      <c r="JI139" s="70"/>
      <c r="JJ139" s="70"/>
      <c r="JK139" s="70"/>
      <c r="JL139" s="70"/>
      <c r="JM139" s="70"/>
      <c r="JN139" s="70"/>
      <c r="JO139" s="70"/>
      <c r="JP139" s="70"/>
      <c r="JQ139" s="70"/>
      <c r="JR139" s="70"/>
      <c r="JS139" s="70"/>
      <c r="JT139" s="70"/>
      <c r="JU139" s="70"/>
      <c r="JV139" s="70"/>
      <c r="JW139" s="70"/>
      <c r="JX139" s="70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70"/>
      <c r="KN139" s="70"/>
      <c r="KO139" s="70"/>
      <c r="KP139" s="70"/>
      <c r="KQ139" s="70"/>
      <c r="KR139" s="70"/>
      <c r="KS139" s="70"/>
      <c r="KT139" s="70"/>
      <c r="KU139" s="70"/>
      <c r="KV139" s="70"/>
      <c r="KW139" s="70"/>
      <c r="KX139" s="70"/>
      <c r="KY139" s="70"/>
      <c r="KZ139" s="70"/>
      <c r="LA139" s="70"/>
      <c r="LB139" s="70"/>
      <c r="LC139" s="70"/>
      <c r="LD139" s="70"/>
      <c r="LE139" s="70"/>
      <c r="LF139" s="70"/>
      <c r="LG139" s="70"/>
      <c r="LH139" s="70"/>
      <c r="LI139" s="70"/>
      <c r="LJ139" s="70"/>
      <c r="LK139" s="70"/>
      <c r="LL139" s="70"/>
      <c r="LM139" s="70"/>
      <c r="LN139" s="70"/>
      <c r="LO139" s="70"/>
      <c r="LP139" s="70"/>
      <c r="LQ139" s="70"/>
      <c r="LR139" s="70"/>
      <c r="LS139" s="70"/>
      <c r="LT139" s="70"/>
      <c r="LU139" s="70"/>
      <c r="LV139" s="70"/>
      <c r="LW139" s="70"/>
      <c r="LX139" s="70"/>
      <c r="LY139" s="70"/>
      <c r="LZ139" s="70"/>
      <c r="MA139" s="70"/>
      <c r="MB139" s="70"/>
      <c r="MC139" s="70"/>
      <c r="MD139" s="70"/>
      <c r="ME139" s="70"/>
      <c r="MF139" s="70"/>
      <c r="MG139" s="70"/>
      <c r="MH139" s="70"/>
      <c r="MI139" s="70"/>
      <c r="MJ139" s="70"/>
      <c r="MK139" s="70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70"/>
      <c r="NA139" s="70"/>
      <c r="NB139" s="70"/>
      <c r="NC139" s="70"/>
      <c r="ND139" s="70"/>
      <c r="NE139" s="70"/>
      <c r="NF139" s="70"/>
      <c r="NG139" s="70"/>
      <c r="NH139" s="70"/>
      <c r="NI139" s="70"/>
      <c r="NJ139" s="70"/>
      <c r="NK139" s="70"/>
      <c r="NL139" s="70"/>
      <c r="NM139" s="70"/>
      <c r="NN139" s="70"/>
      <c r="NO139" s="70"/>
      <c r="NP139" s="70"/>
      <c r="NQ139" s="70"/>
      <c r="NR139" s="70"/>
      <c r="NS139" s="70"/>
      <c r="NT139" s="70"/>
      <c r="NU139" s="70"/>
      <c r="NV139" s="70"/>
      <c r="NW139" s="70"/>
      <c r="NX139" s="70"/>
      <c r="NY139" s="70"/>
      <c r="NZ139" s="70"/>
      <c r="OA139" s="70"/>
      <c r="OB139" s="70"/>
      <c r="OC139" s="70"/>
      <c r="OD139" s="70"/>
      <c r="OE139" s="70"/>
      <c r="OF139" s="70"/>
      <c r="OG139" s="70"/>
      <c r="OH139" s="70"/>
      <c r="OI139" s="70"/>
      <c r="OJ139" s="70"/>
      <c r="OK139" s="70"/>
      <c r="OL139" s="70"/>
      <c r="OM139" s="70"/>
      <c r="ON139" s="70"/>
      <c r="OO139" s="70"/>
      <c r="OP139" s="70"/>
      <c r="OQ139" s="70"/>
      <c r="OR139" s="70"/>
      <c r="OS139" s="70"/>
      <c r="OT139" s="70"/>
      <c r="OU139" s="70"/>
      <c r="OV139" s="70"/>
      <c r="OW139" s="70"/>
      <c r="OX139" s="70"/>
      <c r="OY139" s="70"/>
      <c r="OZ139" s="70"/>
      <c r="PA139" s="70"/>
      <c r="PB139" s="70"/>
      <c r="PC139" s="70"/>
      <c r="PD139" s="70"/>
      <c r="PE139" s="70"/>
      <c r="PF139" s="70"/>
      <c r="PG139" s="70"/>
      <c r="PH139" s="70"/>
      <c r="PI139" s="70"/>
      <c r="PJ139" s="70"/>
      <c r="PK139" s="70"/>
      <c r="PL139" s="70"/>
      <c r="PM139" s="70"/>
      <c r="PN139" s="70"/>
      <c r="PO139" s="70"/>
      <c r="PP139" s="70"/>
      <c r="PQ139" s="70"/>
      <c r="PR139" s="70"/>
      <c r="PS139" s="70"/>
      <c r="PT139" s="70"/>
      <c r="PU139" s="70"/>
      <c r="PV139" s="70"/>
      <c r="PW139" s="70"/>
      <c r="PX139" s="70"/>
      <c r="PY139" s="70"/>
      <c r="PZ139" s="70"/>
      <c r="QA139" s="70"/>
      <c r="QB139" s="70"/>
      <c r="QC139" s="70"/>
      <c r="QD139" s="70"/>
      <c r="QE139" s="70"/>
      <c r="QF139" s="70"/>
      <c r="QG139" s="70"/>
      <c r="QH139" s="70"/>
      <c r="QI139" s="70"/>
      <c r="QJ139" s="70"/>
      <c r="QK139" s="70"/>
      <c r="QL139" s="70"/>
      <c r="QM139" s="70"/>
      <c r="QN139" s="70"/>
      <c r="QO139" s="70"/>
      <c r="QP139" s="70"/>
      <c r="QQ139" s="70"/>
      <c r="QR139" s="70"/>
      <c r="QS139" s="70"/>
      <c r="QT139" s="70"/>
      <c r="QU139" s="70"/>
      <c r="QV139" s="70"/>
      <c r="QW139" s="70"/>
      <c r="QX139" s="70"/>
      <c r="QY139" s="70"/>
      <c r="QZ139" s="70"/>
      <c r="RA139" s="70"/>
      <c r="RB139" s="70"/>
      <c r="RC139" s="70"/>
      <c r="RD139" s="70"/>
      <c r="RE139" s="70"/>
      <c r="RF139" s="70"/>
      <c r="RG139" s="70"/>
      <c r="RH139" s="70"/>
      <c r="RI139" s="70"/>
      <c r="RJ139" s="70"/>
      <c r="RK139" s="70"/>
      <c r="RL139" s="70"/>
      <c r="RM139" s="70"/>
      <c r="RN139" s="70"/>
      <c r="RO139" s="70"/>
      <c r="RP139" s="70"/>
      <c r="RQ139" s="70"/>
      <c r="RR139" s="70"/>
      <c r="RS139" s="70"/>
      <c r="RT139" s="70"/>
      <c r="RU139" s="70"/>
      <c r="RV139" s="70"/>
      <c r="RW139" s="70"/>
      <c r="RX139" s="70"/>
      <c r="RY139" s="70"/>
      <c r="RZ139" s="70"/>
      <c r="SA139" s="70"/>
      <c r="SB139" s="70"/>
      <c r="SC139" s="70"/>
      <c r="SD139" s="70"/>
      <c r="SE139" s="70"/>
      <c r="SF139" s="70"/>
      <c r="SG139" s="70"/>
      <c r="SH139" s="70"/>
      <c r="SI139" s="70"/>
      <c r="SJ139" s="70"/>
      <c r="SK139" s="70"/>
      <c r="SL139" s="70"/>
      <c r="SM139" s="70"/>
      <c r="SN139" s="70"/>
      <c r="SO139" s="70"/>
      <c r="SP139" s="70"/>
      <c r="SQ139" s="70"/>
      <c r="SR139" s="70"/>
      <c r="SS139" s="70"/>
      <c r="ST139" s="70"/>
      <c r="SU139" s="70"/>
      <c r="SV139" s="70"/>
      <c r="SW139" s="70"/>
      <c r="SX139" s="70"/>
      <c r="SY139" s="70"/>
      <c r="SZ139" s="70"/>
      <c r="TA139" s="70"/>
      <c r="TB139" s="70"/>
      <c r="TC139" s="70"/>
      <c r="TD139" s="70"/>
      <c r="TE139" s="70"/>
      <c r="TF139" s="70"/>
      <c r="TG139" s="70"/>
      <c r="TH139" s="70"/>
      <c r="TI139" s="70"/>
      <c r="TJ139" s="70"/>
      <c r="TK139" s="70"/>
      <c r="TL139" s="70"/>
      <c r="TM139" s="70"/>
      <c r="TN139" s="70"/>
      <c r="TO139" s="70"/>
      <c r="TP139" s="70"/>
      <c r="TQ139" s="70"/>
      <c r="TR139" s="70"/>
      <c r="TS139" s="70"/>
      <c r="TT139" s="70"/>
      <c r="TU139" s="70"/>
      <c r="TV139" s="70"/>
      <c r="TW139" s="70"/>
      <c r="TX139" s="70"/>
      <c r="TY139" s="70"/>
      <c r="TZ139" s="70"/>
      <c r="UA139" s="70"/>
      <c r="UB139" s="70"/>
      <c r="UC139" s="70"/>
      <c r="UD139" s="70"/>
      <c r="UE139" s="70"/>
      <c r="UF139" s="70"/>
      <c r="UG139" s="70"/>
      <c r="UH139" s="70"/>
      <c r="UI139" s="70"/>
      <c r="UJ139" s="70"/>
      <c r="UK139" s="70"/>
      <c r="UL139" s="70"/>
      <c r="UM139" s="70"/>
      <c r="UN139" s="70"/>
      <c r="UO139" s="70"/>
      <c r="UP139" s="70"/>
      <c r="UQ139" s="70"/>
      <c r="UR139" s="70"/>
      <c r="US139" s="70"/>
      <c r="UT139" s="70"/>
      <c r="UU139" s="70"/>
      <c r="UV139" s="70"/>
      <c r="UW139" s="70"/>
      <c r="UX139" s="70"/>
      <c r="UY139" s="70"/>
      <c r="UZ139" s="70"/>
      <c r="VA139" s="70"/>
      <c r="VB139" s="70"/>
      <c r="VC139" s="70"/>
      <c r="VD139" s="70"/>
      <c r="VE139" s="70"/>
      <c r="VF139" s="70"/>
      <c r="VG139" s="70"/>
      <c r="VH139" s="70"/>
      <c r="VI139" s="70"/>
      <c r="VJ139" s="70"/>
      <c r="VK139" s="70"/>
      <c r="VL139" s="70"/>
      <c r="VM139" s="70"/>
      <c r="VN139" s="70"/>
      <c r="VO139" s="70"/>
      <c r="VP139" s="70"/>
      <c r="VQ139" s="70"/>
      <c r="VR139" s="70"/>
      <c r="VS139" s="70"/>
      <c r="VT139" s="70"/>
      <c r="VU139" s="70"/>
      <c r="VV139" s="70"/>
      <c r="VW139" s="70"/>
      <c r="VX139" s="70"/>
      <c r="VY139" s="70"/>
      <c r="VZ139" s="70"/>
      <c r="WA139" s="70"/>
      <c r="WB139" s="70"/>
      <c r="WC139" s="70"/>
      <c r="WD139" s="70"/>
      <c r="WE139" s="70"/>
      <c r="WF139" s="70"/>
      <c r="WG139" s="70"/>
      <c r="WH139" s="70"/>
      <c r="WI139" s="70"/>
      <c r="WJ139" s="70"/>
      <c r="WK139" s="70"/>
      <c r="WL139" s="70"/>
      <c r="WM139" s="70"/>
      <c r="WN139" s="70"/>
      <c r="WO139" s="70"/>
      <c r="WP139" s="70"/>
      <c r="WQ139" s="70"/>
      <c r="WR139" s="70"/>
      <c r="WS139" s="70"/>
      <c r="WT139" s="70"/>
      <c r="WU139" s="70"/>
      <c r="WV139" s="70"/>
      <c r="WW139" s="70"/>
      <c r="WX139" s="70"/>
      <c r="WY139" s="70"/>
      <c r="WZ139" s="70"/>
      <c r="XA139" s="70"/>
      <c r="XB139" s="70"/>
      <c r="XC139" s="70"/>
      <c r="XD139" s="70"/>
      <c r="XE139" s="70"/>
      <c r="XF139" s="70"/>
      <c r="XG139" s="70"/>
      <c r="XH139" s="70"/>
      <c r="XI139" s="70"/>
      <c r="XJ139" s="70"/>
      <c r="XK139" s="70"/>
      <c r="XL139" s="70"/>
      <c r="XM139" s="70"/>
      <c r="XN139" s="70"/>
      <c r="XO139" s="70"/>
      <c r="XP139" s="70"/>
      <c r="XQ139" s="70"/>
      <c r="XR139" s="70"/>
      <c r="XS139" s="70"/>
      <c r="XT139" s="70"/>
      <c r="XU139" s="70"/>
      <c r="XV139" s="70"/>
      <c r="XW139" s="70"/>
      <c r="XX139" s="70"/>
      <c r="XY139" s="70"/>
      <c r="XZ139" s="70"/>
      <c r="YA139" s="70"/>
      <c r="YB139" s="70"/>
      <c r="YC139" s="70"/>
      <c r="YD139" s="70"/>
      <c r="YE139" s="70"/>
      <c r="YF139" s="70"/>
      <c r="YG139" s="70"/>
      <c r="YH139" s="70"/>
      <c r="YI139" s="70"/>
      <c r="YJ139" s="70"/>
      <c r="YK139" s="70"/>
      <c r="YL139" s="70"/>
      <c r="YM139" s="70"/>
      <c r="YN139" s="70"/>
      <c r="YO139" s="70"/>
      <c r="YP139" s="70"/>
      <c r="YQ139" s="70"/>
      <c r="YR139" s="70"/>
      <c r="YS139" s="70"/>
      <c r="YT139" s="70"/>
      <c r="YU139" s="70"/>
      <c r="YV139" s="70"/>
      <c r="YW139" s="70"/>
      <c r="YX139" s="70"/>
      <c r="YY139" s="70"/>
      <c r="YZ139" s="70"/>
      <c r="ZA139" s="70"/>
      <c r="ZB139" s="70"/>
      <c r="ZC139" s="70"/>
      <c r="ZD139" s="70"/>
      <c r="ZE139" s="70"/>
      <c r="ZF139" s="70"/>
      <c r="ZG139" s="70"/>
      <c r="ZH139" s="70"/>
      <c r="ZI139" s="70"/>
      <c r="ZJ139" s="70"/>
      <c r="ZK139" s="70"/>
      <c r="ZL139" s="70"/>
      <c r="ZM139" s="70"/>
      <c r="ZN139" s="70"/>
      <c r="ZO139" s="70"/>
      <c r="ZP139" s="70"/>
      <c r="ZQ139" s="70"/>
      <c r="ZR139" s="70"/>
      <c r="ZS139" s="70"/>
      <c r="ZT139" s="70"/>
      <c r="ZU139" s="70"/>
      <c r="ZV139" s="70"/>
      <c r="ZW139" s="70"/>
      <c r="ZX139" s="70"/>
      <c r="ZY139" s="70"/>
      <c r="ZZ139" s="70"/>
      <c r="AAA139" s="70"/>
      <c r="AAB139" s="70"/>
      <c r="AAC139" s="70"/>
      <c r="AAD139" s="70"/>
      <c r="AAE139" s="70"/>
      <c r="AAF139" s="70"/>
      <c r="AAG139" s="70"/>
      <c r="AAH139" s="70"/>
      <c r="AAI139" s="70"/>
      <c r="AAJ139" s="70"/>
      <c r="AAK139" s="70"/>
      <c r="AAL139" s="70"/>
      <c r="AAM139" s="70"/>
      <c r="AAN139" s="70"/>
      <c r="AAO139" s="70"/>
      <c r="AAP139" s="70"/>
      <c r="AAQ139" s="70"/>
      <c r="AAR139" s="70"/>
      <c r="AAS139" s="70"/>
      <c r="AAT139" s="70"/>
      <c r="AAU139" s="70"/>
      <c r="AAV139" s="70"/>
      <c r="AAW139" s="70"/>
      <c r="AAX139" s="70"/>
      <c r="AAY139" s="70"/>
      <c r="AAZ139" s="70"/>
      <c r="ABA139" s="70"/>
      <c r="ABB139" s="70"/>
      <c r="ABC139" s="70"/>
      <c r="ABD139" s="70"/>
      <c r="ABE139" s="70"/>
      <c r="ABF139" s="70"/>
      <c r="ABG139" s="70"/>
      <c r="ABH139" s="70"/>
      <c r="ABI139" s="70"/>
      <c r="ABJ139" s="70"/>
      <c r="ABK139" s="70"/>
      <c r="ABL139" s="70"/>
      <c r="ABM139" s="70"/>
      <c r="ABN139" s="70"/>
      <c r="ABO139" s="70"/>
      <c r="ABP139" s="70"/>
      <c r="ABQ139" s="70"/>
      <c r="ABR139" s="70"/>
      <c r="ABS139" s="70"/>
      <c r="ABT139" s="70"/>
      <c r="ABU139" s="70"/>
      <c r="ABV139" s="70"/>
      <c r="ABW139" s="70"/>
      <c r="ABX139" s="70"/>
      <c r="ABY139" s="70"/>
      <c r="ABZ139" s="70"/>
      <c r="ACA139" s="70"/>
      <c r="ACB139" s="70"/>
      <c r="ACC139" s="70"/>
      <c r="ACD139" s="70"/>
      <c r="ACE139" s="70"/>
      <c r="ACF139" s="70"/>
      <c r="ACG139" s="70"/>
      <c r="ACH139" s="70"/>
      <c r="ACI139" s="70"/>
      <c r="ACJ139" s="70"/>
      <c r="ACK139" s="70"/>
      <c r="ACL139" s="70"/>
      <c r="ACM139" s="70"/>
      <c r="ACN139" s="70"/>
      <c r="ACO139" s="70"/>
      <c r="ACP139" s="70"/>
      <c r="ACQ139" s="70"/>
      <c r="ACR139" s="70"/>
      <c r="ACS139" s="70"/>
      <c r="ACT139" s="70"/>
      <c r="ACU139" s="70"/>
      <c r="ACV139" s="70"/>
      <c r="ACW139" s="70"/>
      <c r="ACX139" s="70"/>
      <c r="ACY139" s="70"/>
      <c r="ACZ139" s="70"/>
      <c r="ADA139" s="70"/>
      <c r="ADB139" s="70"/>
      <c r="ADC139" s="70"/>
      <c r="ADD139" s="70"/>
      <c r="ADE139" s="70"/>
      <c r="ADF139" s="70"/>
      <c r="ADG139" s="70"/>
      <c r="ADH139" s="70"/>
      <c r="ADI139" s="70"/>
      <c r="ADJ139" s="70"/>
      <c r="ADK139" s="70"/>
      <c r="ADL139" s="70"/>
      <c r="ADM139" s="70"/>
      <c r="ADN139" s="70"/>
      <c r="ADO139" s="70"/>
      <c r="ADP139" s="70"/>
      <c r="ADQ139" s="70"/>
      <c r="ADR139" s="70"/>
      <c r="ADS139" s="70"/>
      <c r="ADT139" s="70"/>
      <c r="ADU139" s="70"/>
      <c r="ADV139" s="70"/>
      <c r="ADW139" s="70"/>
      <c r="ADX139" s="70"/>
      <c r="ADY139" s="70"/>
      <c r="ADZ139" s="70"/>
      <c r="AEA139" s="70"/>
      <c r="AEB139" s="70"/>
      <c r="AEC139" s="70"/>
      <c r="AED139" s="70"/>
      <c r="AEE139" s="70"/>
      <c r="AEF139" s="70"/>
      <c r="AEG139" s="70"/>
      <c r="AEH139" s="70"/>
      <c r="AEI139" s="70"/>
      <c r="AEJ139" s="70"/>
      <c r="AEK139" s="70"/>
      <c r="AEL139" s="70"/>
      <c r="AEM139" s="70"/>
      <c r="AEN139" s="70"/>
      <c r="AEO139" s="70"/>
      <c r="AEP139" s="70"/>
      <c r="AEQ139" s="70"/>
      <c r="AER139" s="70"/>
      <c r="AES139" s="70"/>
      <c r="AET139" s="70"/>
      <c r="AEU139" s="70"/>
      <c r="AEV139" s="70"/>
      <c r="AEW139" s="70"/>
      <c r="AEX139" s="70"/>
      <c r="AEY139" s="70"/>
      <c r="AEZ139" s="70"/>
      <c r="AFA139" s="70"/>
      <c r="AFB139" s="70"/>
      <c r="AFC139" s="70"/>
      <c r="AFD139" s="70"/>
      <c r="AFE139" s="70"/>
      <c r="AFF139" s="70"/>
      <c r="AFG139" s="70"/>
      <c r="AFH139" s="70"/>
      <c r="AFI139" s="70"/>
      <c r="AFJ139" s="70"/>
      <c r="AFK139" s="70"/>
      <c r="AFL139" s="70"/>
      <c r="AFM139" s="70"/>
      <c r="AFN139" s="70"/>
      <c r="AFO139" s="70"/>
      <c r="AFP139" s="70"/>
      <c r="AFQ139" s="70"/>
      <c r="AFR139" s="70"/>
      <c r="AFS139" s="70"/>
      <c r="AFT139" s="70"/>
      <c r="AFU139" s="70"/>
      <c r="AFV139" s="70"/>
      <c r="AFW139" s="70"/>
      <c r="AFX139" s="70"/>
      <c r="AFY139" s="70"/>
      <c r="AFZ139" s="70"/>
      <c r="AGA139" s="70"/>
      <c r="AGB139" s="70"/>
      <c r="AGC139" s="70"/>
      <c r="AGD139" s="70"/>
      <c r="AGE139" s="70"/>
      <c r="AGF139" s="70"/>
      <c r="AGG139" s="70"/>
      <c r="AGH139" s="70"/>
      <c r="AGI139" s="70"/>
      <c r="AGJ139" s="70"/>
      <c r="AGK139" s="70"/>
      <c r="AGL139" s="70"/>
      <c r="AGM139" s="70"/>
      <c r="AGN139" s="70"/>
      <c r="AGO139" s="70"/>
      <c r="AGP139" s="70"/>
      <c r="AGQ139" s="70"/>
      <c r="AGR139" s="70"/>
      <c r="AGS139" s="70"/>
      <c r="AGT139" s="70"/>
      <c r="AGU139" s="70"/>
      <c r="AGV139" s="70"/>
      <c r="AGW139" s="70"/>
      <c r="AGX139" s="70"/>
      <c r="AGY139" s="70"/>
      <c r="AGZ139" s="70"/>
      <c r="AHA139" s="70"/>
      <c r="AHB139" s="70"/>
      <c r="AHC139" s="70"/>
      <c r="AHD139" s="70"/>
      <c r="AHE139" s="70"/>
      <c r="AHF139" s="70"/>
      <c r="AHG139" s="70"/>
      <c r="AHH139" s="70"/>
      <c r="AHI139" s="70"/>
      <c r="AHJ139" s="70"/>
      <c r="AHK139" s="70"/>
      <c r="AHL139" s="70"/>
      <c r="AHM139" s="70"/>
      <c r="AHN139" s="70"/>
      <c r="AHO139" s="70"/>
      <c r="AHP139" s="70"/>
      <c r="AHQ139" s="70"/>
      <c r="AHR139" s="70"/>
      <c r="AHS139" s="70"/>
      <c r="AHT139" s="70"/>
      <c r="AHU139" s="70"/>
      <c r="AHV139" s="70"/>
      <c r="AHW139" s="70"/>
      <c r="AHX139" s="70"/>
      <c r="AHY139" s="70"/>
      <c r="AHZ139" s="70"/>
      <c r="AIA139" s="70"/>
      <c r="AIB139" s="70"/>
      <c r="AIC139" s="70"/>
      <c r="AID139" s="70"/>
      <c r="AIE139" s="70"/>
      <c r="AIF139" s="70"/>
      <c r="AIG139" s="70"/>
      <c r="AIH139" s="70"/>
      <c r="AII139" s="70"/>
      <c r="AIJ139" s="70"/>
      <c r="AIK139" s="70"/>
      <c r="AIL139" s="70"/>
      <c r="AIM139" s="70"/>
      <c r="AIN139" s="70"/>
      <c r="AIO139" s="70"/>
      <c r="AIP139" s="70"/>
      <c r="AIQ139" s="70"/>
      <c r="AIR139" s="70"/>
      <c r="AIS139" s="70"/>
      <c r="AIT139" s="70"/>
      <c r="AIU139" s="70"/>
      <c r="AIV139" s="70"/>
      <c r="AIW139" s="70"/>
      <c r="AIX139" s="70"/>
      <c r="AIY139" s="70"/>
      <c r="AIZ139" s="70"/>
      <c r="AJA139" s="70"/>
      <c r="AJB139" s="70"/>
      <c r="AJC139" s="70"/>
      <c r="AJD139" s="70"/>
      <c r="AJE139" s="70"/>
      <c r="AJF139" s="70"/>
      <c r="AJG139" s="70"/>
      <c r="AJH139" s="70"/>
      <c r="AJI139" s="70"/>
      <c r="AJJ139" s="70"/>
      <c r="AJK139" s="70"/>
      <c r="AJL139" s="70"/>
      <c r="AJM139" s="70"/>
      <c r="AJN139" s="70"/>
      <c r="AJO139" s="70"/>
      <c r="AJP139" s="70"/>
      <c r="AJQ139" s="70"/>
      <c r="AJR139" s="70"/>
      <c r="AJS139" s="70"/>
      <c r="AJT139" s="70"/>
      <c r="AJU139" s="70"/>
      <c r="AJV139" s="70"/>
      <c r="AJW139" s="70"/>
      <c r="AJX139" s="70"/>
      <c r="AJY139" s="70"/>
      <c r="AJZ139" s="70"/>
      <c r="AKA139" s="70"/>
      <c r="AKB139" s="70"/>
      <c r="AKC139" s="70"/>
      <c r="AKD139" s="70"/>
      <c r="AKE139" s="70"/>
      <c r="AKF139" s="70"/>
      <c r="AKG139" s="70"/>
      <c r="AKH139" s="70"/>
      <c r="AKI139" s="70"/>
      <c r="AKJ139" s="70"/>
      <c r="AKK139" s="70"/>
      <c r="AKL139" s="70"/>
      <c r="AKM139" s="70"/>
      <c r="AKN139" s="70"/>
      <c r="AKO139" s="70"/>
      <c r="AKP139" s="70"/>
      <c r="AKQ139" s="70"/>
      <c r="AKR139" s="70"/>
      <c r="AKS139" s="70"/>
      <c r="AKT139" s="70"/>
      <c r="AKU139" s="70"/>
      <c r="AKV139" s="70"/>
      <c r="AKW139" s="70"/>
      <c r="AKX139" s="70"/>
      <c r="AKY139" s="70"/>
      <c r="AKZ139" s="70"/>
      <c r="ALA139" s="70"/>
      <c r="ALB139" s="70"/>
      <c r="ALC139" s="70"/>
      <c r="ALD139" s="70"/>
      <c r="ALE139" s="70"/>
      <c r="ALF139" s="70"/>
      <c r="ALG139" s="70"/>
      <c r="ALH139" s="70"/>
      <c r="ALI139" s="70"/>
      <c r="ALJ139" s="70"/>
      <c r="ALK139" s="70"/>
      <c r="ALL139" s="70"/>
      <c r="ALM139" s="70"/>
      <c r="ALN139" s="70"/>
      <c r="ALO139" s="70"/>
      <c r="ALP139" s="70"/>
      <c r="ALQ139" s="70"/>
      <c r="ALR139" s="70"/>
      <c r="ALS139" s="70"/>
      <c r="ALT139" s="70"/>
      <c r="ALU139" s="70"/>
      <c r="ALV139" s="70"/>
      <c r="ALW139" s="70"/>
      <c r="ALX139" s="70"/>
      <c r="ALY139" s="70"/>
      <c r="ALZ139" s="70"/>
      <c r="AMA139" s="70"/>
      <c r="AMB139" s="70"/>
      <c r="AMC139" s="70"/>
      <c r="AMD139" s="70"/>
      <c r="AME139" s="70"/>
      <c r="AMF139" s="70"/>
      <c r="AMG139" s="70"/>
      <c r="AMH139" s="70"/>
      <c r="AMI139" s="70"/>
      <c r="AMJ139" s="70"/>
      <c r="AMK139" s="70"/>
      <c r="AML139" s="70"/>
      <c r="AMM139" s="70"/>
      <c r="AMN139" s="70"/>
      <c r="AMO139" s="70"/>
      <c r="AMP139" s="70"/>
      <c r="AMQ139" s="70"/>
      <c r="AMR139" s="70"/>
      <c r="AMS139" s="70"/>
      <c r="AMT139" s="70"/>
      <c r="AMU139" s="70"/>
      <c r="AMV139" s="70"/>
      <c r="AMW139" s="70"/>
      <c r="AMX139" s="70"/>
      <c r="AMY139" s="70"/>
      <c r="AMZ139" s="70"/>
      <c r="ANA139" s="70"/>
      <c r="ANB139" s="70"/>
      <c r="ANC139" s="70"/>
      <c r="AND139" s="70"/>
      <c r="ANE139" s="70"/>
      <c r="ANF139" s="70"/>
      <c r="ANG139" s="70"/>
      <c r="ANH139" s="70"/>
      <c r="ANI139" s="70"/>
      <c r="ANJ139" s="70"/>
      <c r="ANK139" s="70"/>
      <c r="ANL139" s="70"/>
      <c r="ANM139" s="70"/>
      <c r="ANN139" s="70"/>
      <c r="ANO139" s="70"/>
      <c r="ANP139" s="70"/>
      <c r="ANQ139" s="70"/>
      <c r="ANR139" s="70"/>
      <c r="ANS139" s="70"/>
      <c r="ANT139" s="70"/>
      <c r="ANU139" s="70"/>
      <c r="ANV139" s="70"/>
      <c r="ANW139" s="70"/>
      <c r="ANX139" s="70"/>
      <c r="ANY139" s="70"/>
      <c r="ANZ139" s="70"/>
      <c r="AOA139" s="70"/>
      <c r="AOB139" s="70"/>
      <c r="AOC139" s="70"/>
      <c r="AOD139" s="70"/>
      <c r="AOE139" s="70"/>
      <c r="AOF139" s="70"/>
      <c r="AOG139" s="70"/>
      <c r="AOH139" s="70"/>
      <c r="AOI139" s="70"/>
      <c r="AOJ139" s="70"/>
      <c r="AOK139" s="70"/>
      <c r="AOL139" s="70"/>
      <c r="AOM139" s="70"/>
      <c r="AON139" s="70"/>
      <c r="AOO139" s="70"/>
      <c r="AOP139" s="70"/>
      <c r="AOQ139" s="70"/>
      <c r="AOR139" s="70"/>
      <c r="AOS139" s="70"/>
      <c r="AOT139" s="70"/>
      <c r="AOU139" s="70"/>
      <c r="AOV139" s="70"/>
      <c r="AOW139" s="70"/>
      <c r="AOX139" s="70"/>
      <c r="AOY139" s="70"/>
      <c r="AOZ139" s="70"/>
      <c r="APA139" s="70"/>
      <c r="APB139" s="70"/>
      <c r="APC139" s="70"/>
      <c r="APD139" s="70"/>
      <c r="APE139" s="70"/>
      <c r="APF139" s="70"/>
      <c r="APG139" s="70"/>
      <c r="APH139" s="70"/>
      <c r="API139" s="70"/>
      <c r="APJ139" s="70"/>
      <c r="APK139" s="70"/>
      <c r="APL139" s="70"/>
      <c r="APM139" s="70"/>
      <c r="APN139" s="70"/>
      <c r="APO139" s="70"/>
      <c r="APP139" s="70"/>
      <c r="APQ139" s="70"/>
      <c r="APR139" s="70"/>
      <c r="APS139" s="70"/>
      <c r="APT139" s="70"/>
      <c r="APU139" s="70"/>
      <c r="APV139" s="70"/>
      <c r="APW139" s="70"/>
      <c r="APX139" s="70"/>
      <c r="APY139" s="70"/>
      <c r="APZ139" s="70"/>
      <c r="AQA139" s="70"/>
      <c r="AQB139" s="70"/>
      <c r="AQC139" s="70"/>
      <c r="AQD139" s="70"/>
      <c r="AQE139" s="70"/>
      <c r="AQF139" s="70"/>
      <c r="AQG139" s="70"/>
      <c r="AQH139" s="70"/>
      <c r="AQI139" s="70"/>
      <c r="AQJ139" s="70"/>
      <c r="AQK139" s="70"/>
      <c r="AQL139" s="70"/>
      <c r="AQM139" s="70"/>
      <c r="AQN139" s="70"/>
      <c r="AQO139" s="70"/>
      <c r="AQP139" s="70"/>
      <c r="AQQ139" s="70"/>
      <c r="AQR139" s="70"/>
      <c r="AQS139" s="70"/>
      <c r="AQT139" s="70"/>
      <c r="AQU139" s="70"/>
      <c r="AQV139" s="70"/>
      <c r="AQW139" s="70"/>
      <c r="AQX139" s="70"/>
      <c r="AQY139" s="70"/>
      <c r="AQZ139" s="70"/>
      <c r="ARA139" s="70"/>
      <c r="ARB139" s="70"/>
      <c r="ARC139" s="70"/>
      <c r="ARD139" s="70"/>
      <c r="ARE139" s="70"/>
      <c r="ARF139" s="70"/>
      <c r="ARG139" s="70"/>
      <c r="ARH139" s="70"/>
      <c r="ARI139" s="70"/>
      <c r="ARJ139" s="70"/>
      <c r="ARK139" s="70"/>
      <c r="ARL139" s="70"/>
      <c r="ARM139" s="70"/>
      <c r="ARN139" s="70"/>
      <c r="ARO139" s="70"/>
      <c r="ARP139" s="70"/>
      <c r="ARQ139" s="70"/>
      <c r="ARR139" s="70"/>
      <c r="ARS139" s="70"/>
      <c r="ART139" s="70"/>
      <c r="ARU139" s="70"/>
      <c r="ARV139" s="70"/>
      <c r="ARW139" s="70"/>
      <c r="ARX139" s="70"/>
      <c r="ARY139" s="70"/>
      <c r="ARZ139" s="70"/>
      <c r="ASA139" s="70"/>
      <c r="ASB139" s="70"/>
      <c r="ASC139" s="70"/>
      <c r="ASD139" s="70"/>
      <c r="ASE139" s="70"/>
      <c r="ASF139" s="70"/>
      <c r="ASG139" s="70"/>
      <c r="ASH139" s="70"/>
      <c r="ASI139" s="70"/>
      <c r="ASJ139" s="70"/>
      <c r="ASK139" s="70"/>
      <c r="ASL139" s="70"/>
      <c r="ASM139" s="70"/>
      <c r="ASN139" s="70"/>
      <c r="ASO139" s="70"/>
      <c r="ASP139" s="70"/>
      <c r="ASQ139" s="70"/>
      <c r="ASR139" s="70"/>
      <c r="ASS139" s="70"/>
      <c r="AST139" s="70"/>
      <c r="ASU139" s="70"/>
      <c r="ASV139" s="70"/>
      <c r="ASW139" s="70"/>
      <c r="ASX139" s="70"/>
      <c r="ASY139" s="70"/>
      <c r="ASZ139" s="70"/>
      <c r="ATA139" s="70"/>
      <c r="ATB139" s="70"/>
      <c r="ATC139" s="70"/>
      <c r="ATD139" s="70"/>
      <c r="ATE139" s="70"/>
      <c r="ATF139" s="70"/>
      <c r="ATG139" s="70"/>
      <c r="ATH139" s="70"/>
      <c r="ATI139" s="70"/>
      <c r="ATJ139" s="70"/>
      <c r="ATK139" s="70"/>
      <c r="ATL139" s="70"/>
      <c r="ATM139" s="70"/>
      <c r="ATN139" s="70"/>
      <c r="ATO139" s="70"/>
      <c r="ATP139" s="70"/>
      <c r="ATQ139" s="70"/>
      <c r="ATR139" s="70"/>
      <c r="ATS139" s="70"/>
      <c r="ATT139" s="70"/>
      <c r="ATU139" s="70"/>
      <c r="ATV139" s="70"/>
      <c r="ATW139" s="70"/>
      <c r="ATX139" s="70"/>
      <c r="ATY139" s="70"/>
      <c r="ATZ139" s="70"/>
      <c r="AUA139" s="70"/>
      <c r="AUB139" s="70"/>
      <c r="AUC139" s="70"/>
      <c r="AUD139" s="70"/>
      <c r="AUE139" s="70"/>
      <c r="AUF139" s="70"/>
      <c r="AUG139" s="70"/>
      <c r="AUH139" s="70"/>
      <c r="AUI139" s="70"/>
      <c r="AUJ139" s="70"/>
      <c r="AUK139" s="70"/>
      <c r="AUL139" s="70"/>
      <c r="AUM139" s="70"/>
      <c r="AUN139" s="70"/>
      <c r="AUO139" s="70"/>
      <c r="AUP139" s="70"/>
      <c r="AUQ139" s="70"/>
      <c r="AUR139" s="70"/>
      <c r="AUS139" s="70"/>
      <c r="AUT139" s="70"/>
      <c r="AUU139" s="70"/>
      <c r="AUV139" s="70"/>
      <c r="AUW139" s="70"/>
      <c r="AUX139" s="70"/>
      <c r="AUY139" s="70"/>
      <c r="AUZ139" s="70"/>
      <c r="AVA139" s="70"/>
      <c r="AVB139" s="70"/>
      <c r="AVC139" s="70"/>
      <c r="AVD139" s="70"/>
      <c r="AVE139" s="70"/>
      <c r="AVF139" s="70"/>
      <c r="AVG139" s="70"/>
      <c r="AVH139" s="70"/>
      <c r="AVI139" s="70"/>
      <c r="AVJ139" s="70"/>
      <c r="AVK139" s="70"/>
      <c r="AVL139" s="70"/>
      <c r="AVM139" s="70"/>
      <c r="AVN139" s="70"/>
      <c r="AVO139" s="70"/>
      <c r="AVP139" s="70"/>
      <c r="AVQ139" s="70"/>
      <c r="AVR139" s="70"/>
      <c r="AVS139" s="70"/>
      <c r="AVT139" s="70"/>
      <c r="AVU139" s="70"/>
      <c r="AVV139" s="70"/>
      <c r="AVW139" s="70"/>
      <c r="AVX139" s="70"/>
      <c r="AVY139" s="70"/>
      <c r="AVZ139" s="70"/>
      <c r="AWA139" s="70"/>
      <c r="AWB139" s="70"/>
      <c r="AWC139" s="70"/>
      <c r="AWD139" s="70"/>
      <c r="AWE139" s="70"/>
      <c r="AWF139" s="70"/>
      <c r="AWG139" s="70"/>
      <c r="AWH139" s="70"/>
      <c r="AWI139" s="70"/>
      <c r="AWJ139" s="70"/>
      <c r="AWK139" s="70"/>
      <c r="AWL139" s="70"/>
      <c r="AWM139" s="70"/>
      <c r="AWN139" s="70"/>
      <c r="AWO139" s="70"/>
      <c r="AWP139" s="70"/>
      <c r="AWQ139" s="70"/>
      <c r="AWR139" s="70"/>
      <c r="AWS139" s="70"/>
      <c r="AWT139" s="70"/>
      <c r="AWU139" s="70"/>
      <c r="AWV139" s="70"/>
      <c r="AWW139" s="70"/>
      <c r="AWX139" s="70"/>
      <c r="AWY139" s="70"/>
      <c r="AWZ139" s="70"/>
      <c r="AXA139" s="70"/>
      <c r="AXB139" s="70"/>
      <c r="AXC139" s="70"/>
      <c r="AXD139" s="70"/>
      <c r="AXE139" s="70"/>
      <c r="AXF139" s="70"/>
      <c r="AXG139" s="70"/>
      <c r="AXH139" s="70"/>
      <c r="AXI139" s="70"/>
      <c r="AXJ139" s="70"/>
      <c r="AXK139" s="70"/>
      <c r="AXL139" s="70"/>
      <c r="AXM139" s="70"/>
      <c r="AXN139" s="70"/>
      <c r="AXO139" s="70"/>
      <c r="AXP139" s="70"/>
      <c r="AXQ139" s="70"/>
      <c r="AXR139" s="70"/>
      <c r="AXS139" s="70"/>
      <c r="AXT139" s="70"/>
      <c r="AXU139" s="70"/>
      <c r="AXV139" s="70"/>
      <c r="AXW139" s="70"/>
      <c r="AXX139" s="70"/>
      <c r="AXY139" s="70"/>
      <c r="AXZ139" s="70"/>
      <c r="AYA139" s="70"/>
      <c r="AYB139" s="70"/>
      <c r="AYC139" s="70"/>
      <c r="AYD139" s="70"/>
      <c r="AYE139" s="70"/>
      <c r="AYF139" s="70"/>
      <c r="AYG139" s="70"/>
      <c r="AYH139" s="70"/>
      <c r="AYI139" s="70"/>
      <c r="AYJ139" s="70"/>
      <c r="AYK139" s="70"/>
      <c r="AYL139" s="70"/>
      <c r="AYM139" s="70"/>
      <c r="AYN139" s="70"/>
      <c r="AYO139" s="70"/>
      <c r="AYP139" s="70"/>
      <c r="AYQ139" s="70"/>
      <c r="AYR139" s="70"/>
      <c r="AYS139" s="70"/>
      <c r="AYT139" s="70"/>
      <c r="AYU139" s="70"/>
      <c r="AYV139" s="70"/>
      <c r="AYW139" s="70"/>
      <c r="AYX139" s="70"/>
      <c r="AYY139" s="70"/>
      <c r="AYZ139" s="70"/>
      <c r="AZA139" s="70"/>
      <c r="AZB139" s="70"/>
      <c r="AZC139" s="70"/>
      <c r="AZD139" s="70"/>
      <c r="AZE139" s="70"/>
      <c r="AZF139" s="70"/>
      <c r="AZG139" s="70"/>
      <c r="AZH139" s="70"/>
      <c r="AZI139" s="70"/>
      <c r="AZJ139" s="70"/>
      <c r="AZK139" s="70"/>
      <c r="AZL139" s="70"/>
      <c r="AZM139" s="70"/>
      <c r="AZN139" s="70"/>
      <c r="AZO139" s="70"/>
      <c r="AZP139" s="70"/>
      <c r="AZQ139" s="70"/>
      <c r="AZR139" s="70"/>
      <c r="AZS139" s="70"/>
      <c r="AZT139" s="70"/>
      <c r="AZU139" s="70"/>
      <c r="AZV139" s="70"/>
      <c r="AZW139" s="70"/>
      <c r="AZX139" s="70"/>
      <c r="AZY139" s="70"/>
      <c r="AZZ139" s="70"/>
      <c r="BAA139" s="70"/>
      <c r="BAB139" s="70"/>
      <c r="BAC139" s="70"/>
      <c r="BAD139" s="70"/>
      <c r="BAE139" s="70"/>
      <c r="BAF139" s="70"/>
      <c r="BAG139" s="70"/>
      <c r="BAH139" s="70"/>
      <c r="BAI139" s="70"/>
      <c r="BAJ139" s="70"/>
      <c r="BAK139" s="70"/>
      <c r="BAL139" s="70"/>
      <c r="BAM139" s="70"/>
      <c r="BAN139" s="70"/>
      <c r="BAO139" s="70"/>
      <c r="BAP139" s="70"/>
      <c r="BAQ139" s="70"/>
      <c r="BAR139" s="70"/>
      <c r="BAS139" s="70"/>
      <c r="BAT139" s="70"/>
      <c r="BAU139" s="70"/>
      <c r="BAV139" s="70"/>
      <c r="BAW139" s="70"/>
      <c r="BAX139" s="70"/>
      <c r="BAY139" s="70"/>
      <c r="BAZ139" s="70"/>
      <c r="BBA139" s="70"/>
      <c r="BBB139" s="70"/>
      <c r="BBC139" s="70"/>
      <c r="BBD139" s="70"/>
      <c r="BBE139" s="70"/>
      <c r="BBF139" s="70"/>
      <c r="BBG139" s="70"/>
      <c r="BBH139" s="70"/>
      <c r="BBI139" s="70"/>
      <c r="BBJ139" s="70"/>
      <c r="BBK139" s="70"/>
      <c r="BBL139" s="70"/>
      <c r="BBM139" s="70"/>
      <c r="BBN139" s="70"/>
      <c r="BBO139" s="70"/>
      <c r="BBP139" s="70"/>
      <c r="BBQ139" s="70"/>
      <c r="BBR139" s="70"/>
      <c r="BBS139" s="70"/>
      <c r="BBT139" s="70"/>
      <c r="BBU139" s="70"/>
      <c r="BBV139" s="70"/>
      <c r="BBW139" s="70"/>
      <c r="BBX139" s="70"/>
      <c r="BBY139" s="70"/>
      <c r="BBZ139" s="70"/>
      <c r="BCA139" s="70"/>
      <c r="BCB139" s="70"/>
      <c r="BCC139" s="70"/>
      <c r="BCD139" s="70"/>
      <c r="BCE139" s="70"/>
      <c r="BCF139" s="70"/>
      <c r="BCG139" s="70"/>
      <c r="BCH139" s="70"/>
      <c r="BCI139" s="70"/>
      <c r="BCJ139" s="70"/>
      <c r="BCK139" s="70"/>
      <c r="BCL139" s="70"/>
      <c r="BCM139" s="70"/>
      <c r="BCN139" s="70"/>
      <c r="BCO139" s="70"/>
      <c r="BCP139" s="70"/>
      <c r="BCQ139" s="70"/>
      <c r="BCR139" s="70"/>
      <c r="BCS139" s="70"/>
      <c r="BCT139" s="70"/>
      <c r="BCU139" s="70"/>
      <c r="BCV139" s="70"/>
      <c r="BCW139" s="70"/>
    </row>
    <row r="140" spans="1:1453" s="69" customFormat="1" ht="24.75" customHeight="1" x14ac:dyDescent="0.25">
      <c r="A140" s="50">
        <v>17</v>
      </c>
      <c r="B140" s="73" t="s">
        <v>339</v>
      </c>
      <c r="C140" s="73" t="s">
        <v>340</v>
      </c>
      <c r="D140" s="52">
        <v>4604300</v>
      </c>
      <c r="E140" s="151"/>
      <c r="F140" s="73" t="s">
        <v>335</v>
      </c>
      <c r="G140" s="71"/>
      <c r="H140" s="71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70"/>
      <c r="GX140" s="70"/>
      <c r="GY140" s="70"/>
      <c r="GZ140" s="70"/>
      <c r="HA140" s="70"/>
      <c r="HB140" s="70"/>
      <c r="HC140" s="70"/>
      <c r="HD140" s="70"/>
      <c r="HE140" s="70"/>
      <c r="HF140" s="70"/>
      <c r="HG140" s="70"/>
      <c r="HH140" s="70"/>
      <c r="HI140" s="70"/>
      <c r="HJ140" s="70"/>
      <c r="HK140" s="70"/>
      <c r="HL140" s="70"/>
      <c r="HM140" s="70"/>
      <c r="HN140" s="70"/>
      <c r="HO140" s="70"/>
      <c r="HP140" s="70"/>
      <c r="HQ140" s="70"/>
      <c r="HR140" s="70"/>
      <c r="HS140" s="70"/>
      <c r="HT140" s="70"/>
      <c r="HU140" s="70"/>
      <c r="HV140" s="70"/>
      <c r="HW140" s="70"/>
      <c r="HX140" s="70"/>
      <c r="HY140" s="70"/>
      <c r="HZ140" s="70"/>
      <c r="IA140" s="70"/>
      <c r="IB140" s="70"/>
      <c r="IC140" s="70"/>
      <c r="ID140" s="70"/>
      <c r="IE140" s="70"/>
      <c r="IF140" s="70"/>
      <c r="IG140" s="70"/>
      <c r="IH140" s="70"/>
      <c r="II140" s="70"/>
      <c r="IJ140" s="70"/>
      <c r="IK140" s="70"/>
      <c r="IL140" s="70"/>
      <c r="IM140" s="70"/>
      <c r="IN140" s="70"/>
      <c r="IO140" s="70"/>
      <c r="IP140" s="70"/>
      <c r="IQ140" s="70"/>
      <c r="IR140" s="70"/>
      <c r="IS140" s="70"/>
      <c r="IT140" s="70"/>
      <c r="IU140" s="70"/>
      <c r="IV140" s="70"/>
      <c r="IW140" s="70"/>
      <c r="IX140" s="70"/>
      <c r="IY140" s="70"/>
      <c r="IZ140" s="70"/>
      <c r="JA140" s="70"/>
      <c r="JB140" s="70"/>
      <c r="JC140" s="70"/>
      <c r="JD140" s="70"/>
      <c r="JE140" s="70"/>
      <c r="JF140" s="70"/>
      <c r="JG140" s="70"/>
      <c r="JH140" s="70"/>
      <c r="JI140" s="70"/>
      <c r="JJ140" s="70"/>
      <c r="JK140" s="70"/>
      <c r="JL140" s="70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70"/>
      <c r="JZ140" s="70"/>
      <c r="KA140" s="70"/>
      <c r="KB140" s="70"/>
      <c r="KC140" s="70"/>
      <c r="KD140" s="70"/>
      <c r="KE140" s="70"/>
      <c r="KF140" s="70"/>
      <c r="KG140" s="70"/>
      <c r="KH140" s="70"/>
      <c r="KI140" s="70"/>
      <c r="KJ140" s="70"/>
      <c r="KK140" s="70"/>
      <c r="KL140" s="70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70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70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70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70"/>
      <c r="MM140" s="70"/>
      <c r="MN140" s="70"/>
      <c r="MO140" s="70"/>
      <c r="MP140" s="70"/>
      <c r="MQ140" s="70"/>
      <c r="MR140" s="70"/>
      <c r="MS140" s="70"/>
      <c r="MT140" s="70"/>
      <c r="MU140" s="70"/>
      <c r="MV140" s="70"/>
      <c r="MW140" s="70"/>
      <c r="MX140" s="70"/>
      <c r="MY140" s="70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  <c r="NN140" s="70"/>
      <c r="NO140" s="70"/>
      <c r="NP140" s="70"/>
      <c r="NQ140" s="70"/>
      <c r="NR140" s="70"/>
      <c r="NS140" s="70"/>
      <c r="NT140" s="70"/>
      <c r="NU140" s="70"/>
      <c r="NV140" s="70"/>
      <c r="NW140" s="70"/>
      <c r="NX140" s="70"/>
      <c r="NY140" s="70"/>
      <c r="NZ140" s="70"/>
      <c r="OA140" s="70"/>
      <c r="OB140" s="70"/>
      <c r="OC140" s="70"/>
      <c r="OD140" s="70"/>
      <c r="OE140" s="70"/>
      <c r="OF140" s="70"/>
      <c r="OG140" s="70"/>
      <c r="OH140" s="70"/>
      <c r="OI140" s="70"/>
      <c r="OJ140" s="70"/>
      <c r="OK140" s="70"/>
      <c r="OL140" s="70"/>
      <c r="OM140" s="70"/>
      <c r="ON140" s="70"/>
      <c r="OO140" s="70"/>
      <c r="OP140" s="70"/>
      <c r="OQ140" s="70"/>
      <c r="OR140" s="70"/>
      <c r="OS140" s="70"/>
      <c r="OT140" s="70"/>
      <c r="OU140" s="70"/>
      <c r="OV140" s="70"/>
      <c r="OW140" s="70"/>
      <c r="OX140" s="70"/>
      <c r="OY140" s="70"/>
      <c r="OZ140" s="70"/>
      <c r="PA140" s="70"/>
      <c r="PB140" s="70"/>
      <c r="PC140" s="70"/>
      <c r="PD140" s="70"/>
      <c r="PE140" s="70"/>
      <c r="PF140" s="70"/>
      <c r="PG140" s="70"/>
      <c r="PH140" s="70"/>
      <c r="PI140" s="70"/>
      <c r="PJ140" s="70"/>
      <c r="PK140" s="70"/>
      <c r="PL140" s="70"/>
      <c r="PM140" s="70"/>
      <c r="PN140" s="70"/>
      <c r="PO140" s="70"/>
      <c r="PP140" s="70"/>
      <c r="PQ140" s="70"/>
      <c r="PR140" s="70"/>
      <c r="PS140" s="70"/>
      <c r="PT140" s="70"/>
      <c r="PU140" s="70"/>
      <c r="PV140" s="70"/>
      <c r="PW140" s="70"/>
      <c r="PX140" s="70"/>
      <c r="PY140" s="70"/>
      <c r="PZ140" s="70"/>
      <c r="QA140" s="70"/>
      <c r="QB140" s="70"/>
      <c r="QC140" s="70"/>
      <c r="QD140" s="70"/>
      <c r="QE140" s="70"/>
      <c r="QF140" s="70"/>
      <c r="QG140" s="70"/>
      <c r="QH140" s="70"/>
      <c r="QI140" s="70"/>
      <c r="QJ140" s="70"/>
      <c r="QK140" s="70"/>
      <c r="QL140" s="70"/>
      <c r="QM140" s="70"/>
      <c r="QN140" s="70"/>
      <c r="QO140" s="70"/>
      <c r="QP140" s="70"/>
      <c r="QQ140" s="70"/>
      <c r="QR140" s="70"/>
      <c r="QS140" s="70"/>
      <c r="QT140" s="70"/>
      <c r="QU140" s="70"/>
      <c r="QV140" s="70"/>
      <c r="QW140" s="70"/>
      <c r="QX140" s="70"/>
      <c r="QY140" s="70"/>
      <c r="QZ140" s="70"/>
      <c r="RA140" s="70"/>
      <c r="RB140" s="70"/>
      <c r="RC140" s="70"/>
      <c r="RD140" s="70"/>
      <c r="RE140" s="70"/>
      <c r="RF140" s="70"/>
      <c r="RG140" s="70"/>
      <c r="RH140" s="70"/>
      <c r="RI140" s="70"/>
      <c r="RJ140" s="70"/>
      <c r="RK140" s="70"/>
      <c r="RL140" s="70"/>
      <c r="RM140" s="70"/>
      <c r="RN140" s="70"/>
      <c r="RO140" s="70"/>
      <c r="RP140" s="70"/>
      <c r="RQ140" s="70"/>
      <c r="RR140" s="70"/>
      <c r="RS140" s="70"/>
      <c r="RT140" s="70"/>
      <c r="RU140" s="70"/>
      <c r="RV140" s="70"/>
      <c r="RW140" s="70"/>
      <c r="RX140" s="70"/>
      <c r="RY140" s="70"/>
      <c r="RZ140" s="70"/>
      <c r="SA140" s="70"/>
      <c r="SB140" s="70"/>
      <c r="SC140" s="70"/>
      <c r="SD140" s="70"/>
      <c r="SE140" s="70"/>
      <c r="SF140" s="70"/>
      <c r="SG140" s="70"/>
      <c r="SH140" s="70"/>
      <c r="SI140" s="70"/>
      <c r="SJ140" s="70"/>
      <c r="SK140" s="70"/>
      <c r="SL140" s="70"/>
      <c r="SM140" s="70"/>
      <c r="SN140" s="70"/>
      <c r="SO140" s="70"/>
      <c r="SP140" s="70"/>
      <c r="SQ140" s="70"/>
      <c r="SR140" s="70"/>
      <c r="SS140" s="70"/>
      <c r="ST140" s="70"/>
      <c r="SU140" s="70"/>
      <c r="SV140" s="70"/>
      <c r="SW140" s="70"/>
      <c r="SX140" s="70"/>
      <c r="SY140" s="70"/>
      <c r="SZ140" s="70"/>
      <c r="TA140" s="70"/>
      <c r="TB140" s="70"/>
      <c r="TC140" s="70"/>
      <c r="TD140" s="70"/>
      <c r="TE140" s="70"/>
      <c r="TF140" s="70"/>
      <c r="TG140" s="70"/>
      <c r="TH140" s="70"/>
      <c r="TI140" s="70"/>
      <c r="TJ140" s="70"/>
      <c r="TK140" s="70"/>
      <c r="TL140" s="70"/>
      <c r="TM140" s="70"/>
      <c r="TN140" s="70"/>
      <c r="TO140" s="70"/>
      <c r="TP140" s="70"/>
      <c r="TQ140" s="70"/>
      <c r="TR140" s="70"/>
      <c r="TS140" s="70"/>
      <c r="TT140" s="70"/>
      <c r="TU140" s="70"/>
      <c r="TV140" s="70"/>
      <c r="TW140" s="70"/>
      <c r="TX140" s="70"/>
      <c r="TY140" s="70"/>
      <c r="TZ140" s="70"/>
      <c r="UA140" s="70"/>
      <c r="UB140" s="70"/>
      <c r="UC140" s="70"/>
      <c r="UD140" s="70"/>
      <c r="UE140" s="70"/>
      <c r="UF140" s="70"/>
      <c r="UG140" s="70"/>
      <c r="UH140" s="70"/>
      <c r="UI140" s="70"/>
      <c r="UJ140" s="70"/>
      <c r="UK140" s="70"/>
      <c r="UL140" s="70"/>
      <c r="UM140" s="70"/>
      <c r="UN140" s="70"/>
      <c r="UO140" s="70"/>
      <c r="UP140" s="70"/>
      <c r="UQ140" s="70"/>
      <c r="UR140" s="70"/>
      <c r="US140" s="70"/>
      <c r="UT140" s="70"/>
      <c r="UU140" s="70"/>
      <c r="UV140" s="70"/>
      <c r="UW140" s="70"/>
      <c r="UX140" s="70"/>
      <c r="UY140" s="70"/>
      <c r="UZ140" s="70"/>
      <c r="VA140" s="70"/>
      <c r="VB140" s="70"/>
      <c r="VC140" s="70"/>
      <c r="VD140" s="70"/>
      <c r="VE140" s="70"/>
      <c r="VF140" s="70"/>
      <c r="VG140" s="70"/>
      <c r="VH140" s="70"/>
      <c r="VI140" s="70"/>
      <c r="VJ140" s="70"/>
      <c r="VK140" s="70"/>
      <c r="VL140" s="70"/>
      <c r="VM140" s="70"/>
      <c r="VN140" s="70"/>
      <c r="VO140" s="70"/>
      <c r="VP140" s="70"/>
      <c r="VQ140" s="70"/>
      <c r="VR140" s="70"/>
      <c r="VS140" s="70"/>
      <c r="VT140" s="70"/>
      <c r="VU140" s="70"/>
      <c r="VV140" s="70"/>
      <c r="VW140" s="70"/>
      <c r="VX140" s="70"/>
      <c r="VY140" s="70"/>
      <c r="VZ140" s="70"/>
      <c r="WA140" s="70"/>
      <c r="WB140" s="70"/>
      <c r="WC140" s="70"/>
      <c r="WD140" s="70"/>
      <c r="WE140" s="70"/>
      <c r="WF140" s="70"/>
      <c r="WG140" s="70"/>
      <c r="WH140" s="70"/>
      <c r="WI140" s="70"/>
      <c r="WJ140" s="70"/>
      <c r="WK140" s="70"/>
      <c r="WL140" s="70"/>
      <c r="WM140" s="70"/>
      <c r="WN140" s="70"/>
      <c r="WO140" s="70"/>
      <c r="WP140" s="70"/>
      <c r="WQ140" s="70"/>
      <c r="WR140" s="70"/>
      <c r="WS140" s="70"/>
      <c r="WT140" s="70"/>
      <c r="WU140" s="70"/>
      <c r="WV140" s="70"/>
      <c r="WW140" s="70"/>
      <c r="WX140" s="70"/>
      <c r="WY140" s="70"/>
      <c r="WZ140" s="70"/>
      <c r="XA140" s="70"/>
      <c r="XB140" s="70"/>
      <c r="XC140" s="70"/>
      <c r="XD140" s="70"/>
      <c r="XE140" s="70"/>
      <c r="XF140" s="70"/>
      <c r="XG140" s="70"/>
      <c r="XH140" s="70"/>
      <c r="XI140" s="70"/>
      <c r="XJ140" s="70"/>
      <c r="XK140" s="70"/>
      <c r="XL140" s="70"/>
      <c r="XM140" s="70"/>
      <c r="XN140" s="70"/>
      <c r="XO140" s="70"/>
      <c r="XP140" s="70"/>
      <c r="XQ140" s="70"/>
      <c r="XR140" s="70"/>
      <c r="XS140" s="70"/>
      <c r="XT140" s="70"/>
      <c r="XU140" s="70"/>
      <c r="XV140" s="70"/>
      <c r="XW140" s="70"/>
      <c r="XX140" s="70"/>
      <c r="XY140" s="70"/>
      <c r="XZ140" s="70"/>
      <c r="YA140" s="70"/>
      <c r="YB140" s="70"/>
      <c r="YC140" s="70"/>
      <c r="YD140" s="70"/>
      <c r="YE140" s="70"/>
      <c r="YF140" s="70"/>
      <c r="YG140" s="70"/>
      <c r="YH140" s="70"/>
      <c r="YI140" s="70"/>
      <c r="YJ140" s="70"/>
      <c r="YK140" s="70"/>
      <c r="YL140" s="70"/>
      <c r="YM140" s="70"/>
      <c r="YN140" s="70"/>
      <c r="YO140" s="70"/>
      <c r="YP140" s="70"/>
      <c r="YQ140" s="70"/>
      <c r="YR140" s="70"/>
      <c r="YS140" s="70"/>
      <c r="YT140" s="70"/>
      <c r="YU140" s="70"/>
      <c r="YV140" s="70"/>
      <c r="YW140" s="70"/>
      <c r="YX140" s="70"/>
      <c r="YY140" s="70"/>
      <c r="YZ140" s="70"/>
      <c r="ZA140" s="70"/>
      <c r="ZB140" s="70"/>
      <c r="ZC140" s="70"/>
      <c r="ZD140" s="70"/>
      <c r="ZE140" s="70"/>
      <c r="ZF140" s="70"/>
      <c r="ZG140" s="70"/>
      <c r="ZH140" s="70"/>
      <c r="ZI140" s="70"/>
      <c r="ZJ140" s="70"/>
      <c r="ZK140" s="70"/>
      <c r="ZL140" s="70"/>
      <c r="ZM140" s="70"/>
      <c r="ZN140" s="70"/>
      <c r="ZO140" s="70"/>
      <c r="ZP140" s="70"/>
      <c r="ZQ140" s="70"/>
      <c r="ZR140" s="70"/>
      <c r="ZS140" s="70"/>
      <c r="ZT140" s="70"/>
      <c r="ZU140" s="70"/>
      <c r="ZV140" s="70"/>
      <c r="ZW140" s="70"/>
      <c r="ZX140" s="70"/>
      <c r="ZY140" s="70"/>
      <c r="ZZ140" s="70"/>
      <c r="AAA140" s="70"/>
      <c r="AAB140" s="70"/>
      <c r="AAC140" s="70"/>
      <c r="AAD140" s="70"/>
      <c r="AAE140" s="70"/>
      <c r="AAF140" s="70"/>
      <c r="AAG140" s="70"/>
      <c r="AAH140" s="70"/>
      <c r="AAI140" s="70"/>
      <c r="AAJ140" s="70"/>
      <c r="AAK140" s="70"/>
      <c r="AAL140" s="70"/>
      <c r="AAM140" s="70"/>
      <c r="AAN140" s="70"/>
      <c r="AAO140" s="70"/>
      <c r="AAP140" s="70"/>
      <c r="AAQ140" s="70"/>
      <c r="AAR140" s="70"/>
      <c r="AAS140" s="70"/>
      <c r="AAT140" s="70"/>
      <c r="AAU140" s="70"/>
      <c r="AAV140" s="70"/>
      <c r="AAW140" s="70"/>
      <c r="AAX140" s="70"/>
      <c r="AAY140" s="70"/>
      <c r="AAZ140" s="70"/>
      <c r="ABA140" s="70"/>
      <c r="ABB140" s="70"/>
      <c r="ABC140" s="70"/>
      <c r="ABD140" s="70"/>
      <c r="ABE140" s="70"/>
      <c r="ABF140" s="70"/>
      <c r="ABG140" s="70"/>
      <c r="ABH140" s="70"/>
      <c r="ABI140" s="70"/>
      <c r="ABJ140" s="70"/>
      <c r="ABK140" s="70"/>
      <c r="ABL140" s="70"/>
      <c r="ABM140" s="70"/>
      <c r="ABN140" s="70"/>
      <c r="ABO140" s="70"/>
      <c r="ABP140" s="70"/>
      <c r="ABQ140" s="70"/>
      <c r="ABR140" s="70"/>
      <c r="ABS140" s="70"/>
      <c r="ABT140" s="70"/>
      <c r="ABU140" s="70"/>
      <c r="ABV140" s="70"/>
      <c r="ABW140" s="70"/>
      <c r="ABX140" s="70"/>
      <c r="ABY140" s="70"/>
      <c r="ABZ140" s="70"/>
      <c r="ACA140" s="70"/>
      <c r="ACB140" s="70"/>
      <c r="ACC140" s="70"/>
      <c r="ACD140" s="70"/>
      <c r="ACE140" s="70"/>
      <c r="ACF140" s="70"/>
      <c r="ACG140" s="70"/>
      <c r="ACH140" s="70"/>
      <c r="ACI140" s="70"/>
      <c r="ACJ140" s="70"/>
      <c r="ACK140" s="70"/>
      <c r="ACL140" s="70"/>
      <c r="ACM140" s="70"/>
      <c r="ACN140" s="70"/>
      <c r="ACO140" s="70"/>
      <c r="ACP140" s="70"/>
      <c r="ACQ140" s="70"/>
      <c r="ACR140" s="70"/>
      <c r="ACS140" s="70"/>
      <c r="ACT140" s="70"/>
      <c r="ACU140" s="70"/>
      <c r="ACV140" s="70"/>
      <c r="ACW140" s="70"/>
      <c r="ACX140" s="70"/>
      <c r="ACY140" s="70"/>
      <c r="ACZ140" s="70"/>
      <c r="ADA140" s="70"/>
      <c r="ADB140" s="70"/>
      <c r="ADC140" s="70"/>
      <c r="ADD140" s="70"/>
      <c r="ADE140" s="70"/>
      <c r="ADF140" s="70"/>
      <c r="ADG140" s="70"/>
      <c r="ADH140" s="70"/>
      <c r="ADI140" s="70"/>
      <c r="ADJ140" s="70"/>
      <c r="ADK140" s="70"/>
      <c r="ADL140" s="70"/>
      <c r="ADM140" s="70"/>
      <c r="ADN140" s="70"/>
      <c r="ADO140" s="70"/>
      <c r="ADP140" s="70"/>
      <c r="ADQ140" s="70"/>
      <c r="ADR140" s="70"/>
      <c r="ADS140" s="70"/>
      <c r="ADT140" s="70"/>
      <c r="ADU140" s="70"/>
      <c r="ADV140" s="70"/>
      <c r="ADW140" s="70"/>
      <c r="ADX140" s="70"/>
      <c r="ADY140" s="70"/>
      <c r="ADZ140" s="70"/>
      <c r="AEA140" s="70"/>
      <c r="AEB140" s="70"/>
      <c r="AEC140" s="70"/>
      <c r="AED140" s="70"/>
      <c r="AEE140" s="70"/>
      <c r="AEF140" s="70"/>
      <c r="AEG140" s="70"/>
      <c r="AEH140" s="70"/>
      <c r="AEI140" s="70"/>
      <c r="AEJ140" s="70"/>
      <c r="AEK140" s="70"/>
      <c r="AEL140" s="70"/>
      <c r="AEM140" s="70"/>
      <c r="AEN140" s="70"/>
      <c r="AEO140" s="70"/>
      <c r="AEP140" s="70"/>
      <c r="AEQ140" s="70"/>
      <c r="AER140" s="70"/>
      <c r="AES140" s="70"/>
      <c r="AET140" s="70"/>
      <c r="AEU140" s="70"/>
      <c r="AEV140" s="70"/>
      <c r="AEW140" s="70"/>
      <c r="AEX140" s="70"/>
      <c r="AEY140" s="70"/>
      <c r="AEZ140" s="70"/>
      <c r="AFA140" s="70"/>
      <c r="AFB140" s="70"/>
      <c r="AFC140" s="70"/>
      <c r="AFD140" s="70"/>
      <c r="AFE140" s="70"/>
      <c r="AFF140" s="70"/>
      <c r="AFG140" s="70"/>
      <c r="AFH140" s="70"/>
      <c r="AFI140" s="70"/>
      <c r="AFJ140" s="70"/>
      <c r="AFK140" s="70"/>
      <c r="AFL140" s="70"/>
      <c r="AFM140" s="70"/>
      <c r="AFN140" s="70"/>
      <c r="AFO140" s="70"/>
      <c r="AFP140" s="70"/>
      <c r="AFQ140" s="70"/>
      <c r="AFR140" s="70"/>
      <c r="AFS140" s="70"/>
      <c r="AFT140" s="70"/>
      <c r="AFU140" s="70"/>
      <c r="AFV140" s="70"/>
      <c r="AFW140" s="70"/>
      <c r="AFX140" s="70"/>
      <c r="AFY140" s="70"/>
      <c r="AFZ140" s="70"/>
      <c r="AGA140" s="70"/>
      <c r="AGB140" s="70"/>
      <c r="AGC140" s="70"/>
      <c r="AGD140" s="70"/>
      <c r="AGE140" s="70"/>
      <c r="AGF140" s="70"/>
      <c r="AGG140" s="70"/>
      <c r="AGH140" s="70"/>
      <c r="AGI140" s="70"/>
      <c r="AGJ140" s="70"/>
      <c r="AGK140" s="70"/>
      <c r="AGL140" s="70"/>
      <c r="AGM140" s="70"/>
      <c r="AGN140" s="70"/>
      <c r="AGO140" s="70"/>
      <c r="AGP140" s="70"/>
      <c r="AGQ140" s="70"/>
      <c r="AGR140" s="70"/>
      <c r="AGS140" s="70"/>
      <c r="AGT140" s="70"/>
      <c r="AGU140" s="70"/>
      <c r="AGV140" s="70"/>
      <c r="AGW140" s="70"/>
      <c r="AGX140" s="70"/>
      <c r="AGY140" s="70"/>
      <c r="AGZ140" s="70"/>
      <c r="AHA140" s="70"/>
      <c r="AHB140" s="70"/>
      <c r="AHC140" s="70"/>
      <c r="AHD140" s="70"/>
      <c r="AHE140" s="70"/>
      <c r="AHF140" s="70"/>
      <c r="AHG140" s="70"/>
      <c r="AHH140" s="70"/>
      <c r="AHI140" s="70"/>
      <c r="AHJ140" s="70"/>
      <c r="AHK140" s="70"/>
      <c r="AHL140" s="70"/>
      <c r="AHM140" s="70"/>
      <c r="AHN140" s="70"/>
      <c r="AHO140" s="70"/>
      <c r="AHP140" s="70"/>
      <c r="AHQ140" s="70"/>
      <c r="AHR140" s="70"/>
      <c r="AHS140" s="70"/>
      <c r="AHT140" s="70"/>
      <c r="AHU140" s="70"/>
      <c r="AHV140" s="70"/>
      <c r="AHW140" s="70"/>
      <c r="AHX140" s="70"/>
      <c r="AHY140" s="70"/>
      <c r="AHZ140" s="70"/>
      <c r="AIA140" s="70"/>
      <c r="AIB140" s="70"/>
      <c r="AIC140" s="70"/>
      <c r="AID140" s="70"/>
      <c r="AIE140" s="70"/>
      <c r="AIF140" s="70"/>
      <c r="AIG140" s="70"/>
      <c r="AIH140" s="70"/>
      <c r="AII140" s="70"/>
      <c r="AIJ140" s="70"/>
      <c r="AIK140" s="70"/>
      <c r="AIL140" s="70"/>
      <c r="AIM140" s="70"/>
      <c r="AIN140" s="70"/>
      <c r="AIO140" s="70"/>
      <c r="AIP140" s="70"/>
      <c r="AIQ140" s="70"/>
      <c r="AIR140" s="70"/>
      <c r="AIS140" s="70"/>
      <c r="AIT140" s="70"/>
      <c r="AIU140" s="70"/>
      <c r="AIV140" s="70"/>
      <c r="AIW140" s="70"/>
      <c r="AIX140" s="70"/>
      <c r="AIY140" s="70"/>
      <c r="AIZ140" s="70"/>
      <c r="AJA140" s="70"/>
      <c r="AJB140" s="70"/>
      <c r="AJC140" s="70"/>
      <c r="AJD140" s="70"/>
      <c r="AJE140" s="70"/>
      <c r="AJF140" s="70"/>
      <c r="AJG140" s="70"/>
      <c r="AJH140" s="70"/>
      <c r="AJI140" s="70"/>
      <c r="AJJ140" s="70"/>
      <c r="AJK140" s="70"/>
      <c r="AJL140" s="70"/>
      <c r="AJM140" s="70"/>
      <c r="AJN140" s="70"/>
      <c r="AJO140" s="70"/>
      <c r="AJP140" s="70"/>
      <c r="AJQ140" s="70"/>
      <c r="AJR140" s="70"/>
      <c r="AJS140" s="70"/>
      <c r="AJT140" s="70"/>
      <c r="AJU140" s="70"/>
      <c r="AJV140" s="70"/>
      <c r="AJW140" s="70"/>
      <c r="AJX140" s="70"/>
      <c r="AJY140" s="70"/>
      <c r="AJZ140" s="70"/>
      <c r="AKA140" s="70"/>
      <c r="AKB140" s="70"/>
      <c r="AKC140" s="70"/>
      <c r="AKD140" s="70"/>
      <c r="AKE140" s="70"/>
      <c r="AKF140" s="70"/>
      <c r="AKG140" s="70"/>
      <c r="AKH140" s="70"/>
      <c r="AKI140" s="70"/>
      <c r="AKJ140" s="70"/>
      <c r="AKK140" s="70"/>
      <c r="AKL140" s="70"/>
      <c r="AKM140" s="70"/>
      <c r="AKN140" s="70"/>
      <c r="AKO140" s="70"/>
      <c r="AKP140" s="70"/>
      <c r="AKQ140" s="70"/>
      <c r="AKR140" s="70"/>
      <c r="AKS140" s="70"/>
      <c r="AKT140" s="70"/>
      <c r="AKU140" s="70"/>
      <c r="AKV140" s="70"/>
      <c r="AKW140" s="70"/>
      <c r="AKX140" s="70"/>
      <c r="AKY140" s="70"/>
      <c r="AKZ140" s="70"/>
      <c r="ALA140" s="70"/>
      <c r="ALB140" s="70"/>
      <c r="ALC140" s="70"/>
      <c r="ALD140" s="70"/>
      <c r="ALE140" s="70"/>
      <c r="ALF140" s="70"/>
      <c r="ALG140" s="70"/>
      <c r="ALH140" s="70"/>
      <c r="ALI140" s="70"/>
      <c r="ALJ140" s="70"/>
      <c r="ALK140" s="70"/>
      <c r="ALL140" s="70"/>
      <c r="ALM140" s="70"/>
      <c r="ALN140" s="70"/>
      <c r="ALO140" s="70"/>
      <c r="ALP140" s="70"/>
      <c r="ALQ140" s="70"/>
      <c r="ALR140" s="70"/>
      <c r="ALS140" s="70"/>
      <c r="ALT140" s="70"/>
      <c r="ALU140" s="70"/>
      <c r="ALV140" s="70"/>
      <c r="ALW140" s="70"/>
      <c r="ALX140" s="70"/>
      <c r="ALY140" s="70"/>
      <c r="ALZ140" s="70"/>
      <c r="AMA140" s="70"/>
      <c r="AMB140" s="70"/>
      <c r="AMC140" s="70"/>
      <c r="AMD140" s="70"/>
      <c r="AME140" s="70"/>
      <c r="AMF140" s="70"/>
      <c r="AMG140" s="70"/>
      <c r="AMH140" s="70"/>
      <c r="AMI140" s="70"/>
      <c r="AMJ140" s="70"/>
      <c r="AMK140" s="70"/>
      <c r="AML140" s="70"/>
      <c r="AMM140" s="70"/>
      <c r="AMN140" s="70"/>
      <c r="AMO140" s="70"/>
      <c r="AMP140" s="70"/>
      <c r="AMQ140" s="70"/>
      <c r="AMR140" s="70"/>
      <c r="AMS140" s="70"/>
      <c r="AMT140" s="70"/>
      <c r="AMU140" s="70"/>
      <c r="AMV140" s="70"/>
      <c r="AMW140" s="70"/>
      <c r="AMX140" s="70"/>
      <c r="AMY140" s="70"/>
      <c r="AMZ140" s="70"/>
      <c r="ANA140" s="70"/>
      <c r="ANB140" s="70"/>
      <c r="ANC140" s="70"/>
      <c r="AND140" s="70"/>
      <c r="ANE140" s="70"/>
      <c r="ANF140" s="70"/>
      <c r="ANG140" s="70"/>
      <c r="ANH140" s="70"/>
      <c r="ANI140" s="70"/>
      <c r="ANJ140" s="70"/>
      <c r="ANK140" s="70"/>
      <c r="ANL140" s="70"/>
      <c r="ANM140" s="70"/>
      <c r="ANN140" s="70"/>
      <c r="ANO140" s="70"/>
      <c r="ANP140" s="70"/>
      <c r="ANQ140" s="70"/>
      <c r="ANR140" s="70"/>
      <c r="ANS140" s="70"/>
      <c r="ANT140" s="70"/>
      <c r="ANU140" s="70"/>
      <c r="ANV140" s="70"/>
      <c r="ANW140" s="70"/>
      <c r="ANX140" s="70"/>
      <c r="ANY140" s="70"/>
      <c r="ANZ140" s="70"/>
      <c r="AOA140" s="70"/>
      <c r="AOB140" s="70"/>
      <c r="AOC140" s="70"/>
      <c r="AOD140" s="70"/>
      <c r="AOE140" s="70"/>
      <c r="AOF140" s="70"/>
      <c r="AOG140" s="70"/>
      <c r="AOH140" s="70"/>
      <c r="AOI140" s="70"/>
      <c r="AOJ140" s="70"/>
      <c r="AOK140" s="70"/>
      <c r="AOL140" s="70"/>
      <c r="AOM140" s="70"/>
      <c r="AON140" s="70"/>
      <c r="AOO140" s="70"/>
      <c r="AOP140" s="70"/>
      <c r="AOQ140" s="70"/>
      <c r="AOR140" s="70"/>
      <c r="AOS140" s="70"/>
      <c r="AOT140" s="70"/>
      <c r="AOU140" s="70"/>
      <c r="AOV140" s="70"/>
      <c r="AOW140" s="70"/>
      <c r="AOX140" s="70"/>
      <c r="AOY140" s="70"/>
      <c r="AOZ140" s="70"/>
      <c r="APA140" s="70"/>
      <c r="APB140" s="70"/>
      <c r="APC140" s="70"/>
      <c r="APD140" s="70"/>
      <c r="APE140" s="70"/>
      <c r="APF140" s="70"/>
      <c r="APG140" s="70"/>
      <c r="APH140" s="70"/>
      <c r="API140" s="70"/>
      <c r="APJ140" s="70"/>
      <c r="APK140" s="70"/>
      <c r="APL140" s="70"/>
      <c r="APM140" s="70"/>
      <c r="APN140" s="70"/>
      <c r="APO140" s="70"/>
      <c r="APP140" s="70"/>
      <c r="APQ140" s="70"/>
      <c r="APR140" s="70"/>
      <c r="APS140" s="70"/>
      <c r="APT140" s="70"/>
      <c r="APU140" s="70"/>
      <c r="APV140" s="70"/>
      <c r="APW140" s="70"/>
      <c r="APX140" s="70"/>
      <c r="APY140" s="70"/>
      <c r="APZ140" s="70"/>
      <c r="AQA140" s="70"/>
      <c r="AQB140" s="70"/>
      <c r="AQC140" s="70"/>
      <c r="AQD140" s="70"/>
      <c r="AQE140" s="70"/>
      <c r="AQF140" s="70"/>
      <c r="AQG140" s="70"/>
      <c r="AQH140" s="70"/>
      <c r="AQI140" s="70"/>
      <c r="AQJ140" s="70"/>
      <c r="AQK140" s="70"/>
      <c r="AQL140" s="70"/>
      <c r="AQM140" s="70"/>
      <c r="AQN140" s="70"/>
      <c r="AQO140" s="70"/>
      <c r="AQP140" s="70"/>
      <c r="AQQ140" s="70"/>
      <c r="AQR140" s="70"/>
      <c r="AQS140" s="70"/>
      <c r="AQT140" s="70"/>
      <c r="AQU140" s="70"/>
      <c r="AQV140" s="70"/>
      <c r="AQW140" s="70"/>
      <c r="AQX140" s="70"/>
      <c r="AQY140" s="70"/>
      <c r="AQZ140" s="70"/>
      <c r="ARA140" s="70"/>
      <c r="ARB140" s="70"/>
      <c r="ARC140" s="70"/>
      <c r="ARD140" s="70"/>
      <c r="ARE140" s="70"/>
      <c r="ARF140" s="70"/>
      <c r="ARG140" s="70"/>
      <c r="ARH140" s="70"/>
      <c r="ARI140" s="70"/>
      <c r="ARJ140" s="70"/>
      <c r="ARK140" s="70"/>
      <c r="ARL140" s="70"/>
      <c r="ARM140" s="70"/>
      <c r="ARN140" s="70"/>
      <c r="ARO140" s="70"/>
      <c r="ARP140" s="70"/>
      <c r="ARQ140" s="70"/>
      <c r="ARR140" s="70"/>
      <c r="ARS140" s="70"/>
      <c r="ART140" s="70"/>
      <c r="ARU140" s="70"/>
      <c r="ARV140" s="70"/>
      <c r="ARW140" s="70"/>
      <c r="ARX140" s="70"/>
      <c r="ARY140" s="70"/>
      <c r="ARZ140" s="70"/>
      <c r="ASA140" s="70"/>
      <c r="ASB140" s="70"/>
      <c r="ASC140" s="70"/>
      <c r="ASD140" s="70"/>
      <c r="ASE140" s="70"/>
      <c r="ASF140" s="70"/>
      <c r="ASG140" s="70"/>
      <c r="ASH140" s="70"/>
      <c r="ASI140" s="70"/>
      <c r="ASJ140" s="70"/>
      <c r="ASK140" s="70"/>
      <c r="ASL140" s="70"/>
      <c r="ASM140" s="70"/>
      <c r="ASN140" s="70"/>
      <c r="ASO140" s="70"/>
      <c r="ASP140" s="70"/>
      <c r="ASQ140" s="70"/>
      <c r="ASR140" s="70"/>
      <c r="ASS140" s="70"/>
      <c r="AST140" s="70"/>
      <c r="ASU140" s="70"/>
      <c r="ASV140" s="70"/>
      <c r="ASW140" s="70"/>
      <c r="ASX140" s="70"/>
      <c r="ASY140" s="70"/>
      <c r="ASZ140" s="70"/>
      <c r="ATA140" s="70"/>
      <c r="ATB140" s="70"/>
      <c r="ATC140" s="70"/>
      <c r="ATD140" s="70"/>
      <c r="ATE140" s="70"/>
      <c r="ATF140" s="70"/>
      <c r="ATG140" s="70"/>
      <c r="ATH140" s="70"/>
      <c r="ATI140" s="70"/>
      <c r="ATJ140" s="70"/>
      <c r="ATK140" s="70"/>
      <c r="ATL140" s="70"/>
      <c r="ATM140" s="70"/>
      <c r="ATN140" s="70"/>
      <c r="ATO140" s="70"/>
      <c r="ATP140" s="70"/>
      <c r="ATQ140" s="70"/>
      <c r="ATR140" s="70"/>
      <c r="ATS140" s="70"/>
      <c r="ATT140" s="70"/>
      <c r="ATU140" s="70"/>
      <c r="ATV140" s="70"/>
      <c r="ATW140" s="70"/>
      <c r="ATX140" s="70"/>
      <c r="ATY140" s="70"/>
      <c r="ATZ140" s="70"/>
      <c r="AUA140" s="70"/>
      <c r="AUB140" s="70"/>
      <c r="AUC140" s="70"/>
      <c r="AUD140" s="70"/>
      <c r="AUE140" s="70"/>
      <c r="AUF140" s="70"/>
      <c r="AUG140" s="70"/>
      <c r="AUH140" s="70"/>
      <c r="AUI140" s="70"/>
      <c r="AUJ140" s="70"/>
      <c r="AUK140" s="70"/>
      <c r="AUL140" s="70"/>
      <c r="AUM140" s="70"/>
      <c r="AUN140" s="70"/>
      <c r="AUO140" s="70"/>
      <c r="AUP140" s="70"/>
      <c r="AUQ140" s="70"/>
      <c r="AUR140" s="70"/>
      <c r="AUS140" s="70"/>
      <c r="AUT140" s="70"/>
      <c r="AUU140" s="70"/>
      <c r="AUV140" s="70"/>
      <c r="AUW140" s="70"/>
      <c r="AUX140" s="70"/>
      <c r="AUY140" s="70"/>
      <c r="AUZ140" s="70"/>
      <c r="AVA140" s="70"/>
      <c r="AVB140" s="70"/>
      <c r="AVC140" s="70"/>
      <c r="AVD140" s="70"/>
      <c r="AVE140" s="70"/>
      <c r="AVF140" s="70"/>
      <c r="AVG140" s="70"/>
      <c r="AVH140" s="70"/>
      <c r="AVI140" s="70"/>
      <c r="AVJ140" s="70"/>
      <c r="AVK140" s="70"/>
      <c r="AVL140" s="70"/>
      <c r="AVM140" s="70"/>
      <c r="AVN140" s="70"/>
      <c r="AVO140" s="70"/>
      <c r="AVP140" s="70"/>
      <c r="AVQ140" s="70"/>
      <c r="AVR140" s="70"/>
      <c r="AVS140" s="70"/>
      <c r="AVT140" s="70"/>
      <c r="AVU140" s="70"/>
      <c r="AVV140" s="70"/>
      <c r="AVW140" s="70"/>
      <c r="AVX140" s="70"/>
      <c r="AVY140" s="70"/>
      <c r="AVZ140" s="70"/>
      <c r="AWA140" s="70"/>
      <c r="AWB140" s="70"/>
      <c r="AWC140" s="70"/>
      <c r="AWD140" s="70"/>
      <c r="AWE140" s="70"/>
      <c r="AWF140" s="70"/>
      <c r="AWG140" s="70"/>
      <c r="AWH140" s="70"/>
      <c r="AWI140" s="70"/>
      <c r="AWJ140" s="70"/>
      <c r="AWK140" s="70"/>
      <c r="AWL140" s="70"/>
      <c r="AWM140" s="70"/>
      <c r="AWN140" s="70"/>
      <c r="AWO140" s="70"/>
      <c r="AWP140" s="70"/>
      <c r="AWQ140" s="70"/>
      <c r="AWR140" s="70"/>
      <c r="AWS140" s="70"/>
      <c r="AWT140" s="70"/>
      <c r="AWU140" s="70"/>
      <c r="AWV140" s="70"/>
      <c r="AWW140" s="70"/>
      <c r="AWX140" s="70"/>
      <c r="AWY140" s="70"/>
      <c r="AWZ140" s="70"/>
      <c r="AXA140" s="70"/>
      <c r="AXB140" s="70"/>
      <c r="AXC140" s="70"/>
      <c r="AXD140" s="70"/>
      <c r="AXE140" s="70"/>
      <c r="AXF140" s="70"/>
      <c r="AXG140" s="70"/>
      <c r="AXH140" s="70"/>
      <c r="AXI140" s="70"/>
      <c r="AXJ140" s="70"/>
      <c r="AXK140" s="70"/>
      <c r="AXL140" s="70"/>
      <c r="AXM140" s="70"/>
      <c r="AXN140" s="70"/>
      <c r="AXO140" s="70"/>
      <c r="AXP140" s="70"/>
      <c r="AXQ140" s="70"/>
      <c r="AXR140" s="70"/>
      <c r="AXS140" s="70"/>
      <c r="AXT140" s="70"/>
      <c r="AXU140" s="70"/>
      <c r="AXV140" s="70"/>
      <c r="AXW140" s="70"/>
      <c r="AXX140" s="70"/>
      <c r="AXY140" s="70"/>
      <c r="AXZ140" s="70"/>
      <c r="AYA140" s="70"/>
      <c r="AYB140" s="70"/>
      <c r="AYC140" s="70"/>
      <c r="AYD140" s="70"/>
      <c r="AYE140" s="70"/>
      <c r="AYF140" s="70"/>
      <c r="AYG140" s="70"/>
      <c r="AYH140" s="70"/>
      <c r="AYI140" s="70"/>
      <c r="AYJ140" s="70"/>
      <c r="AYK140" s="70"/>
      <c r="AYL140" s="70"/>
      <c r="AYM140" s="70"/>
      <c r="AYN140" s="70"/>
      <c r="AYO140" s="70"/>
      <c r="AYP140" s="70"/>
      <c r="AYQ140" s="70"/>
      <c r="AYR140" s="70"/>
      <c r="AYS140" s="70"/>
      <c r="AYT140" s="70"/>
      <c r="AYU140" s="70"/>
      <c r="AYV140" s="70"/>
      <c r="AYW140" s="70"/>
      <c r="AYX140" s="70"/>
      <c r="AYY140" s="70"/>
      <c r="AYZ140" s="70"/>
      <c r="AZA140" s="70"/>
      <c r="AZB140" s="70"/>
      <c r="AZC140" s="70"/>
      <c r="AZD140" s="70"/>
      <c r="AZE140" s="70"/>
      <c r="AZF140" s="70"/>
      <c r="AZG140" s="70"/>
      <c r="AZH140" s="70"/>
      <c r="AZI140" s="70"/>
      <c r="AZJ140" s="70"/>
      <c r="AZK140" s="70"/>
      <c r="AZL140" s="70"/>
      <c r="AZM140" s="70"/>
      <c r="AZN140" s="70"/>
      <c r="AZO140" s="70"/>
      <c r="AZP140" s="70"/>
      <c r="AZQ140" s="70"/>
      <c r="AZR140" s="70"/>
      <c r="AZS140" s="70"/>
      <c r="AZT140" s="70"/>
      <c r="AZU140" s="70"/>
      <c r="AZV140" s="70"/>
      <c r="AZW140" s="70"/>
      <c r="AZX140" s="70"/>
      <c r="AZY140" s="70"/>
      <c r="AZZ140" s="70"/>
      <c r="BAA140" s="70"/>
      <c r="BAB140" s="70"/>
      <c r="BAC140" s="70"/>
      <c r="BAD140" s="70"/>
      <c r="BAE140" s="70"/>
      <c r="BAF140" s="70"/>
      <c r="BAG140" s="70"/>
      <c r="BAH140" s="70"/>
      <c r="BAI140" s="70"/>
      <c r="BAJ140" s="70"/>
      <c r="BAK140" s="70"/>
      <c r="BAL140" s="70"/>
      <c r="BAM140" s="70"/>
      <c r="BAN140" s="70"/>
      <c r="BAO140" s="70"/>
      <c r="BAP140" s="70"/>
      <c r="BAQ140" s="70"/>
      <c r="BAR140" s="70"/>
      <c r="BAS140" s="70"/>
      <c r="BAT140" s="70"/>
      <c r="BAU140" s="70"/>
      <c r="BAV140" s="70"/>
      <c r="BAW140" s="70"/>
      <c r="BAX140" s="70"/>
      <c r="BAY140" s="70"/>
      <c r="BAZ140" s="70"/>
      <c r="BBA140" s="70"/>
      <c r="BBB140" s="70"/>
      <c r="BBC140" s="70"/>
      <c r="BBD140" s="70"/>
      <c r="BBE140" s="70"/>
      <c r="BBF140" s="70"/>
      <c r="BBG140" s="70"/>
      <c r="BBH140" s="70"/>
      <c r="BBI140" s="70"/>
      <c r="BBJ140" s="70"/>
      <c r="BBK140" s="70"/>
      <c r="BBL140" s="70"/>
      <c r="BBM140" s="70"/>
      <c r="BBN140" s="70"/>
      <c r="BBO140" s="70"/>
      <c r="BBP140" s="70"/>
      <c r="BBQ140" s="70"/>
      <c r="BBR140" s="70"/>
      <c r="BBS140" s="70"/>
      <c r="BBT140" s="70"/>
      <c r="BBU140" s="70"/>
      <c r="BBV140" s="70"/>
      <c r="BBW140" s="70"/>
      <c r="BBX140" s="70"/>
      <c r="BBY140" s="70"/>
      <c r="BBZ140" s="70"/>
      <c r="BCA140" s="70"/>
      <c r="BCB140" s="70"/>
      <c r="BCC140" s="70"/>
      <c r="BCD140" s="70"/>
      <c r="BCE140" s="70"/>
      <c r="BCF140" s="70"/>
      <c r="BCG140" s="70"/>
      <c r="BCH140" s="70"/>
      <c r="BCI140" s="70"/>
      <c r="BCJ140" s="70"/>
      <c r="BCK140" s="70"/>
      <c r="BCL140" s="70"/>
      <c r="BCM140" s="70"/>
      <c r="BCN140" s="70"/>
      <c r="BCO140" s="70"/>
      <c r="BCP140" s="70"/>
      <c r="BCQ140" s="70"/>
      <c r="BCR140" s="70"/>
      <c r="BCS140" s="70"/>
      <c r="BCT140" s="70"/>
      <c r="BCU140" s="70"/>
      <c r="BCV140" s="70"/>
      <c r="BCW140" s="70"/>
    </row>
    <row r="141" spans="1:1453" s="69" customFormat="1" ht="24.75" customHeight="1" x14ac:dyDescent="0.25">
      <c r="A141" s="50">
        <v>18</v>
      </c>
      <c r="B141" s="73" t="s">
        <v>341</v>
      </c>
      <c r="C141" s="73" t="s">
        <v>342</v>
      </c>
      <c r="D141" s="52">
        <v>1154859.3</v>
      </c>
      <c r="E141" s="152"/>
      <c r="F141" s="73" t="s">
        <v>293</v>
      </c>
      <c r="G141" s="71"/>
      <c r="H141" s="71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  <c r="BO141" s="70"/>
      <c r="BP141" s="70"/>
      <c r="BQ141" s="70"/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70"/>
      <c r="CE141" s="70"/>
      <c r="CF141" s="70"/>
      <c r="CG141" s="70"/>
      <c r="CH141" s="70"/>
      <c r="CI141" s="70"/>
      <c r="CJ141" s="70"/>
      <c r="CK141" s="70"/>
      <c r="CL141" s="70"/>
      <c r="CM141" s="70"/>
      <c r="CN141" s="70"/>
      <c r="CO141" s="70"/>
      <c r="CP141" s="70"/>
      <c r="CQ141" s="70"/>
      <c r="CR141" s="70"/>
      <c r="CS141" s="70"/>
      <c r="CT141" s="70"/>
      <c r="CU141" s="70"/>
      <c r="CV141" s="70"/>
      <c r="CW141" s="70"/>
      <c r="CX141" s="70"/>
      <c r="CY141" s="70"/>
      <c r="CZ141" s="70"/>
      <c r="DA141" s="70"/>
      <c r="DB141" s="70"/>
      <c r="DC141" s="70"/>
      <c r="DD141" s="70"/>
      <c r="DE141" s="70"/>
      <c r="DF141" s="70"/>
      <c r="DG141" s="70"/>
      <c r="DH141" s="70"/>
      <c r="DI141" s="70"/>
      <c r="DJ141" s="70"/>
      <c r="DK141" s="70"/>
      <c r="DL141" s="70"/>
      <c r="DM141" s="70"/>
      <c r="DN141" s="70"/>
      <c r="DO141" s="70"/>
      <c r="DP141" s="70"/>
      <c r="DQ141" s="70"/>
      <c r="DR141" s="70"/>
      <c r="DS141" s="70"/>
      <c r="DT141" s="70"/>
      <c r="DU141" s="70"/>
      <c r="DV141" s="70"/>
      <c r="DW141" s="70"/>
      <c r="DX141" s="70"/>
      <c r="DY141" s="70"/>
      <c r="DZ141" s="70"/>
      <c r="EA141" s="70"/>
      <c r="EB141" s="70"/>
      <c r="EC141" s="70"/>
      <c r="ED141" s="70"/>
      <c r="EE141" s="70"/>
      <c r="EF141" s="70"/>
      <c r="EG141" s="70"/>
      <c r="EH141" s="70"/>
      <c r="EI141" s="70"/>
      <c r="EJ141" s="70"/>
      <c r="EK141" s="70"/>
      <c r="EL141" s="70"/>
      <c r="EM141" s="70"/>
      <c r="EN141" s="70"/>
      <c r="EO141" s="70"/>
      <c r="EP141" s="70"/>
      <c r="EQ141" s="70"/>
      <c r="ER141" s="70"/>
      <c r="ES141" s="70"/>
      <c r="ET141" s="70"/>
      <c r="EU141" s="70"/>
      <c r="EV141" s="70"/>
      <c r="EW141" s="70"/>
      <c r="EX141" s="70"/>
      <c r="EY141" s="70"/>
      <c r="EZ141" s="70"/>
      <c r="FA141" s="70"/>
      <c r="FB141" s="70"/>
      <c r="FC141" s="70"/>
      <c r="FD141" s="70"/>
      <c r="FE141" s="70"/>
      <c r="FF141" s="70"/>
      <c r="FG141" s="70"/>
      <c r="FH141" s="70"/>
      <c r="FI141" s="70"/>
      <c r="FJ141" s="70"/>
      <c r="FK141" s="70"/>
      <c r="FL141" s="70"/>
      <c r="FM141" s="70"/>
      <c r="FN141" s="70"/>
      <c r="FO141" s="70"/>
      <c r="FP141" s="70"/>
      <c r="FQ141" s="70"/>
      <c r="FR141" s="70"/>
      <c r="FS141" s="70"/>
      <c r="FT141" s="70"/>
      <c r="FU141" s="70"/>
      <c r="FV141" s="70"/>
      <c r="FW141" s="70"/>
      <c r="FX141" s="70"/>
      <c r="FY141" s="70"/>
      <c r="FZ141" s="70"/>
      <c r="GA141" s="70"/>
      <c r="GB141" s="70"/>
      <c r="GC141" s="70"/>
      <c r="GD141" s="70"/>
      <c r="GE141" s="70"/>
      <c r="GF141" s="70"/>
      <c r="GG141" s="70"/>
      <c r="GH141" s="70"/>
      <c r="GI141" s="70"/>
      <c r="GJ141" s="70"/>
      <c r="GK141" s="70"/>
      <c r="GL141" s="70"/>
      <c r="GM141" s="70"/>
      <c r="GN141" s="70"/>
      <c r="GO141" s="70"/>
      <c r="GP141" s="70"/>
      <c r="GQ141" s="70"/>
      <c r="GR141" s="70"/>
      <c r="GS141" s="70"/>
      <c r="GT141" s="70"/>
      <c r="GU141" s="70"/>
      <c r="GV141" s="70"/>
      <c r="GW141" s="70"/>
      <c r="GX141" s="70"/>
      <c r="GY141" s="70"/>
      <c r="GZ141" s="70"/>
      <c r="HA141" s="70"/>
      <c r="HB141" s="70"/>
      <c r="HC141" s="70"/>
      <c r="HD141" s="70"/>
      <c r="HE141" s="70"/>
      <c r="HF141" s="70"/>
      <c r="HG141" s="70"/>
      <c r="HH141" s="70"/>
      <c r="HI141" s="70"/>
      <c r="HJ141" s="70"/>
      <c r="HK141" s="70"/>
      <c r="HL141" s="70"/>
      <c r="HM141" s="70"/>
      <c r="HN141" s="70"/>
      <c r="HO141" s="70"/>
      <c r="HP141" s="70"/>
      <c r="HQ141" s="70"/>
      <c r="HR141" s="70"/>
      <c r="HS141" s="70"/>
      <c r="HT141" s="70"/>
      <c r="HU141" s="70"/>
      <c r="HV141" s="70"/>
      <c r="HW141" s="70"/>
      <c r="HX141" s="70"/>
      <c r="HY141" s="70"/>
      <c r="HZ141" s="70"/>
      <c r="IA141" s="70"/>
      <c r="IB141" s="70"/>
      <c r="IC141" s="70"/>
      <c r="ID141" s="70"/>
      <c r="IE141" s="70"/>
      <c r="IF141" s="70"/>
      <c r="IG141" s="70"/>
      <c r="IH141" s="70"/>
      <c r="II141" s="70"/>
      <c r="IJ141" s="70"/>
      <c r="IK141" s="70"/>
      <c r="IL141" s="70"/>
      <c r="IM141" s="70"/>
      <c r="IN141" s="70"/>
      <c r="IO141" s="70"/>
      <c r="IP141" s="70"/>
      <c r="IQ141" s="70"/>
      <c r="IR141" s="70"/>
      <c r="IS141" s="70"/>
      <c r="IT141" s="70"/>
      <c r="IU141" s="70"/>
      <c r="IV141" s="70"/>
      <c r="IW141" s="70"/>
      <c r="IX141" s="70"/>
      <c r="IY141" s="70"/>
      <c r="IZ141" s="70"/>
      <c r="JA141" s="70"/>
      <c r="JB141" s="70"/>
      <c r="JC141" s="70"/>
      <c r="JD141" s="70"/>
      <c r="JE141" s="70"/>
      <c r="JF141" s="70"/>
      <c r="JG141" s="70"/>
      <c r="JH141" s="70"/>
      <c r="JI141" s="70"/>
      <c r="JJ141" s="70"/>
      <c r="JK141" s="70"/>
      <c r="JL141" s="70"/>
      <c r="JM141" s="70"/>
      <c r="JN141" s="70"/>
      <c r="JO141" s="70"/>
      <c r="JP141" s="70"/>
      <c r="JQ141" s="70"/>
      <c r="JR141" s="70"/>
      <c r="JS141" s="70"/>
      <c r="JT141" s="70"/>
      <c r="JU141" s="70"/>
      <c r="JV141" s="70"/>
      <c r="JW141" s="70"/>
      <c r="JX141" s="70"/>
      <c r="JY141" s="70"/>
      <c r="JZ141" s="70"/>
      <c r="KA141" s="70"/>
      <c r="KB141" s="70"/>
      <c r="KC141" s="70"/>
      <c r="KD141" s="70"/>
      <c r="KE141" s="70"/>
      <c r="KF141" s="70"/>
      <c r="KG141" s="70"/>
      <c r="KH141" s="70"/>
      <c r="KI141" s="70"/>
      <c r="KJ141" s="70"/>
      <c r="KK141" s="70"/>
      <c r="KL141" s="70"/>
      <c r="KM141" s="70"/>
      <c r="KN141" s="70"/>
      <c r="KO141" s="70"/>
      <c r="KP141" s="70"/>
      <c r="KQ141" s="70"/>
      <c r="KR141" s="70"/>
      <c r="KS141" s="70"/>
      <c r="KT141" s="70"/>
      <c r="KU141" s="70"/>
      <c r="KV141" s="70"/>
      <c r="KW141" s="70"/>
      <c r="KX141" s="70"/>
      <c r="KY141" s="70"/>
      <c r="KZ141" s="70"/>
      <c r="LA141" s="70"/>
      <c r="LB141" s="70"/>
      <c r="LC141" s="70"/>
      <c r="LD141" s="70"/>
      <c r="LE141" s="70"/>
      <c r="LF141" s="70"/>
      <c r="LG141" s="70"/>
      <c r="LH141" s="70"/>
      <c r="LI141" s="70"/>
      <c r="LJ141" s="70"/>
      <c r="LK141" s="70"/>
      <c r="LL141" s="70"/>
      <c r="LM141" s="70"/>
      <c r="LN141" s="70"/>
      <c r="LO141" s="70"/>
      <c r="LP141" s="70"/>
      <c r="LQ141" s="70"/>
      <c r="LR141" s="70"/>
      <c r="LS141" s="70"/>
      <c r="LT141" s="70"/>
      <c r="LU141" s="70"/>
      <c r="LV141" s="70"/>
      <c r="LW141" s="70"/>
      <c r="LX141" s="70"/>
      <c r="LY141" s="70"/>
      <c r="LZ141" s="70"/>
      <c r="MA141" s="70"/>
      <c r="MB141" s="70"/>
      <c r="MC141" s="70"/>
      <c r="MD141" s="70"/>
      <c r="ME141" s="70"/>
      <c r="MF141" s="70"/>
      <c r="MG141" s="70"/>
      <c r="MH141" s="70"/>
      <c r="MI141" s="70"/>
      <c r="MJ141" s="70"/>
      <c r="MK141" s="70"/>
      <c r="ML141" s="70"/>
      <c r="MM141" s="70"/>
      <c r="MN141" s="70"/>
      <c r="MO141" s="70"/>
      <c r="MP141" s="70"/>
      <c r="MQ141" s="70"/>
      <c r="MR141" s="70"/>
      <c r="MS141" s="70"/>
      <c r="MT141" s="70"/>
      <c r="MU141" s="70"/>
      <c r="MV141" s="70"/>
      <c r="MW141" s="70"/>
      <c r="MX141" s="70"/>
      <c r="MY141" s="70"/>
      <c r="MZ141" s="70"/>
      <c r="NA141" s="70"/>
      <c r="NB141" s="70"/>
      <c r="NC141" s="70"/>
      <c r="ND141" s="70"/>
      <c r="NE141" s="70"/>
      <c r="NF141" s="70"/>
      <c r="NG141" s="70"/>
      <c r="NH141" s="70"/>
      <c r="NI141" s="70"/>
      <c r="NJ141" s="70"/>
      <c r="NK141" s="70"/>
      <c r="NL141" s="70"/>
      <c r="NM141" s="70"/>
      <c r="NN141" s="70"/>
      <c r="NO141" s="70"/>
      <c r="NP141" s="70"/>
      <c r="NQ141" s="70"/>
      <c r="NR141" s="70"/>
      <c r="NS141" s="70"/>
      <c r="NT141" s="70"/>
      <c r="NU141" s="70"/>
      <c r="NV141" s="70"/>
      <c r="NW141" s="70"/>
      <c r="NX141" s="70"/>
      <c r="NY141" s="70"/>
      <c r="NZ141" s="70"/>
      <c r="OA141" s="70"/>
      <c r="OB141" s="70"/>
      <c r="OC141" s="70"/>
      <c r="OD141" s="70"/>
      <c r="OE141" s="70"/>
      <c r="OF141" s="70"/>
      <c r="OG141" s="70"/>
      <c r="OH141" s="70"/>
      <c r="OI141" s="70"/>
      <c r="OJ141" s="70"/>
      <c r="OK141" s="70"/>
      <c r="OL141" s="70"/>
      <c r="OM141" s="70"/>
      <c r="ON141" s="70"/>
      <c r="OO141" s="70"/>
      <c r="OP141" s="70"/>
      <c r="OQ141" s="70"/>
      <c r="OR141" s="70"/>
      <c r="OS141" s="70"/>
      <c r="OT141" s="70"/>
      <c r="OU141" s="70"/>
      <c r="OV141" s="70"/>
      <c r="OW141" s="70"/>
      <c r="OX141" s="70"/>
      <c r="OY141" s="70"/>
      <c r="OZ141" s="70"/>
      <c r="PA141" s="70"/>
      <c r="PB141" s="70"/>
      <c r="PC141" s="70"/>
      <c r="PD141" s="70"/>
      <c r="PE141" s="70"/>
      <c r="PF141" s="70"/>
      <c r="PG141" s="70"/>
      <c r="PH141" s="70"/>
      <c r="PI141" s="70"/>
      <c r="PJ141" s="70"/>
      <c r="PK141" s="70"/>
      <c r="PL141" s="70"/>
      <c r="PM141" s="70"/>
      <c r="PN141" s="70"/>
      <c r="PO141" s="70"/>
      <c r="PP141" s="70"/>
      <c r="PQ141" s="70"/>
      <c r="PR141" s="70"/>
      <c r="PS141" s="70"/>
      <c r="PT141" s="70"/>
      <c r="PU141" s="70"/>
      <c r="PV141" s="70"/>
      <c r="PW141" s="70"/>
      <c r="PX141" s="70"/>
      <c r="PY141" s="70"/>
      <c r="PZ141" s="70"/>
      <c r="QA141" s="70"/>
      <c r="QB141" s="70"/>
      <c r="QC141" s="70"/>
      <c r="QD141" s="70"/>
      <c r="QE141" s="70"/>
      <c r="QF141" s="70"/>
      <c r="QG141" s="70"/>
      <c r="QH141" s="70"/>
      <c r="QI141" s="70"/>
      <c r="QJ141" s="70"/>
      <c r="QK141" s="70"/>
      <c r="QL141" s="70"/>
      <c r="QM141" s="70"/>
      <c r="QN141" s="70"/>
      <c r="QO141" s="70"/>
      <c r="QP141" s="70"/>
      <c r="QQ141" s="70"/>
      <c r="QR141" s="70"/>
      <c r="QS141" s="70"/>
      <c r="QT141" s="70"/>
      <c r="QU141" s="70"/>
      <c r="QV141" s="70"/>
      <c r="QW141" s="70"/>
      <c r="QX141" s="70"/>
      <c r="QY141" s="70"/>
      <c r="QZ141" s="70"/>
      <c r="RA141" s="70"/>
      <c r="RB141" s="70"/>
      <c r="RC141" s="70"/>
      <c r="RD141" s="70"/>
      <c r="RE141" s="70"/>
      <c r="RF141" s="70"/>
      <c r="RG141" s="70"/>
      <c r="RH141" s="70"/>
      <c r="RI141" s="70"/>
      <c r="RJ141" s="70"/>
      <c r="RK141" s="70"/>
      <c r="RL141" s="70"/>
      <c r="RM141" s="70"/>
      <c r="RN141" s="70"/>
      <c r="RO141" s="70"/>
      <c r="RP141" s="70"/>
      <c r="RQ141" s="70"/>
      <c r="RR141" s="70"/>
      <c r="RS141" s="70"/>
      <c r="RT141" s="70"/>
      <c r="RU141" s="70"/>
      <c r="RV141" s="70"/>
      <c r="RW141" s="70"/>
      <c r="RX141" s="70"/>
      <c r="RY141" s="70"/>
      <c r="RZ141" s="70"/>
      <c r="SA141" s="70"/>
      <c r="SB141" s="70"/>
      <c r="SC141" s="70"/>
      <c r="SD141" s="70"/>
      <c r="SE141" s="70"/>
      <c r="SF141" s="70"/>
      <c r="SG141" s="70"/>
      <c r="SH141" s="70"/>
      <c r="SI141" s="70"/>
      <c r="SJ141" s="70"/>
      <c r="SK141" s="70"/>
      <c r="SL141" s="70"/>
      <c r="SM141" s="70"/>
      <c r="SN141" s="70"/>
      <c r="SO141" s="70"/>
      <c r="SP141" s="70"/>
      <c r="SQ141" s="70"/>
      <c r="SR141" s="70"/>
      <c r="SS141" s="70"/>
      <c r="ST141" s="70"/>
      <c r="SU141" s="70"/>
      <c r="SV141" s="70"/>
      <c r="SW141" s="70"/>
      <c r="SX141" s="70"/>
      <c r="SY141" s="70"/>
      <c r="SZ141" s="70"/>
      <c r="TA141" s="70"/>
      <c r="TB141" s="70"/>
      <c r="TC141" s="70"/>
      <c r="TD141" s="70"/>
      <c r="TE141" s="70"/>
      <c r="TF141" s="70"/>
      <c r="TG141" s="70"/>
      <c r="TH141" s="70"/>
      <c r="TI141" s="70"/>
      <c r="TJ141" s="70"/>
      <c r="TK141" s="70"/>
      <c r="TL141" s="70"/>
      <c r="TM141" s="70"/>
      <c r="TN141" s="70"/>
      <c r="TO141" s="70"/>
      <c r="TP141" s="70"/>
      <c r="TQ141" s="70"/>
      <c r="TR141" s="70"/>
      <c r="TS141" s="70"/>
      <c r="TT141" s="70"/>
      <c r="TU141" s="70"/>
      <c r="TV141" s="70"/>
      <c r="TW141" s="70"/>
      <c r="TX141" s="70"/>
      <c r="TY141" s="70"/>
      <c r="TZ141" s="70"/>
      <c r="UA141" s="70"/>
      <c r="UB141" s="70"/>
      <c r="UC141" s="70"/>
      <c r="UD141" s="70"/>
      <c r="UE141" s="70"/>
      <c r="UF141" s="70"/>
      <c r="UG141" s="70"/>
      <c r="UH141" s="70"/>
      <c r="UI141" s="70"/>
      <c r="UJ141" s="70"/>
      <c r="UK141" s="70"/>
      <c r="UL141" s="70"/>
      <c r="UM141" s="70"/>
      <c r="UN141" s="70"/>
      <c r="UO141" s="70"/>
      <c r="UP141" s="70"/>
      <c r="UQ141" s="70"/>
      <c r="UR141" s="70"/>
      <c r="US141" s="70"/>
      <c r="UT141" s="70"/>
      <c r="UU141" s="70"/>
      <c r="UV141" s="70"/>
      <c r="UW141" s="70"/>
      <c r="UX141" s="70"/>
      <c r="UY141" s="70"/>
      <c r="UZ141" s="70"/>
      <c r="VA141" s="70"/>
      <c r="VB141" s="70"/>
      <c r="VC141" s="70"/>
      <c r="VD141" s="70"/>
      <c r="VE141" s="70"/>
      <c r="VF141" s="70"/>
      <c r="VG141" s="70"/>
      <c r="VH141" s="70"/>
      <c r="VI141" s="70"/>
      <c r="VJ141" s="70"/>
      <c r="VK141" s="70"/>
      <c r="VL141" s="70"/>
      <c r="VM141" s="70"/>
      <c r="VN141" s="70"/>
      <c r="VO141" s="70"/>
      <c r="VP141" s="70"/>
      <c r="VQ141" s="70"/>
      <c r="VR141" s="70"/>
      <c r="VS141" s="70"/>
      <c r="VT141" s="70"/>
      <c r="VU141" s="70"/>
      <c r="VV141" s="70"/>
      <c r="VW141" s="70"/>
      <c r="VX141" s="70"/>
      <c r="VY141" s="70"/>
      <c r="VZ141" s="70"/>
      <c r="WA141" s="70"/>
      <c r="WB141" s="70"/>
      <c r="WC141" s="70"/>
      <c r="WD141" s="70"/>
      <c r="WE141" s="70"/>
      <c r="WF141" s="70"/>
      <c r="WG141" s="70"/>
      <c r="WH141" s="70"/>
      <c r="WI141" s="70"/>
      <c r="WJ141" s="70"/>
      <c r="WK141" s="70"/>
      <c r="WL141" s="70"/>
      <c r="WM141" s="70"/>
      <c r="WN141" s="70"/>
      <c r="WO141" s="70"/>
      <c r="WP141" s="70"/>
      <c r="WQ141" s="70"/>
      <c r="WR141" s="70"/>
      <c r="WS141" s="70"/>
      <c r="WT141" s="70"/>
      <c r="WU141" s="70"/>
      <c r="WV141" s="70"/>
      <c r="WW141" s="70"/>
      <c r="WX141" s="70"/>
      <c r="WY141" s="70"/>
      <c r="WZ141" s="70"/>
      <c r="XA141" s="70"/>
      <c r="XB141" s="70"/>
      <c r="XC141" s="70"/>
      <c r="XD141" s="70"/>
      <c r="XE141" s="70"/>
      <c r="XF141" s="70"/>
      <c r="XG141" s="70"/>
      <c r="XH141" s="70"/>
      <c r="XI141" s="70"/>
      <c r="XJ141" s="70"/>
      <c r="XK141" s="70"/>
      <c r="XL141" s="70"/>
      <c r="XM141" s="70"/>
      <c r="XN141" s="70"/>
      <c r="XO141" s="70"/>
      <c r="XP141" s="70"/>
      <c r="XQ141" s="70"/>
      <c r="XR141" s="70"/>
      <c r="XS141" s="70"/>
      <c r="XT141" s="70"/>
      <c r="XU141" s="70"/>
      <c r="XV141" s="70"/>
      <c r="XW141" s="70"/>
      <c r="XX141" s="70"/>
      <c r="XY141" s="70"/>
      <c r="XZ141" s="70"/>
      <c r="YA141" s="70"/>
      <c r="YB141" s="70"/>
      <c r="YC141" s="70"/>
      <c r="YD141" s="70"/>
      <c r="YE141" s="70"/>
      <c r="YF141" s="70"/>
      <c r="YG141" s="70"/>
      <c r="YH141" s="70"/>
      <c r="YI141" s="70"/>
      <c r="YJ141" s="70"/>
      <c r="YK141" s="70"/>
      <c r="YL141" s="70"/>
      <c r="YM141" s="70"/>
      <c r="YN141" s="70"/>
      <c r="YO141" s="70"/>
      <c r="YP141" s="70"/>
      <c r="YQ141" s="70"/>
      <c r="YR141" s="70"/>
      <c r="YS141" s="70"/>
      <c r="YT141" s="70"/>
      <c r="YU141" s="70"/>
      <c r="YV141" s="70"/>
      <c r="YW141" s="70"/>
      <c r="YX141" s="70"/>
      <c r="YY141" s="70"/>
      <c r="YZ141" s="70"/>
      <c r="ZA141" s="70"/>
      <c r="ZB141" s="70"/>
      <c r="ZC141" s="70"/>
      <c r="ZD141" s="70"/>
      <c r="ZE141" s="70"/>
      <c r="ZF141" s="70"/>
      <c r="ZG141" s="70"/>
      <c r="ZH141" s="70"/>
      <c r="ZI141" s="70"/>
      <c r="ZJ141" s="70"/>
      <c r="ZK141" s="70"/>
      <c r="ZL141" s="70"/>
      <c r="ZM141" s="70"/>
      <c r="ZN141" s="70"/>
      <c r="ZO141" s="70"/>
      <c r="ZP141" s="70"/>
      <c r="ZQ141" s="70"/>
      <c r="ZR141" s="70"/>
      <c r="ZS141" s="70"/>
      <c r="ZT141" s="70"/>
      <c r="ZU141" s="70"/>
      <c r="ZV141" s="70"/>
      <c r="ZW141" s="70"/>
      <c r="ZX141" s="70"/>
      <c r="ZY141" s="70"/>
      <c r="ZZ141" s="70"/>
      <c r="AAA141" s="70"/>
      <c r="AAB141" s="70"/>
      <c r="AAC141" s="70"/>
      <c r="AAD141" s="70"/>
      <c r="AAE141" s="70"/>
      <c r="AAF141" s="70"/>
      <c r="AAG141" s="70"/>
      <c r="AAH141" s="70"/>
      <c r="AAI141" s="70"/>
      <c r="AAJ141" s="70"/>
      <c r="AAK141" s="70"/>
      <c r="AAL141" s="70"/>
      <c r="AAM141" s="70"/>
      <c r="AAN141" s="70"/>
      <c r="AAO141" s="70"/>
      <c r="AAP141" s="70"/>
      <c r="AAQ141" s="70"/>
      <c r="AAR141" s="70"/>
      <c r="AAS141" s="70"/>
      <c r="AAT141" s="70"/>
      <c r="AAU141" s="70"/>
      <c r="AAV141" s="70"/>
      <c r="AAW141" s="70"/>
      <c r="AAX141" s="70"/>
      <c r="AAY141" s="70"/>
      <c r="AAZ141" s="70"/>
      <c r="ABA141" s="70"/>
      <c r="ABB141" s="70"/>
      <c r="ABC141" s="70"/>
      <c r="ABD141" s="70"/>
      <c r="ABE141" s="70"/>
      <c r="ABF141" s="70"/>
      <c r="ABG141" s="70"/>
      <c r="ABH141" s="70"/>
      <c r="ABI141" s="70"/>
      <c r="ABJ141" s="70"/>
      <c r="ABK141" s="70"/>
      <c r="ABL141" s="70"/>
      <c r="ABM141" s="70"/>
      <c r="ABN141" s="70"/>
      <c r="ABO141" s="70"/>
      <c r="ABP141" s="70"/>
      <c r="ABQ141" s="70"/>
      <c r="ABR141" s="70"/>
      <c r="ABS141" s="70"/>
      <c r="ABT141" s="70"/>
      <c r="ABU141" s="70"/>
      <c r="ABV141" s="70"/>
      <c r="ABW141" s="70"/>
      <c r="ABX141" s="70"/>
      <c r="ABY141" s="70"/>
      <c r="ABZ141" s="70"/>
      <c r="ACA141" s="70"/>
      <c r="ACB141" s="70"/>
      <c r="ACC141" s="70"/>
      <c r="ACD141" s="70"/>
      <c r="ACE141" s="70"/>
      <c r="ACF141" s="70"/>
      <c r="ACG141" s="70"/>
      <c r="ACH141" s="70"/>
      <c r="ACI141" s="70"/>
      <c r="ACJ141" s="70"/>
      <c r="ACK141" s="70"/>
      <c r="ACL141" s="70"/>
      <c r="ACM141" s="70"/>
      <c r="ACN141" s="70"/>
      <c r="ACO141" s="70"/>
      <c r="ACP141" s="70"/>
      <c r="ACQ141" s="70"/>
      <c r="ACR141" s="70"/>
      <c r="ACS141" s="70"/>
      <c r="ACT141" s="70"/>
      <c r="ACU141" s="70"/>
      <c r="ACV141" s="70"/>
      <c r="ACW141" s="70"/>
      <c r="ACX141" s="70"/>
      <c r="ACY141" s="70"/>
      <c r="ACZ141" s="70"/>
      <c r="ADA141" s="70"/>
      <c r="ADB141" s="70"/>
      <c r="ADC141" s="70"/>
      <c r="ADD141" s="70"/>
      <c r="ADE141" s="70"/>
      <c r="ADF141" s="70"/>
      <c r="ADG141" s="70"/>
      <c r="ADH141" s="70"/>
      <c r="ADI141" s="70"/>
      <c r="ADJ141" s="70"/>
      <c r="ADK141" s="70"/>
      <c r="ADL141" s="70"/>
      <c r="ADM141" s="70"/>
      <c r="ADN141" s="70"/>
      <c r="ADO141" s="70"/>
      <c r="ADP141" s="70"/>
      <c r="ADQ141" s="70"/>
      <c r="ADR141" s="70"/>
      <c r="ADS141" s="70"/>
      <c r="ADT141" s="70"/>
      <c r="ADU141" s="70"/>
      <c r="ADV141" s="70"/>
      <c r="ADW141" s="70"/>
      <c r="ADX141" s="70"/>
      <c r="ADY141" s="70"/>
      <c r="ADZ141" s="70"/>
      <c r="AEA141" s="70"/>
      <c r="AEB141" s="70"/>
      <c r="AEC141" s="70"/>
      <c r="AED141" s="70"/>
      <c r="AEE141" s="70"/>
      <c r="AEF141" s="70"/>
      <c r="AEG141" s="70"/>
      <c r="AEH141" s="70"/>
      <c r="AEI141" s="70"/>
      <c r="AEJ141" s="70"/>
      <c r="AEK141" s="70"/>
      <c r="AEL141" s="70"/>
      <c r="AEM141" s="70"/>
      <c r="AEN141" s="70"/>
      <c r="AEO141" s="70"/>
      <c r="AEP141" s="70"/>
      <c r="AEQ141" s="70"/>
      <c r="AER141" s="70"/>
      <c r="AES141" s="70"/>
      <c r="AET141" s="70"/>
      <c r="AEU141" s="70"/>
      <c r="AEV141" s="70"/>
      <c r="AEW141" s="70"/>
      <c r="AEX141" s="70"/>
      <c r="AEY141" s="70"/>
      <c r="AEZ141" s="70"/>
      <c r="AFA141" s="70"/>
      <c r="AFB141" s="70"/>
      <c r="AFC141" s="70"/>
      <c r="AFD141" s="70"/>
      <c r="AFE141" s="70"/>
      <c r="AFF141" s="70"/>
      <c r="AFG141" s="70"/>
      <c r="AFH141" s="70"/>
      <c r="AFI141" s="70"/>
      <c r="AFJ141" s="70"/>
      <c r="AFK141" s="70"/>
      <c r="AFL141" s="70"/>
      <c r="AFM141" s="70"/>
      <c r="AFN141" s="70"/>
      <c r="AFO141" s="70"/>
      <c r="AFP141" s="70"/>
      <c r="AFQ141" s="70"/>
      <c r="AFR141" s="70"/>
      <c r="AFS141" s="70"/>
      <c r="AFT141" s="70"/>
      <c r="AFU141" s="70"/>
      <c r="AFV141" s="70"/>
      <c r="AFW141" s="70"/>
      <c r="AFX141" s="70"/>
      <c r="AFY141" s="70"/>
      <c r="AFZ141" s="70"/>
      <c r="AGA141" s="70"/>
      <c r="AGB141" s="70"/>
      <c r="AGC141" s="70"/>
      <c r="AGD141" s="70"/>
      <c r="AGE141" s="70"/>
      <c r="AGF141" s="70"/>
      <c r="AGG141" s="70"/>
      <c r="AGH141" s="70"/>
      <c r="AGI141" s="70"/>
      <c r="AGJ141" s="70"/>
      <c r="AGK141" s="70"/>
      <c r="AGL141" s="70"/>
      <c r="AGM141" s="70"/>
      <c r="AGN141" s="70"/>
      <c r="AGO141" s="70"/>
      <c r="AGP141" s="70"/>
      <c r="AGQ141" s="70"/>
      <c r="AGR141" s="70"/>
      <c r="AGS141" s="70"/>
      <c r="AGT141" s="70"/>
      <c r="AGU141" s="70"/>
      <c r="AGV141" s="70"/>
      <c r="AGW141" s="70"/>
      <c r="AGX141" s="70"/>
      <c r="AGY141" s="70"/>
      <c r="AGZ141" s="70"/>
      <c r="AHA141" s="70"/>
      <c r="AHB141" s="70"/>
      <c r="AHC141" s="70"/>
      <c r="AHD141" s="70"/>
      <c r="AHE141" s="70"/>
      <c r="AHF141" s="70"/>
      <c r="AHG141" s="70"/>
      <c r="AHH141" s="70"/>
      <c r="AHI141" s="70"/>
      <c r="AHJ141" s="70"/>
      <c r="AHK141" s="70"/>
      <c r="AHL141" s="70"/>
      <c r="AHM141" s="70"/>
      <c r="AHN141" s="70"/>
      <c r="AHO141" s="70"/>
      <c r="AHP141" s="70"/>
      <c r="AHQ141" s="70"/>
      <c r="AHR141" s="70"/>
      <c r="AHS141" s="70"/>
      <c r="AHT141" s="70"/>
      <c r="AHU141" s="70"/>
      <c r="AHV141" s="70"/>
      <c r="AHW141" s="70"/>
      <c r="AHX141" s="70"/>
      <c r="AHY141" s="70"/>
      <c r="AHZ141" s="70"/>
      <c r="AIA141" s="70"/>
      <c r="AIB141" s="70"/>
      <c r="AIC141" s="70"/>
      <c r="AID141" s="70"/>
      <c r="AIE141" s="70"/>
      <c r="AIF141" s="70"/>
      <c r="AIG141" s="70"/>
      <c r="AIH141" s="70"/>
      <c r="AII141" s="70"/>
      <c r="AIJ141" s="70"/>
      <c r="AIK141" s="70"/>
      <c r="AIL141" s="70"/>
      <c r="AIM141" s="70"/>
      <c r="AIN141" s="70"/>
      <c r="AIO141" s="70"/>
      <c r="AIP141" s="70"/>
      <c r="AIQ141" s="70"/>
      <c r="AIR141" s="70"/>
      <c r="AIS141" s="70"/>
      <c r="AIT141" s="70"/>
      <c r="AIU141" s="70"/>
      <c r="AIV141" s="70"/>
      <c r="AIW141" s="70"/>
      <c r="AIX141" s="70"/>
      <c r="AIY141" s="70"/>
      <c r="AIZ141" s="70"/>
      <c r="AJA141" s="70"/>
      <c r="AJB141" s="70"/>
      <c r="AJC141" s="70"/>
      <c r="AJD141" s="70"/>
      <c r="AJE141" s="70"/>
      <c r="AJF141" s="70"/>
      <c r="AJG141" s="70"/>
      <c r="AJH141" s="70"/>
      <c r="AJI141" s="70"/>
      <c r="AJJ141" s="70"/>
      <c r="AJK141" s="70"/>
      <c r="AJL141" s="70"/>
      <c r="AJM141" s="70"/>
      <c r="AJN141" s="70"/>
      <c r="AJO141" s="70"/>
      <c r="AJP141" s="70"/>
      <c r="AJQ141" s="70"/>
      <c r="AJR141" s="70"/>
      <c r="AJS141" s="70"/>
      <c r="AJT141" s="70"/>
      <c r="AJU141" s="70"/>
      <c r="AJV141" s="70"/>
      <c r="AJW141" s="70"/>
      <c r="AJX141" s="70"/>
      <c r="AJY141" s="70"/>
      <c r="AJZ141" s="70"/>
      <c r="AKA141" s="70"/>
      <c r="AKB141" s="70"/>
      <c r="AKC141" s="70"/>
      <c r="AKD141" s="70"/>
      <c r="AKE141" s="70"/>
      <c r="AKF141" s="70"/>
      <c r="AKG141" s="70"/>
      <c r="AKH141" s="70"/>
      <c r="AKI141" s="70"/>
      <c r="AKJ141" s="70"/>
      <c r="AKK141" s="70"/>
      <c r="AKL141" s="70"/>
      <c r="AKM141" s="70"/>
      <c r="AKN141" s="70"/>
      <c r="AKO141" s="70"/>
      <c r="AKP141" s="70"/>
      <c r="AKQ141" s="70"/>
      <c r="AKR141" s="70"/>
      <c r="AKS141" s="70"/>
      <c r="AKT141" s="70"/>
      <c r="AKU141" s="70"/>
      <c r="AKV141" s="70"/>
      <c r="AKW141" s="70"/>
      <c r="AKX141" s="70"/>
      <c r="AKY141" s="70"/>
      <c r="AKZ141" s="70"/>
      <c r="ALA141" s="70"/>
      <c r="ALB141" s="70"/>
      <c r="ALC141" s="70"/>
      <c r="ALD141" s="70"/>
      <c r="ALE141" s="70"/>
      <c r="ALF141" s="70"/>
      <c r="ALG141" s="70"/>
      <c r="ALH141" s="70"/>
      <c r="ALI141" s="70"/>
      <c r="ALJ141" s="70"/>
      <c r="ALK141" s="70"/>
      <c r="ALL141" s="70"/>
      <c r="ALM141" s="70"/>
      <c r="ALN141" s="70"/>
      <c r="ALO141" s="70"/>
      <c r="ALP141" s="70"/>
      <c r="ALQ141" s="70"/>
      <c r="ALR141" s="70"/>
      <c r="ALS141" s="70"/>
      <c r="ALT141" s="70"/>
      <c r="ALU141" s="70"/>
      <c r="ALV141" s="70"/>
      <c r="ALW141" s="70"/>
      <c r="ALX141" s="70"/>
      <c r="ALY141" s="70"/>
      <c r="ALZ141" s="70"/>
      <c r="AMA141" s="70"/>
      <c r="AMB141" s="70"/>
      <c r="AMC141" s="70"/>
      <c r="AMD141" s="70"/>
      <c r="AME141" s="70"/>
      <c r="AMF141" s="70"/>
      <c r="AMG141" s="70"/>
      <c r="AMH141" s="70"/>
      <c r="AMI141" s="70"/>
      <c r="AMJ141" s="70"/>
      <c r="AMK141" s="70"/>
      <c r="AML141" s="70"/>
      <c r="AMM141" s="70"/>
      <c r="AMN141" s="70"/>
      <c r="AMO141" s="70"/>
      <c r="AMP141" s="70"/>
      <c r="AMQ141" s="70"/>
      <c r="AMR141" s="70"/>
      <c r="AMS141" s="70"/>
      <c r="AMT141" s="70"/>
      <c r="AMU141" s="70"/>
      <c r="AMV141" s="70"/>
      <c r="AMW141" s="70"/>
      <c r="AMX141" s="70"/>
      <c r="AMY141" s="70"/>
      <c r="AMZ141" s="70"/>
      <c r="ANA141" s="70"/>
      <c r="ANB141" s="70"/>
      <c r="ANC141" s="70"/>
      <c r="AND141" s="70"/>
      <c r="ANE141" s="70"/>
      <c r="ANF141" s="70"/>
      <c r="ANG141" s="70"/>
      <c r="ANH141" s="70"/>
      <c r="ANI141" s="70"/>
      <c r="ANJ141" s="70"/>
      <c r="ANK141" s="70"/>
      <c r="ANL141" s="70"/>
      <c r="ANM141" s="70"/>
      <c r="ANN141" s="70"/>
      <c r="ANO141" s="70"/>
      <c r="ANP141" s="70"/>
      <c r="ANQ141" s="70"/>
      <c r="ANR141" s="70"/>
      <c r="ANS141" s="70"/>
      <c r="ANT141" s="70"/>
      <c r="ANU141" s="70"/>
      <c r="ANV141" s="70"/>
      <c r="ANW141" s="70"/>
      <c r="ANX141" s="70"/>
      <c r="ANY141" s="70"/>
      <c r="ANZ141" s="70"/>
      <c r="AOA141" s="70"/>
      <c r="AOB141" s="70"/>
      <c r="AOC141" s="70"/>
      <c r="AOD141" s="70"/>
      <c r="AOE141" s="70"/>
      <c r="AOF141" s="70"/>
      <c r="AOG141" s="70"/>
      <c r="AOH141" s="70"/>
      <c r="AOI141" s="70"/>
      <c r="AOJ141" s="70"/>
      <c r="AOK141" s="70"/>
      <c r="AOL141" s="70"/>
      <c r="AOM141" s="70"/>
      <c r="AON141" s="70"/>
      <c r="AOO141" s="70"/>
      <c r="AOP141" s="70"/>
      <c r="AOQ141" s="70"/>
      <c r="AOR141" s="70"/>
      <c r="AOS141" s="70"/>
      <c r="AOT141" s="70"/>
      <c r="AOU141" s="70"/>
      <c r="AOV141" s="70"/>
      <c r="AOW141" s="70"/>
      <c r="AOX141" s="70"/>
      <c r="AOY141" s="70"/>
      <c r="AOZ141" s="70"/>
      <c r="APA141" s="70"/>
      <c r="APB141" s="70"/>
      <c r="APC141" s="70"/>
      <c r="APD141" s="70"/>
      <c r="APE141" s="70"/>
      <c r="APF141" s="70"/>
      <c r="APG141" s="70"/>
      <c r="APH141" s="70"/>
      <c r="API141" s="70"/>
      <c r="APJ141" s="70"/>
      <c r="APK141" s="70"/>
      <c r="APL141" s="70"/>
      <c r="APM141" s="70"/>
      <c r="APN141" s="70"/>
      <c r="APO141" s="70"/>
      <c r="APP141" s="70"/>
      <c r="APQ141" s="70"/>
      <c r="APR141" s="70"/>
      <c r="APS141" s="70"/>
      <c r="APT141" s="70"/>
      <c r="APU141" s="70"/>
      <c r="APV141" s="70"/>
      <c r="APW141" s="70"/>
      <c r="APX141" s="70"/>
      <c r="APY141" s="70"/>
      <c r="APZ141" s="70"/>
      <c r="AQA141" s="70"/>
      <c r="AQB141" s="70"/>
      <c r="AQC141" s="70"/>
      <c r="AQD141" s="70"/>
      <c r="AQE141" s="70"/>
      <c r="AQF141" s="70"/>
      <c r="AQG141" s="70"/>
      <c r="AQH141" s="70"/>
      <c r="AQI141" s="70"/>
      <c r="AQJ141" s="70"/>
      <c r="AQK141" s="70"/>
      <c r="AQL141" s="70"/>
      <c r="AQM141" s="70"/>
      <c r="AQN141" s="70"/>
      <c r="AQO141" s="70"/>
      <c r="AQP141" s="70"/>
      <c r="AQQ141" s="70"/>
      <c r="AQR141" s="70"/>
      <c r="AQS141" s="70"/>
      <c r="AQT141" s="70"/>
      <c r="AQU141" s="70"/>
      <c r="AQV141" s="70"/>
      <c r="AQW141" s="70"/>
      <c r="AQX141" s="70"/>
      <c r="AQY141" s="70"/>
      <c r="AQZ141" s="70"/>
      <c r="ARA141" s="70"/>
      <c r="ARB141" s="70"/>
      <c r="ARC141" s="70"/>
      <c r="ARD141" s="70"/>
      <c r="ARE141" s="70"/>
      <c r="ARF141" s="70"/>
      <c r="ARG141" s="70"/>
      <c r="ARH141" s="70"/>
      <c r="ARI141" s="70"/>
      <c r="ARJ141" s="70"/>
      <c r="ARK141" s="70"/>
      <c r="ARL141" s="70"/>
      <c r="ARM141" s="70"/>
      <c r="ARN141" s="70"/>
      <c r="ARO141" s="70"/>
      <c r="ARP141" s="70"/>
      <c r="ARQ141" s="70"/>
      <c r="ARR141" s="70"/>
      <c r="ARS141" s="70"/>
      <c r="ART141" s="70"/>
      <c r="ARU141" s="70"/>
      <c r="ARV141" s="70"/>
      <c r="ARW141" s="70"/>
      <c r="ARX141" s="70"/>
      <c r="ARY141" s="70"/>
      <c r="ARZ141" s="70"/>
      <c r="ASA141" s="70"/>
      <c r="ASB141" s="70"/>
      <c r="ASC141" s="70"/>
      <c r="ASD141" s="70"/>
      <c r="ASE141" s="70"/>
      <c r="ASF141" s="70"/>
      <c r="ASG141" s="70"/>
      <c r="ASH141" s="70"/>
      <c r="ASI141" s="70"/>
      <c r="ASJ141" s="70"/>
      <c r="ASK141" s="70"/>
      <c r="ASL141" s="70"/>
      <c r="ASM141" s="70"/>
      <c r="ASN141" s="70"/>
      <c r="ASO141" s="70"/>
      <c r="ASP141" s="70"/>
      <c r="ASQ141" s="70"/>
      <c r="ASR141" s="70"/>
      <c r="ASS141" s="70"/>
      <c r="AST141" s="70"/>
      <c r="ASU141" s="70"/>
      <c r="ASV141" s="70"/>
      <c r="ASW141" s="70"/>
      <c r="ASX141" s="70"/>
      <c r="ASY141" s="70"/>
      <c r="ASZ141" s="70"/>
      <c r="ATA141" s="70"/>
      <c r="ATB141" s="70"/>
      <c r="ATC141" s="70"/>
      <c r="ATD141" s="70"/>
      <c r="ATE141" s="70"/>
      <c r="ATF141" s="70"/>
      <c r="ATG141" s="70"/>
      <c r="ATH141" s="70"/>
      <c r="ATI141" s="70"/>
      <c r="ATJ141" s="70"/>
      <c r="ATK141" s="70"/>
      <c r="ATL141" s="70"/>
      <c r="ATM141" s="70"/>
      <c r="ATN141" s="70"/>
      <c r="ATO141" s="70"/>
      <c r="ATP141" s="70"/>
      <c r="ATQ141" s="70"/>
      <c r="ATR141" s="70"/>
      <c r="ATS141" s="70"/>
      <c r="ATT141" s="70"/>
      <c r="ATU141" s="70"/>
      <c r="ATV141" s="70"/>
      <c r="ATW141" s="70"/>
      <c r="ATX141" s="70"/>
      <c r="ATY141" s="70"/>
      <c r="ATZ141" s="70"/>
      <c r="AUA141" s="70"/>
      <c r="AUB141" s="70"/>
      <c r="AUC141" s="70"/>
      <c r="AUD141" s="70"/>
      <c r="AUE141" s="70"/>
      <c r="AUF141" s="70"/>
      <c r="AUG141" s="70"/>
      <c r="AUH141" s="70"/>
      <c r="AUI141" s="70"/>
      <c r="AUJ141" s="70"/>
      <c r="AUK141" s="70"/>
      <c r="AUL141" s="70"/>
      <c r="AUM141" s="70"/>
      <c r="AUN141" s="70"/>
      <c r="AUO141" s="70"/>
      <c r="AUP141" s="70"/>
      <c r="AUQ141" s="70"/>
      <c r="AUR141" s="70"/>
      <c r="AUS141" s="70"/>
      <c r="AUT141" s="70"/>
      <c r="AUU141" s="70"/>
      <c r="AUV141" s="70"/>
      <c r="AUW141" s="70"/>
      <c r="AUX141" s="70"/>
      <c r="AUY141" s="70"/>
      <c r="AUZ141" s="70"/>
      <c r="AVA141" s="70"/>
      <c r="AVB141" s="70"/>
      <c r="AVC141" s="70"/>
      <c r="AVD141" s="70"/>
      <c r="AVE141" s="70"/>
      <c r="AVF141" s="70"/>
      <c r="AVG141" s="70"/>
      <c r="AVH141" s="70"/>
      <c r="AVI141" s="70"/>
      <c r="AVJ141" s="70"/>
      <c r="AVK141" s="70"/>
      <c r="AVL141" s="70"/>
      <c r="AVM141" s="70"/>
      <c r="AVN141" s="70"/>
      <c r="AVO141" s="70"/>
      <c r="AVP141" s="70"/>
      <c r="AVQ141" s="70"/>
      <c r="AVR141" s="70"/>
      <c r="AVS141" s="70"/>
      <c r="AVT141" s="70"/>
      <c r="AVU141" s="70"/>
      <c r="AVV141" s="70"/>
      <c r="AVW141" s="70"/>
      <c r="AVX141" s="70"/>
      <c r="AVY141" s="70"/>
      <c r="AVZ141" s="70"/>
      <c r="AWA141" s="70"/>
      <c r="AWB141" s="70"/>
      <c r="AWC141" s="70"/>
      <c r="AWD141" s="70"/>
      <c r="AWE141" s="70"/>
      <c r="AWF141" s="70"/>
      <c r="AWG141" s="70"/>
      <c r="AWH141" s="70"/>
      <c r="AWI141" s="70"/>
      <c r="AWJ141" s="70"/>
      <c r="AWK141" s="70"/>
      <c r="AWL141" s="70"/>
      <c r="AWM141" s="70"/>
      <c r="AWN141" s="70"/>
      <c r="AWO141" s="70"/>
      <c r="AWP141" s="70"/>
      <c r="AWQ141" s="70"/>
      <c r="AWR141" s="70"/>
      <c r="AWS141" s="70"/>
      <c r="AWT141" s="70"/>
      <c r="AWU141" s="70"/>
      <c r="AWV141" s="70"/>
      <c r="AWW141" s="70"/>
      <c r="AWX141" s="70"/>
      <c r="AWY141" s="70"/>
      <c r="AWZ141" s="70"/>
      <c r="AXA141" s="70"/>
      <c r="AXB141" s="70"/>
      <c r="AXC141" s="70"/>
      <c r="AXD141" s="70"/>
      <c r="AXE141" s="70"/>
      <c r="AXF141" s="70"/>
      <c r="AXG141" s="70"/>
      <c r="AXH141" s="70"/>
      <c r="AXI141" s="70"/>
      <c r="AXJ141" s="70"/>
      <c r="AXK141" s="70"/>
      <c r="AXL141" s="70"/>
      <c r="AXM141" s="70"/>
      <c r="AXN141" s="70"/>
      <c r="AXO141" s="70"/>
      <c r="AXP141" s="70"/>
      <c r="AXQ141" s="70"/>
      <c r="AXR141" s="70"/>
      <c r="AXS141" s="70"/>
      <c r="AXT141" s="70"/>
      <c r="AXU141" s="70"/>
      <c r="AXV141" s="70"/>
      <c r="AXW141" s="70"/>
      <c r="AXX141" s="70"/>
      <c r="AXY141" s="70"/>
      <c r="AXZ141" s="70"/>
      <c r="AYA141" s="70"/>
      <c r="AYB141" s="70"/>
      <c r="AYC141" s="70"/>
      <c r="AYD141" s="70"/>
      <c r="AYE141" s="70"/>
      <c r="AYF141" s="70"/>
      <c r="AYG141" s="70"/>
      <c r="AYH141" s="70"/>
      <c r="AYI141" s="70"/>
      <c r="AYJ141" s="70"/>
      <c r="AYK141" s="70"/>
      <c r="AYL141" s="70"/>
      <c r="AYM141" s="70"/>
      <c r="AYN141" s="70"/>
      <c r="AYO141" s="70"/>
      <c r="AYP141" s="70"/>
      <c r="AYQ141" s="70"/>
      <c r="AYR141" s="70"/>
      <c r="AYS141" s="70"/>
      <c r="AYT141" s="70"/>
      <c r="AYU141" s="70"/>
      <c r="AYV141" s="70"/>
      <c r="AYW141" s="70"/>
      <c r="AYX141" s="70"/>
      <c r="AYY141" s="70"/>
      <c r="AYZ141" s="70"/>
      <c r="AZA141" s="70"/>
      <c r="AZB141" s="70"/>
      <c r="AZC141" s="70"/>
      <c r="AZD141" s="70"/>
      <c r="AZE141" s="70"/>
      <c r="AZF141" s="70"/>
      <c r="AZG141" s="70"/>
      <c r="AZH141" s="70"/>
      <c r="AZI141" s="70"/>
      <c r="AZJ141" s="70"/>
      <c r="AZK141" s="70"/>
      <c r="AZL141" s="70"/>
      <c r="AZM141" s="70"/>
      <c r="AZN141" s="70"/>
      <c r="AZO141" s="70"/>
      <c r="AZP141" s="70"/>
      <c r="AZQ141" s="70"/>
      <c r="AZR141" s="70"/>
      <c r="AZS141" s="70"/>
      <c r="AZT141" s="70"/>
      <c r="AZU141" s="70"/>
      <c r="AZV141" s="70"/>
      <c r="AZW141" s="70"/>
      <c r="AZX141" s="70"/>
      <c r="AZY141" s="70"/>
      <c r="AZZ141" s="70"/>
      <c r="BAA141" s="70"/>
      <c r="BAB141" s="70"/>
      <c r="BAC141" s="70"/>
      <c r="BAD141" s="70"/>
      <c r="BAE141" s="70"/>
      <c r="BAF141" s="70"/>
      <c r="BAG141" s="70"/>
      <c r="BAH141" s="70"/>
      <c r="BAI141" s="70"/>
      <c r="BAJ141" s="70"/>
      <c r="BAK141" s="70"/>
      <c r="BAL141" s="70"/>
      <c r="BAM141" s="70"/>
      <c r="BAN141" s="70"/>
      <c r="BAO141" s="70"/>
      <c r="BAP141" s="70"/>
      <c r="BAQ141" s="70"/>
      <c r="BAR141" s="70"/>
      <c r="BAS141" s="70"/>
      <c r="BAT141" s="70"/>
      <c r="BAU141" s="70"/>
      <c r="BAV141" s="70"/>
      <c r="BAW141" s="70"/>
      <c r="BAX141" s="70"/>
      <c r="BAY141" s="70"/>
      <c r="BAZ141" s="70"/>
      <c r="BBA141" s="70"/>
      <c r="BBB141" s="70"/>
      <c r="BBC141" s="70"/>
      <c r="BBD141" s="70"/>
      <c r="BBE141" s="70"/>
      <c r="BBF141" s="70"/>
      <c r="BBG141" s="70"/>
      <c r="BBH141" s="70"/>
      <c r="BBI141" s="70"/>
      <c r="BBJ141" s="70"/>
      <c r="BBK141" s="70"/>
      <c r="BBL141" s="70"/>
      <c r="BBM141" s="70"/>
      <c r="BBN141" s="70"/>
      <c r="BBO141" s="70"/>
      <c r="BBP141" s="70"/>
      <c r="BBQ141" s="70"/>
      <c r="BBR141" s="70"/>
      <c r="BBS141" s="70"/>
      <c r="BBT141" s="70"/>
      <c r="BBU141" s="70"/>
      <c r="BBV141" s="70"/>
      <c r="BBW141" s="70"/>
      <c r="BBX141" s="70"/>
      <c r="BBY141" s="70"/>
      <c r="BBZ141" s="70"/>
      <c r="BCA141" s="70"/>
      <c r="BCB141" s="70"/>
      <c r="BCC141" s="70"/>
      <c r="BCD141" s="70"/>
      <c r="BCE141" s="70"/>
      <c r="BCF141" s="70"/>
      <c r="BCG141" s="70"/>
      <c r="BCH141" s="70"/>
      <c r="BCI141" s="70"/>
      <c r="BCJ141" s="70"/>
      <c r="BCK141" s="70"/>
      <c r="BCL141" s="70"/>
      <c r="BCM141" s="70"/>
      <c r="BCN141" s="70"/>
      <c r="BCO141" s="70"/>
      <c r="BCP141" s="70"/>
      <c r="BCQ141" s="70"/>
      <c r="BCR141" s="70"/>
      <c r="BCS141" s="70"/>
      <c r="BCT141" s="70"/>
      <c r="BCU141" s="70"/>
      <c r="BCV141" s="70"/>
      <c r="BCW141" s="70"/>
    </row>
    <row r="142" spans="1:1453" s="69" customFormat="1" ht="24.75" customHeight="1" x14ac:dyDescent="0.25">
      <c r="A142" s="50">
        <v>19</v>
      </c>
      <c r="B142" s="73" t="s">
        <v>468</v>
      </c>
      <c r="C142" s="73" t="s">
        <v>469</v>
      </c>
      <c r="D142" s="52">
        <v>3902941.7</v>
      </c>
      <c r="E142" s="147" t="s">
        <v>454</v>
      </c>
      <c r="F142" s="73" t="s">
        <v>302</v>
      </c>
      <c r="G142" s="71"/>
      <c r="H142" s="71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70"/>
      <c r="HW142" s="70"/>
      <c r="HX142" s="70"/>
      <c r="HY142" s="70"/>
      <c r="HZ142" s="70"/>
      <c r="IA142" s="70"/>
      <c r="IB142" s="70"/>
      <c r="IC142" s="70"/>
      <c r="ID142" s="70"/>
      <c r="IE142" s="70"/>
      <c r="IF142" s="70"/>
      <c r="IG142" s="70"/>
      <c r="IH142" s="70"/>
      <c r="II142" s="70"/>
      <c r="IJ142" s="70"/>
      <c r="IK142" s="70"/>
      <c r="IL142" s="70"/>
      <c r="IM142" s="70"/>
      <c r="IN142" s="70"/>
      <c r="IO142" s="70"/>
      <c r="IP142" s="70"/>
      <c r="IQ142" s="70"/>
      <c r="IR142" s="70"/>
      <c r="IS142" s="70"/>
      <c r="IT142" s="70"/>
      <c r="IU142" s="70"/>
      <c r="IV142" s="70"/>
      <c r="IW142" s="70"/>
      <c r="IX142" s="70"/>
      <c r="IY142" s="70"/>
      <c r="IZ142" s="70"/>
      <c r="JA142" s="70"/>
      <c r="JB142" s="70"/>
      <c r="JC142" s="70"/>
      <c r="JD142" s="70"/>
      <c r="JE142" s="70"/>
      <c r="JF142" s="70"/>
      <c r="JG142" s="70"/>
      <c r="JH142" s="70"/>
      <c r="JI142" s="70"/>
      <c r="JJ142" s="70"/>
      <c r="JK142" s="70"/>
      <c r="JL142" s="70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70"/>
      <c r="JZ142" s="70"/>
      <c r="KA142" s="70"/>
      <c r="KB142" s="70"/>
      <c r="KC142" s="70"/>
      <c r="KD142" s="70"/>
      <c r="KE142" s="70"/>
      <c r="KF142" s="70"/>
      <c r="KG142" s="70"/>
      <c r="KH142" s="70"/>
      <c r="KI142" s="70"/>
      <c r="KJ142" s="70"/>
      <c r="KK142" s="70"/>
      <c r="KL142" s="70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70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70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70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70"/>
      <c r="MM142" s="70"/>
      <c r="MN142" s="70"/>
      <c r="MO142" s="70"/>
      <c r="MP142" s="70"/>
      <c r="MQ142" s="70"/>
      <c r="MR142" s="70"/>
      <c r="MS142" s="70"/>
      <c r="MT142" s="70"/>
      <c r="MU142" s="70"/>
      <c r="MV142" s="70"/>
      <c r="MW142" s="70"/>
      <c r="MX142" s="70"/>
      <c r="MY142" s="70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  <c r="NN142" s="70"/>
      <c r="NO142" s="70"/>
      <c r="NP142" s="70"/>
      <c r="NQ142" s="70"/>
      <c r="NR142" s="70"/>
      <c r="NS142" s="70"/>
      <c r="NT142" s="70"/>
      <c r="NU142" s="70"/>
      <c r="NV142" s="70"/>
      <c r="NW142" s="70"/>
      <c r="NX142" s="70"/>
      <c r="NY142" s="70"/>
      <c r="NZ142" s="70"/>
      <c r="OA142" s="70"/>
      <c r="OB142" s="70"/>
      <c r="OC142" s="70"/>
      <c r="OD142" s="70"/>
      <c r="OE142" s="70"/>
      <c r="OF142" s="70"/>
      <c r="OG142" s="70"/>
      <c r="OH142" s="70"/>
      <c r="OI142" s="70"/>
      <c r="OJ142" s="70"/>
      <c r="OK142" s="70"/>
      <c r="OL142" s="70"/>
      <c r="OM142" s="70"/>
      <c r="ON142" s="70"/>
      <c r="OO142" s="70"/>
      <c r="OP142" s="70"/>
      <c r="OQ142" s="70"/>
      <c r="OR142" s="70"/>
      <c r="OS142" s="70"/>
      <c r="OT142" s="70"/>
      <c r="OU142" s="70"/>
      <c r="OV142" s="70"/>
      <c r="OW142" s="70"/>
      <c r="OX142" s="70"/>
      <c r="OY142" s="70"/>
      <c r="OZ142" s="70"/>
      <c r="PA142" s="70"/>
      <c r="PB142" s="70"/>
      <c r="PC142" s="70"/>
      <c r="PD142" s="70"/>
      <c r="PE142" s="70"/>
      <c r="PF142" s="70"/>
      <c r="PG142" s="70"/>
      <c r="PH142" s="70"/>
      <c r="PI142" s="70"/>
      <c r="PJ142" s="70"/>
      <c r="PK142" s="70"/>
      <c r="PL142" s="70"/>
      <c r="PM142" s="70"/>
      <c r="PN142" s="70"/>
      <c r="PO142" s="70"/>
      <c r="PP142" s="70"/>
      <c r="PQ142" s="70"/>
      <c r="PR142" s="70"/>
      <c r="PS142" s="70"/>
      <c r="PT142" s="70"/>
      <c r="PU142" s="70"/>
      <c r="PV142" s="70"/>
      <c r="PW142" s="70"/>
      <c r="PX142" s="70"/>
      <c r="PY142" s="70"/>
      <c r="PZ142" s="70"/>
      <c r="QA142" s="70"/>
      <c r="QB142" s="70"/>
      <c r="QC142" s="70"/>
      <c r="QD142" s="70"/>
      <c r="QE142" s="70"/>
      <c r="QF142" s="70"/>
      <c r="QG142" s="70"/>
      <c r="QH142" s="70"/>
      <c r="QI142" s="70"/>
      <c r="QJ142" s="70"/>
      <c r="QK142" s="70"/>
      <c r="QL142" s="70"/>
      <c r="QM142" s="70"/>
      <c r="QN142" s="70"/>
      <c r="QO142" s="70"/>
      <c r="QP142" s="70"/>
      <c r="QQ142" s="70"/>
      <c r="QR142" s="70"/>
      <c r="QS142" s="70"/>
      <c r="QT142" s="70"/>
      <c r="QU142" s="70"/>
      <c r="QV142" s="70"/>
      <c r="QW142" s="70"/>
      <c r="QX142" s="70"/>
      <c r="QY142" s="70"/>
      <c r="QZ142" s="70"/>
      <c r="RA142" s="70"/>
      <c r="RB142" s="70"/>
      <c r="RC142" s="70"/>
      <c r="RD142" s="70"/>
      <c r="RE142" s="70"/>
      <c r="RF142" s="70"/>
      <c r="RG142" s="70"/>
      <c r="RH142" s="70"/>
      <c r="RI142" s="70"/>
      <c r="RJ142" s="70"/>
      <c r="RK142" s="70"/>
      <c r="RL142" s="70"/>
      <c r="RM142" s="70"/>
      <c r="RN142" s="70"/>
      <c r="RO142" s="70"/>
      <c r="RP142" s="70"/>
      <c r="RQ142" s="70"/>
      <c r="RR142" s="70"/>
      <c r="RS142" s="70"/>
      <c r="RT142" s="70"/>
      <c r="RU142" s="70"/>
      <c r="RV142" s="70"/>
      <c r="RW142" s="70"/>
      <c r="RX142" s="70"/>
      <c r="RY142" s="70"/>
      <c r="RZ142" s="70"/>
      <c r="SA142" s="70"/>
      <c r="SB142" s="70"/>
      <c r="SC142" s="70"/>
      <c r="SD142" s="70"/>
      <c r="SE142" s="70"/>
      <c r="SF142" s="70"/>
      <c r="SG142" s="70"/>
      <c r="SH142" s="70"/>
      <c r="SI142" s="70"/>
      <c r="SJ142" s="70"/>
      <c r="SK142" s="70"/>
      <c r="SL142" s="70"/>
      <c r="SM142" s="70"/>
      <c r="SN142" s="70"/>
      <c r="SO142" s="70"/>
      <c r="SP142" s="70"/>
      <c r="SQ142" s="70"/>
      <c r="SR142" s="70"/>
      <c r="SS142" s="70"/>
      <c r="ST142" s="70"/>
      <c r="SU142" s="70"/>
      <c r="SV142" s="70"/>
      <c r="SW142" s="70"/>
      <c r="SX142" s="70"/>
      <c r="SY142" s="70"/>
      <c r="SZ142" s="70"/>
      <c r="TA142" s="70"/>
      <c r="TB142" s="70"/>
      <c r="TC142" s="70"/>
      <c r="TD142" s="70"/>
      <c r="TE142" s="70"/>
      <c r="TF142" s="70"/>
      <c r="TG142" s="70"/>
      <c r="TH142" s="70"/>
      <c r="TI142" s="70"/>
      <c r="TJ142" s="70"/>
      <c r="TK142" s="70"/>
      <c r="TL142" s="70"/>
      <c r="TM142" s="70"/>
      <c r="TN142" s="70"/>
      <c r="TO142" s="70"/>
      <c r="TP142" s="70"/>
      <c r="TQ142" s="70"/>
      <c r="TR142" s="70"/>
      <c r="TS142" s="70"/>
      <c r="TT142" s="70"/>
      <c r="TU142" s="70"/>
      <c r="TV142" s="70"/>
      <c r="TW142" s="70"/>
      <c r="TX142" s="70"/>
      <c r="TY142" s="70"/>
      <c r="TZ142" s="70"/>
      <c r="UA142" s="70"/>
      <c r="UB142" s="70"/>
      <c r="UC142" s="70"/>
      <c r="UD142" s="70"/>
      <c r="UE142" s="70"/>
      <c r="UF142" s="70"/>
      <c r="UG142" s="70"/>
      <c r="UH142" s="70"/>
      <c r="UI142" s="70"/>
      <c r="UJ142" s="70"/>
      <c r="UK142" s="70"/>
      <c r="UL142" s="70"/>
      <c r="UM142" s="70"/>
      <c r="UN142" s="70"/>
      <c r="UO142" s="70"/>
      <c r="UP142" s="70"/>
      <c r="UQ142" s="70"/>
      <c r="UR142" s="70"/>
      <c r="US142" s="70"/>
      <c r="UT142" s="70"/>
      <c r="UU142" s="70"/>
      <c r="UV142" s="70"/>
      <c r="UW142" s="70"/>
      <c r="UX142" s="70"/>
      <c r="UY142" s="70"/>
      <c r="UZ142" s="70"/>
      <c r="VA142" s="70"/>
      <c r="VB142" s="70"/>
      <c r="VC142" s="70"/>
      <c r="VD142" s="70"/>
      <c r="VE142" s="70"/>
      <c r="VF142" s="70"/>
      <c r="VG142" s="70"/>
      <c r="VH142" s="70"/>
      <c r="VI142" s="70"/>
      <c r="VJ142" s="70"/>
      <c r="VK142" s="70"/>
      <c r="VL142" s="70"/>
      <c r="VM142" s="70"/>
      <c r="VN142" s="70"/>
      <c r="VO142" s="70"/>
      <c r="VP142" s="70"/>
      <c r="VQ142" s="70"/>
      <c r="VR142" s="70"/>
      <c r="VS142" s="70"/>
      <c r="VT142" s="70"/>
      <c r="VU142" s="70"/>
      <c r="VV142" s="70"/>
      <c r="VW142" s="70"/>
      <c r="VX142" s="70"/>
      <c r="VY142" s="70"/>
      <c r="VZ142" s="70"/>
      <c r="WA142" s="70"/>
      <c r="WB142" s="70"/>
      <c r="WC142" s="70"/>
      <c r="WD142" s="70"/>
      <c r="WE142" s="70"/>
      <c r="WF142" s="70"/>
      <c r="WG142" s="70"/>
      <c r="WH142" s="70"/>
      <c r="WI142" s="70"/>
      <c r="WJ142" s="70"/>
      <c r="WK142" s="70"/>
      <c r="WL142" s="70"/>
      <c r="WM142" s="70"/>
      <c r="WN142" s="70"/>
      <c r="WO142" s="70"/>
      <c r="WP142" s="70"/>
      <c r="WQ142" s="70"/>
      <c r="WR142" s="70"/>
      <c r="WS142" s="70"/>
      <c r="WT142" s="70"/>
      <c r="WU142" s="70"/>
      <c r="WV142" s="70"/>
      <c r="WW142" s="70"/>
      <c r="WX142" s="70"/>
      <c r="WY142" s="70"/>
      <c r="WZ142" s="70"/>
      <c r="XA142" s="70"/>
      <c r="XB142" s="70"/>
      <c r="XC142" s="70"/>
      <c r="XD142" s="70"/>
      <c r="XE142" s="70"/>
      <c r="XF142" s="70"/>
      <c r="XG142" s="70"/>
      <c r="XH142" s="70"/>
      <c r="XI142" s="70"/>
      <c r="XJ142" s="70"/>
      <c r="XK142" s="70"/>
      <c r="XL142" s="70"/>
      <c r="XM142" s="70"/>
      <c r="XN142" s="70"/>
      <c r="XO142" s="70"/>
      <c r="XP142" s="70"/>
      <c r="XQ142" s="70"/>
      <c r="XR142" s="70"/>
      <c r="XS142" s="70"/>
      <c r="XT142" s="70"/>
      <c r="XU142" s="70"/>
      <c r="XV142" s="70"/>
      <c r="XW142" s="70"/>
      <c r="XX142" s="70"/>
      <c r="XY142" s="70"/>
      <c r="XZ142" s="70"/>
      <c r="YA142" s="70"/>
      <c r="YB142" s="70"/>
      <c r="YC142" s="70"/>
      <c r="YD142" s="70"/>
      <c r="YE142" s="70"/>
      <c r="YF142" s="70"/>
      <c r="YG142" s="70"/>
      <c r="YH142" s="70"/>
      <c r="YI142" s="70"/>
      <c r="YJ142" s="70"/>
      <c r="YK142" s="70"/>
      <c r="YL142" s="70"/>
      <c r="YM142" s="70"/>
      <c r="YN142" s="70"/>
      <c r="YO142" s="70"/>
      <c r="YP142" s="70"/>
      <c r="YQ142" s="70"/>
      <c r="YR142" s="70"/>
      <c r="YS142" s="70"/>
      <c r="YT142" s="70"/>
      <c r="YU142" s="70"/>
      <c r="YV142" s="70"/>
      <c r="YW142" s="70"/>
      <c r="YX142" s="70"/>
      <c r="YY142" s="70"/>
      <c r="YZ142" s="70"/>
      <c r="ZA142" s="70"/>
      <c r="ZB142" s="70"/>
      <c r="ZC142" s="70"/>
      <c r="ZD142" s="70"/>
      <c r="ZE142" s="70"/>
      <c r="ZF142" s="70"/>
      <c r="ZG142" s="70"/>
      <c r="ZH142" s="70"/>
      <c r="ZI142" s="70"/>
      <c r="ZJ142" s="70"/>
      <c r="ZK142" s="70"/>
      <c r="ZL142" s="70"/>
      <c r="ZM142" s="70"/>
      <c r="ZN142" s="70"/>
      <c r="ZO142" s="70"/>
      <c r="ZP142" s="70"/>
      <c r="ZQ142" s="70"/>
      <c r="ZR142" s="70"/>
      <c r="ZS142" s="70"/>
      <c r="ZT142" s="70"/>
      <c r="ZU142" s="70"/>
      <c r="ZV142" s="70"/>
      <c r="ZW142" s="70"/>
      <c r="ZX142" s="70"/>
      <c r="ZY142" s="70"/>
      <c r="ZZ142" s="70"/>
      <c r="AAA142" s="70"/>
      <c r="AAB142" s="70"/>
      <c r="AAC142" s="70"/>
      <c r="AAD142" s="70"/>
      <c r="AAE142" s="70"/>
      <c r="AAF142" s="70"/>
      <c r="AAG142" s="70"/>
      <c r="AAH142" s="70"/>
      <c r="AAI142" s="70"/>
      <c r="AAJ142" s="70"/>
      <c r="AAK142" s="70"/>
      <c r="AAL142" s="70"/>
      <c r="AAM142" s="70"/>
      <c r="AAN142" s="70"/>
      <c r="AAO142" s="70"/>
      <c r="AAP142" s="70"/>
      <c r="AAQ142" s="70"/>
      <c r="AAR142" s="70"/>
      <c r="AAS142" s="70"/>
      <c r="AAT142" s="70"/>
      <c r="AAU142" s="70"/>
      <c r="AAV142" s="70"/>
      <c r="AAW142" s="70"/>
      <c r="AAX142" s="70"/>
      <c r="AAY142" s="70"/>
      <c r="AAZ142" s="70"/>
      <c r="ABA142" s="70"/>
      <c r="ABB142" s="70"/>
      <c r="ABC142" s="70"/>
      <c r="ABD142" s="70"/>
      <c r="ABE142" s="70"/>
      <c r="ABF142" s="70"/>
      <c r="ABG142" s="70"/>
      <c r="ABH142" s="70"/>
      <c r="ABI142" s="70"/>
      <c r="ABJ142" s="70"/>
      <c r="ABK142" s="70"/>
      <c r="ABL142" s="70"/>
      <c r="ABM142" s="70"/>
      <c r="ABN142" s="70"/>
      <c r="ABO142" s="70"/>
      <c r="ABP142" s="70"/>
      <c r="ABQ142" s="70"/>
      <c r="ABR142" s="70"/>
      <c r="ABS142" s="70"/>
      <c r="ABT142" s="70"/>
      <c r="ABU142" s="70"/>
      <c r="ABV142" s="70"/>
      <c r="ABW142" s="70"/>
      <c r="ABX142" s="70"/>
      <c r="ABY142" s="70"/>
      <c r="ABZ142" s="70"/>
      <c r="ACA142" s="70"/>
      <c r="ACB142" s="70"/>
      <c r="ACC142" s="70"/>
      <c r="ACD142" s="70"/>
      <c r="ACE142" s="70"/>
      <c r="ACF142" s="70"/>
      <c r="ACG142" s="70"/>
      <c r="ACH142" s="70"/>
      <c r="ACI142" s="70"/>
      <c r="ACJ142" s="70"/>
      <c r="ACK142" s="70"/>
      <c r="ACL142" s="70"/>
      <c r="ACM142" s="70"/>
      <c r="ACN142" s="70"/>
      <c r="ACO142" s="70"/>
      <c r="ACP142" s="70"/>
      <c r="ACQ142" s="70"/>
      <c r="ACR142" s="70"/>
      <c r="ACS142" s="70"/>
      <c r="ACT142" s="70"/>
      <c r="ACU142" s="70"/>
      <c r="ACV142" s="70"/>
      <c r="ACW142" s="70"/>
      <c r="ACX142" s="70"/>
      <c r="ACY142" s="70"/>
      <c r="ACZ142" s="70"/>
      <c r="ADA142" s="70"/>
      <c r="ADB142" s="70"/>
      <c r="ADC142" s="70"/>
      <c r="ADD142" s="70"/>
      <c r="ADE142" s="70"/>
      <c r="ADF142" s="70"/>
      <c r="ADG142" s="70"/>
      <c r="ADH142" s="70"/>
      <c r="ADI142" s="70"/>
      <c r="ADJ142" s="70"/>
      <c r="ADK142" s="70"/>
      <c r="ADL142" s="70"/>
      <c r="ADM142" s="70"/>
      <c r="ADN142" s="70"/>
      <c r="ADO142" s="70"/>
      <c r="ADP142" s="70"/>
      <c r="ADQ142" s="70"/>
      <c r="ADR142" s="70"/>
      <c r="ADS142" s="70"/>
      <c r="ADT142" s="70"/>
      <c r="ADU142" s="70"/>
      <c r="ADV142" s="70"/>
      <c r="ADW142" s="70"/>
      <c r="ADX142" s="70"/>
      <c r="ADY142" s="70"/>
      <c r="ADZ142" s="70"/>
      <c r="AEA142" s="70"/>
      <c r="AEB142" s="70"/>
      <c r="AEC142" s="70"/>
      <c r="AED142" s="70"/>
      <c r="AEE142" s="70"/>
      <c r="AEF142" s="70"/>
      <c r="AEG142" s="70"/>
      <c r="AEH142" s="70"/>
      <c r="AEI142" s="70"/>
      <c r="AEJ142" s="70"/>
      <c r="AEK142" s="70"/>
      <c r="AEL142" s="70"/>
      <c r="AEM142" s="70"/>
      <c r="AEN142" s="70"/>
      <c r="AEO142" s="70"/>
      <c r="AEP142" s="70"/>
      <c r="AEQ142" s="70"/>
      <c r="AER142" s="70"/>
      <c r="AES142" s="70"/>
      <c r="AET142" s="70"/>
      <c r="AEU142" s="70"/>
      <c r="AEV142" s="70"/>
      <c r="AEW142" s="70"/>
      <c r="AEX142" s="70"/>
      <c r="AEY142" s="70"/>
      <c r="AEZ142" s="70"/>
      <c r="AFA142" s="70"/>
      <c r="AFB142" s="70"/>
      <c r="AFC142" s="70"/>
      <c r="AFD142" s="70"/>
      <c r="AFE142" s="70"/>
      <c r="AFF142" s="70"/>
      <c r="AFG142" s="70"/>
      <c r="AFH142" s="70"/>
      <c r="AFI142" s="70"/>
      <c r="AFJ142" s="70"/>
      <c r="AFK142" s="70"/>
      <c r="AFL142" s="70"/>
      <c r="AFM142" s="70"/>
      <c r="AFN142" s="70"/>
      <c r="AFO142" s="70"/>
      <c r="AFP142" s="70"/>
      <c r="AFQ142" s="70"/>
      <c r="AFR142" s="70"/>
      <c r="AFS142" s="70"/>
      <c r="AFT142" s="70"/>
      <c r="AFU142" s="70"/>
      <c r="AFV142" s="70"/>
      <c r="AFW142" s="70"/>
      <c r="AFX142" s="70"/>
      <c r="AFY142" s="70"/>
      <c r="AFZ142" s="70"/>
      <c r="AGA142" s="70"/>
      <c r="AGB142" s="70"/>
      <c r="AGC142" s="70"/>
      <c r="AGD142" s="70"/>
      <c r="AGE142" s="70"/>
      <c r="AGF142" s="70"/>
      <c r="AGG142" s="70"/>
      <c r="AGH142" s="70"/>
      <c r="AGI142" s="70"/>
      <c r="AGJ142" s="70"/>
      <c r="AGK142" s="70"/>
      <c r="AGL142" s="70"/>
      <c r="AGM142" s="70"/>
      <c r="AGN142" s="70"/>
      <c r="AGO142" s="70"/>
      <c r="AGP142" s="70"/>
      <c r="AGQ142" s="70"/>
      <c r="AGR142" s="70"/>
      <c r="AGS142" s="70"/>
      <c r="AGT142" s="70"/>
      <c r="AGU142" s="70"/>
      <c r="AGV142" s="70"/>
      <c r="AGW142" s="70"/>
      <c r="AGX142" s="70"/>
      <c r="AGY142" s="70"/>
      <c r="AGZ142" s="70"/>
      <c r="AHA142" s="70"/>
      <c r="AHB142" s="70"/>
      <c r="AHC142" s="70"/>
      <c r="AHD142" s="70"/>
      <c r="AHE142" s="70"/>
      <c r="AHF142" s="70"/>
      <c r="AHG142" s="70"/>
      <c r="AHH142" s="70"/>
      <c r="AHI142" s="70"/>
      <c r="AHJ142" s="70"/>
      <c r="AHK142" s="70"/>
      <c r="AHL142" s="70"/>
      <c r="AHM142" s="70"/>
      <c r="AHN142" s="70"/>
      <c r="AHO142" s="70"/>
      <c r="AHP142" s="70"/>
      <c r="AHQ142" s="70"/>
      <c r="AHR142" s="70"/>
      <c r="AHS142" s="70"/>
      <c r="AHT142" s="70"/>
      <c r="AHU142" s="70"/>
      <c r="AHV142" s="70"/>
      <c r="AHW142" s="70"/>
      <c r="AHX142" s="70"/>
      <c r="AHY142" s="70"/>
      <c r="AHZ142" s="70"/>
      <c r="AIA142" s="70"/>
      <c r="AIB142" s="70"/>
      <c r="AIC142" s="70"/>
      <c r="AID142" s="70"/>
      <c r="AIE142" s="70"/>
      <c r="AIF142" s="70"/>
      <c r="AIG142" s="70"/>
      <c r="AIH142" s="70"/>
      <c r="AII142" s="70"/>
      <c r="AIJ142" s="70"/>
      <c r="AIK142" s="70"/>
      <c r="AIL142" s="70"/>
      <c r="AIM142" s="70"/>
      <c r="AIN142" s="70"/>
      <c r="AIO142" s="70"/>
      <c r="AIP142" s="70"/>
      <c r="AIQ142" s="70"/>
      <c r="AIR142" s="70"/>
      <c r="AIS142" s="70"/>
      <c r="AIT142" s="70"/>
      <c r="AIU142" s="70"/>
      <c r="AIV142" s="70"/>
      <c r="AIW142" s="70"/>
      <c r="AIX142" s="70"/>
      <c r="AIY142" s="70"/>
      <c r="AIZ142" s="70"/>
      <c r="AJA142" s="70"/>
      <c r="AJB142" s="70"/>
      <c r="AJC142" s="70"/>
      <c r="AJD142" s="70"/>
      <c r="AJE142" s="70"/>
      <c r="AJF142" s="70"/>
      <c r="AJG142" s="70"/>
      <c r="AJH142" s="70"/>
      <c r="AJI142" s="70"/>
      <c r="AJJ142" s="70"/>
      <c r="AJK142" s="70"/>
      <c r="AJL142" s="70"/>
      <c r="AJM142" s="70"/>
      <c r="AJN142" s="70"/>
      <c r="AJO142" s="70"/>
      <c r="AJP142" s="70"/>
      <c r="AJQ142" s="70"/>
      <c r="AJR142" s="70"/>
      <c r="AJS142" s="70"/>
      <c r="AJT142" s="70"/>
      <c r="AJU142" s="70"/>
      <c r="AJV142" s="70"/>
      <c r="AJW142" s="70"/>
      <c r="AJX142" s="70"/>
      <c r="AJY142" s="70"/>
      <c r="AJZ142" s="70"/>
      <c r="AKA142" s="70"/>
      <c r="AKB142" s="70"/>
      <c r="AKC142" s="70"/>
      <c r="AKD142" s="70"/>
      <c r="AKE142" s="70"/>
      <c r="AKF142" s="70"/>
      <c r="AKG142" s="70"/>
      <c r="AKH142" s="70"/>
      <c r="AKI142" s="70"/>
      <c r="AKJ142" s="70"/>
      <c r="AKK142" s="70"/>
      <c r="AKL142" s="70"/>
      <c r="AKM142" s="70"/>
      <c r="AKN142" s="70"/>
      <c r="AKO142" s="70"/>
      <c r="AKP142" s="70"/>
      <c r="AKQ142" s="70"/>
      <c r="AKR142" s="70"/>
      <c r="AKS142" s="70"/>
      <c r="AKT142" s="70"/>
      <c r="AKU142" s="70"/>
      <c r="AKV142" s="70"/>
      <c r="AKW142" s="70"/>
      <c r="AKX142" s="70"/>
      <c r="AKY142" s="70"/>
      <c r="AKZ142" s="70"/>
      <c r="ALA142" s="70"/>
      <c r="ALB142" s="70"/>
      <c r="ALC142" s="70"/>
      <c r="ALD142" s="70"/>
      <c r="ALE142" s="70"/>
      <c r="ALF142" s="70"/>
      <c r="ALG142" s="70"/>
      <c r="ALH142" s="70"/>
      <c r="ALI142" s="70"/>
      <c r="ALJ142" s="70"/>
      <c r="ALK142" s="70"/>
      <c r="ALL142" s="70"/>
      <c r="ALM142" s="70"/>
      <c r="ALN142" s="70"/>
      <c r="ALO142" s="70"/>
      <c r="ALP142" s="70"/>
      <c r="ALQ142" s="70"/>
      <c r="ALR142" s="70"/>
      <c r="ALS142" s="70"/>
      <c r="ALT142" s="70"/>
      <c r="ALU142" s="70"/>
      <c r="ALV142" s="70"/>
      <c r="ALW142" s="70"/>
      <c r="ALX142" s="70"/>
      <c r="ALY142" s="70"/>
      <c r="ALZ142" s="70"/>
      <c r="AMA142" s="70"/>
      <c r="AMB142" s="70"/>
      <c r="AMC142" s="70"/>
      <c r="AMD142" s="70"/>
      <c r="AME142" s="70"/>
      <c r="AMF142" s="70"/>
      <c r="AMG142" s="70"/>
      <c r="AMH142" s="70"/>
      <c r="AMI142" s="70"/>
      <c r="AMJ142" s="70"/>
      <c r="AMK142" s="70"/>
      <c r="AML142" s="70"/>
      <c r="AMM142" s="70"/>
      <c r="AMN142" s="70"/>
      <c r="AMO142" s="70"/>
      <c r="AMP142" s="70"/>
      <c r="AMQ142" s="70"/>
      <c r="AMR142" s="70"/>
      <c r="AMS142" s="70"/>
      <c r="AMT142" s="70"/>
      <c r="AMU142" s="70"/>
      <c r="AMV142" s="70"/>
      <c r="AMW142" s="70"/>
      <c r="AMX142" s="70"/>
      <c r="AMY142" s="70"/>
      <c r="AMZ142" s="70"/>
      <c r="ANA142" s="70"/>
      <c r="ANB142" s="70"/>
      <c r="ANC142" s="70"/>
      <c r="AND142" s="70"/>
      <c r="ANE142" s="70"/>
      <c r="ANF142" s="70"/>
      <c r="ANG142" s="70"/>
      <c r="ANH142" s="70"/>
      <c r="ANI142" s="70"/>
      <c r="ANJ142" s="70"/>
      <c r="ANK142" s="70"/>
      <c r="ANL142" s="70"/>
      <c r="ANM142" s="70"/>
      <c r="ANN142" s="70"/>
      <c r="ANO142" s="70"/>
      <c r="ANP142" s="70"/>
      <c r="ANQ142" s="70"/>
      <c r="ANR142" s="70"/>
      <c r="ANS142" s="70"/>
      <c r="ANT142" s="70"/>
      <c r="ANU142" s="70"/>
      <c r="ANV142" s="70"/>
      <c r="ANW142" s="70"/>
      <c r="ANX142" s="70"/>
      <c r="ANY142" s="70"/>
      <c r="ANZ142" s="70"/>
      <c r="AOA142" s="70"/>
      <c r="AOB142" s="70"/>
      <c r="AOC142" s="70"/>
      <c r="AOD142" s="70"/>
      <c r="AOE142" s="70"/>
      <c r="AOF142" s="70"/>
      <c r="AOG142" s="70"/>
      <c r="AOH142" s="70"/>
      <c r="AOI142" s="70"/>
      <c r="AOJ142" s="70"/>
      <c r="AOK142" s="70"/>
      <c r="AOL142" s="70"/>
      <c r="AOM142" s="70"/>
      <c r="AON142" s="70"/>
      <c r="AOO142" s="70"/>
      <c r="AOP142" s="70"/>
      <c r="AOQ142" s="70"/>
      <c r="AOR142" s="70"/>
      <c r="AOS142" s="70"/>
      <c r="AOT142" s="70"/>
      <c r="AOU142" s="70"/>
      <c r="AOV142" s="70"/>
      <c r="AOW142" s="70"/>
      <c r="AOX142" s="70"/>
      <c r="AOY142" s="70"/>
      <c r="AOZ142" s="70"/>
      <c r="APA142" s="70"/>
      <c r="APB142" s="70"/>
      <c r="APC142" s="70"/>
      <c r="APD142" s="70"/>
      <c r="APE142" s="70"/>
      <c r="APF142" s="70"/>
      <c r="APG142" s="70"/>
      <c r="APH142" s="70"/>
      <c r="API142" s="70"/>
      <c r="APJ142" s="70"/>
      <c r="APK142" s="70"/>
      <c r="APL142" s="70"/>
      <c r="APM142" s="70"/>
      <c r="APN142" s="70"/>
      <c r="APO142" s="70"/>
      <c r="APP142" s="70"/>
      <c r="APQ142" s="70"/>
      <c r="APR142" s="70"/>
      <c r="APS142" s="70"/>
      <c r="APT142" s="70"/>
      <c r="APU142" s="70"/>
      <c r="APV142" s="70"/>
      <c r="APW142" s="70"/>
      <c r="APX142" s="70"/>
      <c r="APY142" s="70"/>
      <c r="APZ142" s="70"/>
      <c r="AQA142" s="70"/>
      <c r="AQB142" s="70"/>
      <c r="AQC142" s="70"/>
      <c r="AQD142" s="70"/>
      <c r="AQE142" s="70"/>
      <c r="AQF142" s="70"/>
      <c r="AQG142" s="70"/>
      <c r="AQH142" s="70"/>
      <c r="AQI142" s="70"/>
      <c r="AQJ142" s="70"/>
      <c r="AQK142" s="70"/>
      <c r="AQL142" s="70"/>
      <c r="AQM142" s="70"/>
      <c r="AQN142" s="70"/>
      <c r="AQO142" s="70"/>
      <c r="AQP142" s="70"/>
      <c r="AQQ142" s="70"/>
      <c r="AQR142" s="70"/>
      <c r="AQS142" s="70"/>
      <c r="AQT142" s="70"/>
      <c r="AQU142" s="70"/>
      <c r="AQV142" s="70"/>
      <c r="AQW142" s="70"/>
      <c r="AQX142" s="70"/>
      <c r="AQY142" s="70"/>
      <c r="AQZ142" s="70"/>
      <c r="ARA142" s="70"/>
      <c r="ARB142" s="70"/>
      <c r="ARC142" s="70"/>
      <c r="ARD142" s="70"/>
      <c r="ARE142" s="70"/>
      <c r="ARF142" s="70"/>
      <c r="ARG142" s="70"/>
      <c r="ARH142" s="70"/>
      <c r="ARI142" s="70"/>
      <c r="ARJ142" s="70"/>
      <c r="ARK142" s="70"/>
      <c r="ARL142" s="70"/>
      <c r="ARM142" s="70"/>
      <c r="ARN142" s="70"/>
      <c r="ARO142" s="70"/>
      <c r="ARP142" s="70"/>
      <c r="ARQ142" s="70"/>
      <c r="ARR142" s="70"/>
      <c r="ARS142" s="70"/>
      <c r="ART142" s="70"/>
      <c r="ARU142" s="70"/>
      <c r="ARV142" s="70"/>
      <c r="ARW142" s="70"/>
      <c r="ARX142" s="70"/>
      <c r="ARY142" s="70"/>
      <c r="ARZ142" s="70"/>
      <c r="ASA142" s="70"/>
      <c r="ASB142" s="70"/>
      <c r="ASC142" s="70"/>
      <c r="ASD142" s="70"/>
      <c r="ASE142" s="70"/>
      <c r="ASF142" s="70"/>
      <c r="ASG142" s="70"/>
      <c r="ASH142" s="70"/>
      <c r="ASI142" s="70"/>
      <c r="ASJ142" s="70"/>
      <c r="ASK142" s="70"/>
      <c r="ASL142" s="70"/>
      <c r="ASM142" s="70"/>
      <c r="ASN142" s="70"/>
      <c r="ASO142" s="70"/>
      <c r="ASP142" s="70"/>
      <c r="ASQ142" s="70"/>
      <c r="ASR142" s="70"/>
      <c r="ASS142" s="70"/>
      <c r="AST142" s="70"/>
      <c r="ASU142" s="70"/>
      <c r="ASV142" s="70"/>
      <c r="ASW142" s="70"/>
      <c r="ASX142" s="70"/>
      <c r="ASY142" s="70"/>
      <c r="ASZ142" s="70"/>
      <c r="ATA142" s="70"/>
      <c r="ATB142" s="70"/>
      <c r="ATC142" s="70"/>
      <c r="ATD142" s="70"/>
      <c r="ATE142" s="70"/>
      <c r="ATF142" s="70"/>
      <c r="ATG142" s="70"/>
      <c r="ATH142" s="70"/>
      <c r="ATI142" s="70"/>
      <c r="ATJ142" s="70"/>
      <c r="ATK142" s="70"/>
      <c r="ATL142" s="70"/>
      <c r="ATM142" s="70"/>
      <c r="ATN142" s="70"/>
      <c r="ATO142" s="70"/>
      <c r="ATP142" s="70"/>
      <c r="ATQ142" s="70"/>
      <c r="ATR142" s="70"/>
      <c r="ATS142" s="70"/>
      <c r="ATT142" s="70"/>
      <c r="ATU142" s="70"/>
      <c r="ATV142" s="70"/>
      <c r="ATW142" s="70"/>
      <c r="ATX142" s="70"/>
      <c r="ATY142" s="70"/>
      <c r="ATZ142" s="70"/>
      <c r="AUA142" s="70"/>
      <c r="AUB142" s="70"/>
      <c r="AUC142" s="70"/>
      <c r="AUD142" s="70"/>
      <c r="AUE142" s="70"/>
      <c r="AUF142" s="70"/>
      <c r="AUG142" s="70"/>
      <c r="AUH142" s="70"/>
      <c r="AUI142" s="70"/>
      <c r="AUJ142" s="70"/>
      <c r="AUK142" s="70"/>
      <c r="AUL142" s="70"/>
      <c r="AUM142" s="70"/>
      <c r="AUN142" s="70"/>
      <c r="AUO142" s="70"/>
      <c r="AUP142" s="70"/>
      <c r="AUQ142" s="70"/>
      <c r="AUR142" s="70"/>
      <c r="AUS142" s="70"/>
      <c r="AUT142" s="70"/>
      <c r="AUU142" s="70"/>
      <c r="AUV142" s="70"/>
      <c r="AUW142" s="70"/>
      <c r="AUX142" s="70"/>
      <c r="AUY142" s="70"/>
      <c r="AUZ142" s="70"/>
      <c r="AVA142" s="70"/>
      <c r="AVB142" s="70"/>
      <c r="AVC142" s="70"/>
      <c r="AVD142" s="70"/>
      <c r="AVE142" s="70"/>
      <c r="AVF142" s="70"/>
      <c r="AVG142" s="70"/>
      <c r="AVH142" s="70"/>
      <c r="AVI142" s="70"/>
      <c r="AVJ142" s="70"/>
      <c r="AVK142" s="70"/>
      <c r="AVL142" s="70"/>
      <c r="AVM142" s="70"/>
      <c r="AVN142" s="70"/>
      <c r="AVO142" s="70"/>
      <c r="AVP142" s="70"/>
      <c r="AVQ142" s="70"/>
      <c r="AVR142" s="70"/>
      <c r="AVS142" s="70"/>
      <c r="AVT142" s="70"/>
      <c r="AVU142" s="70"/>
      <c r="AVV142" s="70"/>
      <c r="AVW142" s="70"/>
      <c r="AVX142" s="70"/>
      <c r="AVY142" s="70"/>
      <c r="AVZ142" s="70"/>
      <c r="AWA142" s="70"/>
      <c r="AWB142" s="70"/>
      <c r="AWC142" s="70"/>
      <c r="AWD142" s="70"/>
      <c r="AWE142" s="70"/>
      <c r="AWF142" s="70"/>
      <c r="AWG142" s="70"/>
      <c r="AWH142" s="70"/>
      <c r="AWI142" s="70"/>
      <c r="AWJ142" s="70"/>
      <c r="AWK142" s="70"/>
      <c r="AWL142" s="70"/>
      <c r="AWM142" s="70"/>
      <c r="AWN142" s="70"/>
      <c r="AWO142" s="70"/>
      <c r="AWP142" s="70"/>
      <c r="AWQ142" s="70"/>
      <c r="AWR142" s="70"/>
      <c r="AWS142" s="70"/>
      <c r="AWT142" s="70"/>
      <c r="AWU142" s="70"/>
      <c r="AWV142" s="70"/>
      <c r="AWW142" s="70"/>
      <c r="AWX142" s="70"/>
      <c r="AWY142" s="70"/>
      <c r="AWZ142" s="70"/>
      <c r="AXA142" s="70"/>
      <c r="AXB142" s="70"/>
      <c r="AXC142" s="70"/>
      <c r="AXD142" s="70"/>
      <c r="AXE142" s="70"/>
      <c r="AXF142" s="70"/>
      <c r="AXG142" s="70"/>
      <c r="AXH142" s="70"/>
      <c r="AXI142" s="70"/>
      <c r="AXJ142" s="70"/>
      <c r="AXK142" s="70"/>
      <c r="AXL142" s="70"/>
      <c r="AXM142" s="70"/>
      <c r="AXN142" s="70"/>
      <c r="AXO142" s="70"/>
      <c r="AXP142" s="70"/>
      <c r="AXQ142" s="70"/>
      <c r="AXR142" s="70"/>
      <c r="AXS142" s="70"/>
      <c r="AXT142" s="70"/>
      <c r="AXU142" s="70"/>
      <c r="AXV142" s="70"/>
      <c r="AXW142" s="70"/>
      <c r="AXX142" s="70"/>
      <c r="AXY142" s="70"/>
      <c r="AXZ142" s="70"/>
      <c r="AYA142" s="70"/>
      <c r="AYB142" s="70"/>
      <c r="AYC142" s="70"/>
      <c r="AYD142" s="70"/>
      <c r="AYE142" s="70"/>
      <c r="AYF142" s="70"/>
      <c r="AYG142" s="70"/>
      <c r="AYH142" s="70"/>
      <c r="AYI142" s="70"/>
      <c r="AYJ142" s="70"/>
      <c r="AYK142" s="70"/>
      <c r="AYL142" s="70"/>
      <c r="AYM142" s="70"/>
      <c r="AYN142" s="70"/>
      <c r="AYO142" s="70"/>
      <c r="AYP142" s="70"/>
      <c r="AYQ142" s="70"/>
      <c r="AYR142" s="70"/>
      <c r="AYS142" s="70"/>
      <c r="AYT142" s="70"/>
      <c r="AYU142" s="70"/>
      <c r="AYV142" s="70"/>
      <c r="AYW142" s="70"/>
      <c r="AYX142" s="70"/>
      <c r="AYY142" s="70"/>
      <c r="AYZ142" s="70"/>
      <c r="AZA142" s="70"/>
      <c r="AZB142" s="70"/>
      <c r="AZC142" s="70"/>
      <c r="AZD142" s="70"/>
      <c r="AZE142" s="70"/>
      <c r="AZF142" s="70"/>
      <c r="AZG142" s="70"/>
      <c r="AZH142" s="70"/>
      <c r="AZI142" s="70"/>
      <c r="AZJ142" s="70"/>
      <c r="AZK142" s="70"/>
      <c r="AZL142" s="70"/>
      <c r="AZM142" s="70"/>
      <c r="AZN142" s="70"/>
      <c r="AZO142" s="70"/>
      <c r="AZP142" s="70"/>
      <c r="AZQ142" s="70"/>
      <c r="AZR142" s="70"/>
      <c r="AZS142" s="70"/>
      <c r="AZT142" s="70"/>
      <c r="AZU142" s="70"/>
      <c r="AZV142" s="70"/>
      <c r="AZW142" s="70"/>
      <c r="AZX142" s="70"/>
      <c r="AZY142" s="70"/>
      <c r="AZZ142" s="70"/>
      <c r="BAA142" s="70"/>
      <c r="BAB142" s="70"/>
      <c r="BAC142" s="70"/>
      <c r="BAD142" s="70"/>
      <c r="BAE142" s="70"/>
      <c r="BAF142" s="70"/>
      <c r="BAG142" s="70"/>
      <c r="BAH142" s="70"/>
      <c r="BAI142" s="70"/>
      <c r="BAJ142" s="70"/>
      <c r="BAK142" s="70"/>
      <c r="BAL142" s="70"/>
      <c r="BAM142" s="70"/>
      <c r="BAN142" s="70"/>
      <c r="BAO142" s="70"/>
      <c r="BAP142" s="70"/>
      <c r="BAQ142" s="70"/>
      <c r="BAR142" s="70"/>
      <c r="BAS142" s="70"/>
      <c r="BAT142" s="70"/>
      <c r="BAU142" s="70"/>
      <c r="BAV142" s="70"/>
      <c r="BAW142" s="70"/>
      <c r="BAX142" s="70"/>
      <c r="BAY142" s="70"/>
      <c r="BAZ142" s="70"/>
      <c r="BBA142" s="70"/>
      <c r="BBB142" s="70"/>
      <c r="BBC142" s="70"/>
      <c r="BBD142" s="70"/>
      <c r="BBE142" s="70"/>
      <c r="BBF142" s="70"/>
      <c r="BBG142" s="70"/>
      <c r="BBH142" s="70"/>
      <c r="BBI142" s="70"/>
      <c r="BBJ142" s="70"/>
      <c r="BBK142" s="70"/>
      <c r="BBL142" s="70"/>
      <c r="BBM142" s="70"/>
      <c r="BBN142" s="70"/>
      <c r="BBO142" s="70"/>
      <c r="BBP142" s="70"/>
      <c r="BBQ142" s="70"/>
      <c r="BBR142" s="70"/>
      <c r="BBS142" s="70"/>
      <c r="BBT142" s="70"/>
      <c r="BBU142" s="70"/>
      <c r="BBV142" s="70"/>
      <c r="BBW142" s="70"/>
      <c r="BBX142" s="70"/>
      <c r="BBY142" s="70"/>
      <c r="BBZ142" s="70"/>
      <c r="BCA142" s="70"/>
      <c r="BCB142" s="70"/>
      <c r="BCC142" s="70"/>
      <c r="BCD142" s="70"/>
      <c r="BCE142" s="70"/>
      <c r="BCF142" s="70"/>
      <c r="BCG142" s="70"/>
      <c r="BCH142" s="70"/>
      <c r="BCI142" s="70"/>
      <c r="BCJ142" s="70"/>
      <c r="BCK142" s="70"/>
      <c r="BCL142" s="70"/>
      <c r="BCM142" s="70"/>
      <c r="BCN142" s="70"/>
      <c r="BCO142" s="70"/>
      <c r="BCP142" s="70"/>
      <c r="BCQ142" s="70"/>
      <c r="BCR142" s="70"/>
      <c r="BCS142" s="70"/>
      <c r="BCT142" s="70"/>
      <c r="BCU142" s="70"/>
      <c r="BCV142" s="70"/>
      <c r="BCW142" s="70"/>
    </row>
    <row r="143" spans="1:1453" s="69" customFormat="1" ht="24.75" customHeight="1" x14ac:dyDescent="0.25">
      <c r="A143" s="50">
        <v>20</v>
      </c>
      <c r="B143" s="73" t="s">
        <v>396</v>
      </c>
      <c r="C143" s="73" t="s">
        <v>397</v>
      </c>
      <c r="D143" s="52">
        <v>1355414.9</v>
      </c>
      <c r="E143" s="148"/>
      <c r="F143" s="73" t="s">
        <v>293</v>
      </c>
      <c r="G143" s="71"/>
      <c r="H143" s="71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G143" s="70"/>
      <c r="CH143" s="70"/>
      <c r="CI143" s="70"/>
      <c r="CJ143" s="70"/>
      <c r="CK143" s="70"/>
      <c r="CL143" s="70"/>
      <c r="CM143" s="70"/>
      <c r="CN143" s="70"/>
      <c r="CO143" s="70"/>
      <c r="CP143" s="70"/>
      <c r="CQ143" s="70"/>
      <c r="CR143" s="70"/>
      <c r="CS143" s="70"/>
      <c r="CT143" s="70"/>
      <c r="CU143" s="70"/>
      <c r="CV143" s="70"/>
      <c r="CW143" s="70"/>
      <c r="CX143" s="70"/>
      <c r="CY143" s="70"/>
      <c r="CZ143" s="70"/>
      <c r="DA143" s="70"/>
      <c r="DB143" s="70"/>
      <c r="DC143" s="70"/>
      <c r="DD143" s="70"/>
      <c r="DE143" s="70"/>
      <c r="DF143" s="70"/>
      <c r="DG143" s="70"/>
      <c r="DH143" s="70"/>
      <c r="DI143" s="70"/>
      <c r="DJ143" s="70"/>
      <c r="DK143" s="70"/>
      <c r="DL143" s="70"/>
      <c r="DM143" s="70"/>
      <c r="DN143" s="70"/>
      <c r="DO143" s="70"/>
      <c r="DP143" s="70"/>
      <c r="DQ143" s="70"/>
      <c r="DR143" s="70"/>
      <c r="DS143" s="70"/>
      <c r="DT143" s="70"/>
      <c r="DU143" s="70"/>
      <c r="DV143" s="70"/>
      <c r="DW143" s="70"/>
      <c r="DX143" s="70"/>
      <c r="DY143" s="70"/>
      <c r="DZ143" s="70"/>
      <c r="EA143" s="70"/>
      <c r="EB143" s="70"/>
      <c r="EC143" s="70"/>
      <c r="ED143" s="70"/>
      <c r="EE143" s="70"/>
      <c r="EF143" s="70"/>
      <c r="EG143" s="70"/>
      <c r="EH143" s="70"/>
      <c r="EI143" s="70"/>
      <c r="EJ143" s="70"/>
      <c r="EK143" s="70"/>
      <c r="EL143" s="70"/>
      <c r="EM143" s="70"/>
      <c r="EN143" s="70"/>
      <c r="EO143" s="70"/>
      <c r="EP143" s="70"/>
      <c r="EQ143" s="70"/>
      <c r="ER143" s="70"/>
      <c r="ES143" s="70"/>
      <c r="ET143" s="70"/>
      <c r="EU143" s="70"/>
      <c r="EV143" s="70"/>
      <c r="EW143" s="70"/>
      <c r="EX143" s="70"/>
      <c r="EY143" s="70"/>
      <c r="EZ143" s="70"/>
      <c r="FA143" s="70"/>
      <c r="FB143" s="70"/>
      <c r="FC143" s="70"/>
      <c r="FD143" s="70"/>
      <c r="FE143" s="70"/>
      <c r="FF143" s="70"/>
      <c r="FG143" s="70"/>
      <c r="FH143" s="70"/>
      <c r="FI143" s="70"/>
      <c r="FJ143" s="70"/>
      <c r="FK143" s="70"/>
      <c r="FL143" s="70"/>
      <c r="FM143" s="70"/>
      <c r="FN143" s="70"/>
      <c r="FO143" s="70"/>
      <c r="FP143" s="70"/>
      <c r="FQ143" s="70"/>
      <c r="FR143" s="70"/>
      <c r="FS143" s="70"/>
      <c r="FT143" s="70"/>
      <c r="FU143" s="70"/>
      <c r="FV143" s="70"/>
      <c r="FW143" s="70"/>
      <c r="FX143" s="70"/>
      <c r="FY143" s="70"/>
      <c r="FZ143" s="70"/>
      <c r="GA143" s="70"/>
      <c r="GB143" s="70"/>
      <c r="GC143" s="70"/>
      <c r="GD143" s="70"/>
      <c r="GE143" s="70"/>
      <c r="GF143" s="70"/>
      <c r="GG143" s="70"/>
      <c r="GH143" s="70"/>
      <c r="GI143" s="70"/>
      <c r="GJ143" s="70"/>
      <c r="GK143" s="70"/>
      <c r="GL143" s="70"/>
      <c r="GM143" s="70"/>
      <c r="GN143" s="70"/>
      <c r="GO143" s="70"/>
      <c r="GP143" s="70"/>
      <c r="GQ143" s="70"/>
      <c r="GR143" s="70"/>
      <c r="GS143" s="70"/>
      <c r="GT143" s="70"/>
      <c r="GU143" s="70"/>
      <c r="GV143" s="70"/>
      <c r="GW143" s="70"/>
      <c r="GX143" s="70"/>
      <c r="GY143" s="70"/>
      <c r="GZ143" s="70"/>
      <c r="HA143" s="70"/>
      <c r="HB143" s="70"/>
      <c r="HC143" s="70"/>
      <c r="HD143" s="70"/>
      <c r="HE143" s="70"/>
      <c r="HF143" s="70"/>
      <c r="HG143" s="70"/>
      <c r="HH143" s="70"/>
      <c r="HI143" s="70"/>
      <c r="HJ143" s="70"/>
      <c r="HK143" s="70"/>
      <c r="HL143" s="70"/>
      <c r="HM143" s="70"/>
      <c r="HN143" s="70"/>
      <c r="HO143" s="70"/>
      <c r="HP143" s="70"/>
      <c r="HQ143" s="70"/>
      <c r="HR143" s="70"/>
      <c r="HS143" s="70"/>
      <c r="HT143" s="70"/>
      <c r="HU143" s="70"/>
      <c r="HV143" s="70"/>
      <c r="HW143" s="70"/>
      <c r="HX143" s="70"/>
      <c r="HY143" s="70"/>
      <c r="HZ143" s="70"/>
      <c r="IA143" s="70"/>
      <c r="IB143" s="70"/>
      <c r="IC143" s="70"/>
      <c r="ID143" s="70"/>
      <c r="IE143" s="70"/>
      <c r="IF143" s="70"/>
      <c r="IG143" s="70"/>
      <c r="IH143" s="70"/>
      <c r="II143" s="70"/>
      <c r="IJ143" s="70"/>
      <c r="IK143" s="70"/>
      <c r="IL143" s="70"/>
      <c r="IM143" s="70"/>
      <c r="IN143" s="70"/>
      <c r="IO143" s="70"/>
      <c r="IP143" s="70"/>
      <c r="IQ143" s="70"/>
      <c r="IR143" s="70"/>
      <c r="IS143" s="70"/>
      <c r="IT143" s="70"/>
      <c r="IU143" s="70"/>
      <c r="IV143" s="70"/>
      <c r="IW143" s="70"/>
      <c r="IX143" s="70"/>
      <c r="IY143" s="70"/>
      <c r="IZ143" s="70"/>
      <c r="JA143" s="70"/>
      <c r="JB143" s="70"/>
      <c r="JC143" s="70"/>
      <c r="JD143" s="70"/>
      <c r="JE143" s="70"/>
      <c r="JF143" s="70"/>
      <c r="JG143" s="70"/>
      <c r="JH143" s="70"/>
      <c r="JI143" s="70"/>
      <c r="JJ143" s="70"/>
      <c r="JK143" s="70"/>
      <c r="JL143" s="70"/>
      <c r="JM143" s="70"/>
      <c r="JN143" s="70"/>
      <c r="JO143" s="70"/>
      <c r="JP143" s="70"/>
      <c r="JQ143" s="70"/>
      <c r="JR143" s="70"/>
      <c r="JS143" s="70"/>
      <c r="JT143" s="70"/>
      <c r="JU143" s="70"/>
      <c r="JV143" s="70"/>
      <c r="JW143" s="70"/>
      <c r="JX143" s="70"/>
      <c r="JY143" s="70"/>
      <c r="JZ143" s="70"/>
      <c r="KA143" s="70"/>
      <c r="KB143" s="70"/>
      <c r="KC143" s="70"/>
      <c r="KD143" s="70"/>
      <c r="KE143" s="70"/>
      <c r="KF143" s="70"/>
      <c r="KG143" s="70"/>
      <c r="KH143" s="70"/>
      <c r="KI143" s="70"/>
      <c r="KJ143" s="70"/>
      <c r="KK143" s="70"/>
      <c r="KL143" s="70"/>
      <c r="KM143" s="70"/>
      <c r="KN143" s="70"/>
      <c r="KO143" s="70"/>
      <c r="KP143" s="70"/>
      <c r="KQ143" s="70"/>
      <c r="KR143" s="70"/>
      <c r="KS143" s="70"/>
      <c r="KT143" s="70"/>
      <c r="KU143" s="70"/>
      <c r="KV143" s="70"/>
      <c r="KW143" s="70"/>
      <c r="KX143" s="70"/>
      <c r="KY143" s="70"/>
      <c r="KZ143" s="70"/>
      <c r="LA143" s="70"/>
      <c r="LB143" s="70"/>
      <c r="LC143" s="70"/>
      <c r="LD143" s="70"/>
      <c r="LE143" s="70"/>
      <c r="LF143" s="70"/>
      <c r="LG143" s="70"/>
      <c r="LH143" s="70"/>
      <c r="LI143" s="70"/>
      <c r="LJ143" s="70"/>
      <c r="LK143" s="70"/>
      <c r="LL143" s="70"/>
      <c r="LM143" s="70"/>
      <c r="LN143" s="70"/>
      <c r="LO143" s="70"/>
      <c r="LP143" s="70"/>
      <c r="LQ143" s="70"/>
      <c r="LR143" s="70"/>
      <c r="LS143" s="70"/>
      <c r="LT143" s="70"/>
      <c r="LU143" s="70"/>
      <c r="LV143" s="70"/>
      <c r="LW143" s="70"/>
      <c r="LX143" s="70"/>
      <c r="LY143" s="70"/>
      <c r="LZ143" s="70"/>
      <c r="MA143" s="70"/>
      <c r="MB143" s="70"/>
      <c r="MC143" s="70"/>
      <c r="MD143" s="70"/>
      <c r="ME143" s="70"/>
      <c r="MF143" s="70"/>
      <c r="MG143" s="70"/>
      <c r="MH143" s="70"/>
      <c r="MI143" s="70"/>
      <c r="MJ143" s="70"/>
      <c r="MK143" s="70"/>
      <c r="ML143" s="70"/>
      <c r="MM143" s="70"/>
      <c r="MN143" s="70"/>
      <c r="MO143" s="70"/>
      <c r="MP143" s="70"/>
      <c r="MQ143" s="70"/>
      <c r="MR143" s="70"/>
      <c r="MS143" s="70"/>
      <c r="MT143" s="70"/>
      <c r="MU143" s="70"/>
      <c r="MV143" s="70"/>
      <c r="MW143" s="70"/>
      <c r="MX143" s="70"/>
      <c r="MY143" s="70"/>
      <c r="MZ143" s="70"/>
      <c r="NA143" s="70"/>
      <c r="NB143" s="70"/>
      <c r="NC143" s="70"/>
      <c r="ND143" s="70"/>
      <c r="NE143" s="70"/>
      <c r="NF143" s="70"/>
      <c r="NG143" s="70"/>
      <c r="NH143" s="70"/>
      <c r="NI143" s="70"/>
      <c r="NJ143" s="70"/>
      <c r="NK143" s="70"/>
      <c r="NL143" s="70"/>
      <c r="NM143" s="70"/>
      <c r="NN143" s="70"/>
      <c r="NO143" s="70"/>
      <c r="NP143" s="70"/>
      <c r="NQ143" s="70"/>
      <c r="NR143" s="70"/>
      <c r="NS143" s="70"/>
      <c r="NT143" s="70"/>
      <c r="NU143" s="70"/>
      <c r="NV143" s="70"/>
      <c r="NW143" s="70"/>
      <c r="NX143" s="70"/>
      <c r="NY143" s="70"/>
      <c r="NZ143" s="70"/>
      <c r="OA143" s="70"/>
      <c r="OB143" s="70"/>
      <c r="OC143" s="70"/>
      <c r="OD143" s="70"/>
      <c r="OE143" s="70"/>
      <c r="OF143" s="70"/>
      <c r="OG143" s="70"/>
      <c r="OH143" s="70"/>
      <c r="OI143" s="70"/>
      <c r="OJ143" s="70"/>
      <c r="OK143" s="70"/>
      <c r="OL143" s="70"/>
      <c r="OM143" s="70"/>
      <c r="ON143" s="70"/>
      <c r="OO143" s="70"/>
      <c r="OP143" s="70"/>
      <c r="OQ143" s="70"/>
      <c r="OR143" s="70"/>
      <c r="OS143" s="70"/>
      <c r="OT143" s="70"/>
      <c r="OU143" s="70"/>
      <c r="OV143" s="70"/>
      <c r="OW143" s="70"/>
      <c r="OX143" s="70"/>
      <c r="OY143" s="70"/>
      <c r="OZ143" s="70"/>
      <c r="PA143" s="70"/>
      <c r="PB143" s="70"/>
      <c r="PC143" s="70"/>
      <c r="PD143" s="70"/>
      <c r="PE143" s="70"/>
      <c r="PF143" s="70"/>
      <c r="PG143" s="70"/>
      <c r="PH143" s="70"/>
      <c r="PI143" s="70"/>
      <c r="PJ143" s="70"/>
      <c r="PK143" s="70"/>
      <c r="PL143" s="70"/>
      <c r="PM143" s="70"/>
      <c r="PN143" s="70"/>
      <c r="PO143" s="70"/>
      <c r="PP143" s="70"/>
      <c r="PQ143" s="70"/>
      <c r="PR143" s="70"/>
      <c r="PS143" s="70"/>
      <c r="PT143" s="70"/>
      <c r="PU143" s="70"/>
      <c r="PV143" s="70"/>
      <c r="PW143" s="70"/>
      <c r="PX143" s="70"/>
      <c r="PY143" s="70"/>
      <c r="PZ143" s="70"/>
      <c r="QA143" s="70"/>
      <c r="QB143" s="70"/>
      <c r="QC143" s="70"/>
      <c r="QD143" s="70"/>
      <c r="QE143" s="70"/>
      <c r="QF143" s="70"/>
      <c r="QG143" s="70"/>
      <c r="QH143" s="70"/>
      <c r="QI143" s="70"/>
      <c r="QJ143" s="70"/>
      <c r="QK143" s="70"/>
      <c r="QL143" s="70"/>
      <c r="QM143" s="70"/>
      <c r="QN143" s="70"/>
      <c r="QO143" s="70"/>
      <c r="QP143" s="70"/>
      <c r="QQ143" s="70"/>
      <c r="QR143" s="70"/>
      <c r="QS143" s="70"/>
      <c r="QT143" s="70"/>
      <c r="QU143" s="70"/>
      <c r="QV143" s="70"/>
      <c r="QW143" s="70"/>
      <c r="QX143" s="70"/>
      <c r="QY143" s="70"/>
      <c r="QZ143" s="70"/>
      <c r="RA143" s="70"/>
      <c r="RB143" s="70"/>
      <c r="RC143" s="70"/>
      <c r="RD143" s="70"/>
      <c r="RE143" s="70"/>
      <c r="RF143" s="70"/>
      <c r="RG143" s="70"/>
      <c r="RH143" s="70"/>
      <c r="RI143" s="70"/>
      <c r="RJ143" s="70"/>
      <c r="RK143" s="70"/>
      <c r="RL143" s="70"/>
      <c r="RM143" s="70"/>
      <c r="RN143" s="70"/>
      <c r="RO143" s="70"/>
      <c r="RP143" s="70"/>
      <c r="RQ143" s="70"/>
      <c r="RR143" s="70"/>
      <c r="RS143" s="70"/>
      <c r="RT143" s="70"/>
      <c r="RU143" s="70"/>
      <c r="RV143" s="70"/>
      <c r="RW143" s="70"/>
      <c r="RX143" s="70"/>
      <c r="RY143" s="70"/>
      <c r="RZ143" s="70"/>
      <c r="SA143" s="70"/>
      <c r="SB143" s="70"/>
      <c r="SC143" s="70"/>
      <c r="SD143" s="70"/>
      <c r="SE143" s="70"/>
      <c r="SF143" s="70"/>
      <c r="SG143" s="70"/>
      <c r="SH143" s="70"/>
      <c r="SI143" s="70"/>
      <c r="SJ143" s="70"/>
      <c r="SK143" s="70"/>
      <c r="SL143" s="70"/>
      <c r="SM143" s="70"/>
      <c r="SN143" s="70"/>
      <c r="SO143" s="70"/>
      <c r="SP143" s="70"/>
      <c r="SQ143" s="70"/>
      <c r="SR143" s="70"/>
      <c r="SS143" s="70"/>
      <c r="ST143" s="70"/>
      <c r="SU143" s="70"/>
      <c r="SV143" s="70"/>
      <c r="SW143" s="70"/>
      <c r="SX143" s="70"/>
      <c r="SY143" s="70"/>
      <c r="SZ143" s="70"/>
      <c r="TA143" s="70"/>
      <c r="TB143" s="70"/>
      <c r="TC143" s="70"/>
      <c r="TD143" s="70"/>
      <c r="TE143" s="70"/>
      <c r="TF143" s="70"/>
      <c r="TG143" s="70"/>
      <c r="TH143" s="70"/>
      <c r="TI143" s="70"/>
      <c r="TJ143" s="70"/>
      <c r="TK143" s="70"/>
      <c r="TL143" s="70"/>
      <c r="TM143" s="70"/>
      <c r="TN143" s="70"/>
      <c r="TO143" s="70"/>
      <c r="TP143" s="70"/>
      <c r="TQ143" s="70"/>
      <c r="TR143" s="70"/>
      <c r="TS143" s="70"/>
      <c r="TT143" s="70"/>
      <c r="TU143" s="70"/>
      <c r="TV143" s="70"/>
      <c r="TW143" s="70"/>
      <c r="TX143" s="70"/>
      <c r="TY143" s="70"/>
      <c r="TZ143" s="70"/>
      <c r="UA143" s="70"/>
      <c r="UB143" s="70"/>
      <c r="UC143" s="70"/>
      <c r="UD143" s="70"/>
      <c r="UE143" s="70"/>
      <c r="UF143" s="70"/>
      <c r="UG143" s="70"/>
      <c r="UH143" s="70"/>
      <c r="UI143" s="70"/>
      <c r="UJ143" s="70"/>
      <c r="UK143" s="70"/>
      <c r="UL143" s="70"/>
      <c r="UM143" s="70"/>
      <c r="UN143" s="70"/>
      <c r="UO143" s="70"/>
      <c r="UP143" s="70"/>
      <c r="UQ143" s="70"/>
      <c r="UR143" s="70"/>
      <c r="US143" s="70"/>
      <c r="UT143" s="70"/>
      <c r="UU143" s="70"/>
      <c r="UV143" s="70"/>
      <c r="UW143" s="70"/>
      <c r="UX143" s="70"/>
      <c r="UY143" s="70"/>
      <c r="UZ143" s="70"/>
      <c r="VA143" s="70"/>
      <c r="VB143" s="70"/>
      <c r="VC143" s="70"/>
      <c r="VD143" s="70"/>
      <c r="VE143" s="70"/>
      <c r="VF143" s="70"/>
      <c r="VG143" s="70"/>
      <c r="VH143" s="70"/>
      <c r="VI143" s="70"/>
      <c r="VJ143" s="70"/>
      <c r="VK143" s="70"/>
      <c r="VL143" s="70"/>
      <c r="VM143" s="70"/>
      <c r="VN143" s="70"/>
      <c r="VO143" s="70"/>
      <c r="VP143" s="70"/>
      <c r="VQ143" s="70"/>
      <c r="VR143" s="70"/>
      <c r="VS143" s="70"/>
      <c r="VT143" s="70"/>
      <c r="VU143" s="70"/>
      <c r="VV143" s="70"/>
      <c r="VW143" s="70"/>
      <c r="VX143" s="70"/>
      <c r="VY143" s="70"/>
      <c r="VZ143" s="70"/>
      <c r="WA143" s="70"/>
      <c r="WB143" s="70"/>
      <c r="WC143" s="70"/>
      <c r="WD143" s="70"/>
      <c r="WE143" s="70"/>
      <c r="WF143" s="70"/>
      <c r="WG143" s="70"/>
      <c r="WH143" s="70"/>
      <c r="WI143" s="70"/>
      <c r="WJ143" s="70"/>
      <c r="WK143" s="70"/>
      <c r="WL143" s="70"/>
      <c r="WM143" s="70"/>
      <c r="WN143" s="70"/>
      <c r="WO143" s="70"/>
      <c r="WP143" s="70"/>
      <c r="WQ143" s="70"/>
      <c r="WR143" s="70"/>
      <c r="WS143" s="70"/>
      <c r="WT143" s="70"/>
      <c r="WU143" s="70"/>
      <c r="WV143" s="70"/>
      <c r="WW143" s="70"/>
      <c r="WX143" s="70"/>
      <c r="WY143" s="70"/>
      <c r="WZ143" s="70"/>
      <c r="XA143" s="70"/>
      <c r="XB143" s="70"/>
      <c r="XC143" s="70"/>
      <c r="XD143" s="70"/>
      <c r="XE143" s="70"/>
      <c r="XF143" s="70"/>
      <c r="XG143" s="70"/>
      <c r="XH143" s="70"/>
      <c r="XI143" s="70"/>
      <c r="XJ143" s="70"/>
      <c r="XK143" s="70"/>
      <c r="XL143" s="70"/>
      <c r="XM143" s="70"/>
      <c r="XN143" s="70"/>
      <c r="XO143" s="70"/>
      <c r="XP143" s="70"/>
      <c r="XQ143" s="70"/>
      <c r="XR143" s="70"/>
      <c r="XS143" s="70"/>
      <c r="XT143" s="70"/>
      <c r="XU143" s="70"/>
      <c r="XV143" s="70"/>
      <c r="XW143" s="70"/>
      <c r="XX143" s="70"/>
      <c r="XY143" s="70"/>
      <c r="XZ143" s="70"/>
      <c r="YA143" s="70"/>
      <c r="YB143" s="70"/>
      <c r="YC143" s="70"/>
      <c r="YD143" s="70"/>
      <c r="YE143" s="70"/>
      <c r="YF143" s="70"/>
      <c r="YG143" s="70"/>
      <c r="YH143" s="70"/>
      <c r="YI143" s="70"/>
      <c r="YJ143" s="70"/>
      <c r="YK143" s="70"/>
      <c r="YL143" s="70"/>
      <c r="YM143" s="70"/>
      <c r="YN143" s="70"/>
      <c r="YO143" s="70"/>
      <c r="YP143" s="70"/>
      <c r="YQ143" s="70"/>
      <c r="YR143" s="70"/>
      <c r="YS143" s="70"/>
      <c r="YT143" s="70"/>
      <c r="YU143" s="70"/>
      <c r="YV143" s="70"/>
      <c r="YW143" s="70"/>
      <c r="YX143" s="70"/>
      <c r="YY143" s="70"/>
      <c r="YZ143" s="70"/>
      <c r="ZA143" s="70"/>
      <c r="ZB143" s="70"/>
      <c r="ZC143" s="70"/>
      <c r="ZD143" s="70"/>
      <c r="ZE143" s="70"/>
      <c r="ZF143" s="70"/>
      <c r="ZG143" s="70"/>
      <c r="ZH143" s="70"/>
      <c r="ZI143" s="70"/>
      <c r="ZJ143" s="70"/>
      <c r="ZK143" s="70"/>
      <c r="ZL143" s="70"/>
      <c r="ZM143" s="70"/>
      <c r="ZN143" s="70"/>
      <c r="ZO143" s="70"/>
      <c r="ZP143" s="70"/>
      <c r="ZQ143" s="70"/>
      <c r="ZR143" s="70"/>
      <c r="ZS143" s="70"/>
      <c r="ZT143" s="70"/>
      <c r="ZU143" s="70"/>
      <c r="ZV143" s="70"/>
      <c r="ZW143" s="70"/>
      <c r="ZX143" s="70"/>
      <c r="ZY143" s="70"/>
      <c r="ZZ143" s="70"/>
      <c r="AAA143" s="70"/>
      <c r="AAB143" s="70"/>
      <c r="AAC143" s="70"/>
      <c r="AAD143" s="70"/>
      <c r="AAE143" s="70"/>
      <c r="AAF143" s="70"/>
      <c r="AAG143" s="70"/>
      <c r="AAH143" s="70"/>
      <c r="AAI143" s="70"/>
      <c r="AAJ143" s="70"/>
      <c r="AAK143" s="70"/>
      <c r="AAL143" s="70"/>
      <c r="AAM143" s="70"/>
      <c r="AAN143" s="70"/>
      <c r="AAO143" s="70"/>
      <c r="AAP143" s="70"/>
      <c r="AAQ143" s="70"/>
      <c r="AAR143" s="70"/>
      <c r="AAS143" s="70"/>
      <c r="AAT143" s="70"/>
      <c r="AAU143" s="70"/>
      <c r="AAV143" s="70"/>
      <c r="AAW143" s="70"/>
      <c r="AAX143" s="70"/>
      <c r="AAY143" s="70"/>
      <c r="AAZ143" s="70"/>
      <c r="ABA143" s="70"/>
      <c r="ABB143" s="70"/>
      <c r="ABC143" s="70"/>
      <c r="ABD143" s="70"/>
      <c r="ABE143" s="70"/>
      <c r="ABF143" s="70"/>
      <c r="ABG143" s="70"/>
      <c r="ABH143" s="70"/>
      <c r="ABI143" s="70"/>
      <c r="ABJ143" s="70"/>
      <c r="ABK143" s="70"/>
      <c r="ABL143" s="70"/>
      <c r="ABM143" s="70"/>
      <c r="ABN143" s="70"/>
      <c r="ABO143" s="70"/>
      <c r="ABP143" s="70"/>
      <c r="ABQ143" s="70"/>
      <c r="ABR143" s="70"/>
      <c r="ABS143" s="70"/>
      <c r="ABT143" s="70"/>
      <c r="ABU143" s="70"/>
      <c r="ABV143" s="70"/>
      <c r="ABW143" s="70"/>
      <c r="ABX143" s="70"/>
      <c r="ABY143" s="70"/>
      <c r="ABZ143" s="70"/>
      <c r="ACA143" s="70"/>
      <c r="ACB143" s="70"/>
      <c r="ACC143" s="70"/>
      <c r="ACD143" s="70"/>
      <c r="ACE143" s="70"/>
      <c r="ACF143" s="70"/>
      <c r="ACG143" s="70"/>
      <c r="ACH143" s="70"/>
      <c r="ACI143" s="70"/>
      <c r="ACJ143" s="70"/>
      <c r="ACK143" s="70"/>
      <c r="ACL143" s="70"/>
      <c r="ACM143" s="70"/>
      <c r="ACN143" s="70"/>
      <c r="ACO143" s="70"/>
      <c r="ACP143" s="70"/>
      <c r="ACQ143" s="70"/>
      <c r="ACR143" s="70"/>
      <c r="ACS143" s="70"/>
      <c r="ACT143" s="70"/>
      <c r="ACU143" s="70"/>
      <c r="ACV143" s="70"/>
      <c r="ACW143" s="70"/>
      <c r="ACX143" s="70"/>
      <c r="ACY143" s="70"/>
      <c r="ACZ143" s="70"/>
      <c r="ADA143" s="70"/>
      <c r="ADB143" s="70"/>
      <c r="ADC143" s="70"/>
      <c r="ADD143" s="70"/>
      <c r="ADE143" s="70"/>
      <c r="ADF143" s="70"/>
      <c r="ADG143" s="70"/>
      <c r="ADH143" s="70"/>
      <c r="ADI143" s="70"/>
      <c r="ADJ143" s="70"/>
      <c r="ADK143" s="70"/>
      <c r="ADL143" s="70"/>
      <c r="ADM143" s="70"/>
      <c r="ADN143" s="70"/>
      <c r="ADO143" s="70"/>
      <c r="ADP143" s="70"/>
      <c r="ADQ143" s="70"/>
      <c r="ADR143" s="70"/>
      <c r="ADS143" s="70"/>
      <c r="ADT143" s="70"/>
      <c r="ADU143" s="70"/>
      <c r="ADV143" s="70"/>
      <c r="ADW143" s="70"/>
      <c r="ADX143" s="70"/>
      <c r="ADY143" s="70"/>
      <c r="ADZ143" s="70"/>
      <c r="AEA143" s="70"/>
      <c r="AEB143" s="70"/>
      <c r="AEC143" s="70"/>
      <c r="AED143" s="70"/>
      <c r="AEE143" s="70"/>
      <c r="AEF143" s="70"/>
      <c r="AEG143" s="70"/>
      <c r="AEH143" s="70"/>
      <c r="AEI143" s="70"/>
      <c r="AEJ143" s="70"/>
      <c r="AEK143" s="70"/>
      <c r="AEL143" s="70"/>
      <c r="AEM143" s="70"/>
      <c r="AEN143" s="70"/>
      <c r="AEO143" s="70"/>
      <c r="AEP143" s="70"/>
      <c r="AEQ143" s="70"/>
      <c r="AER143" s="70"/>
      <c r="AES143" s="70"/>
      <c r="AET143" s="70"/>
      <c r="AEU143" s="70"/>
      <c r="AEV143" s="70"/>
      <c r="AEW143" s="70"/>
      <c r="AEX143" s="70"/>
      <c r="AEY143" s="70"/>
      <c r="AEZ143" s="70"/>
      <c r="AFA143" s="70"/>
      <c r="AFB143" s="70"/>
      <c r="AFC143" s="70"/>
      <c r="AFD143" s="70"/>
      <c r="AFE143" s="70"/>
      <c r="AFF143" s="70"/>
      <c r="AFG143" s="70"/>
      <c r="AFH143" s="70"/>
      <c r="AFI143" s="70"/>
      <c r="AFJ143" s="70"/>
      <c r="AFK143" s="70"/>
      <c r="AFL143" s="70"/>
      <c r="AFM143" s="70"/>
      <c r="AFN143" s="70"/>
      <c r="AFO143" s="70"/>
      <c r="AFP143" s="70"/>
      <c r="AFQ143" s="70"/>
      <c r="AFR143" s="70"/>
      <c r="AFS143" s="70"/>
      <c r="AFT143" s="70"/>
      <c r="AFU143" s="70"/>
      <c r="AFV143" s="70"/>
      <c r="AFW143" s="70"/>
      <c r="AFX143" s="70"/>
      <c r="AFY143" s="70"/>
      <c r="AFZ143" s="70"/>
      <c r="AGA143" s="70"/>
      <c r="AGB143" s="70"/>
      <c r="AGC143" s="70"/>
      <c r="AGD143" s="70"/>
      <c r="AGE143" s="70"/>
      <c r="AGF143" s="70"/>
      <c r="AGG143" s="70"/>
      <c r="AGH143" s="70"/>
      <c r="AGI143" s="70"/>
      <c r="AGJ143" s="70"/>
      <c r="AGK143" s="70"/>
      <c r="AGL143" s="70"/>
      <c r="AGM143" s="70"/>
      <c r="AGN143" s="70"/>
      <c r="AGO143" s="70"/>
      <c r="AGP143" s="70"/>
      <c r="AGQ143" s="70"/>
      <c r="AGR143" s="70"/>
      <c r="AGS143" s="70"/>
      <c r="AGT143" s="70"/>
      <c r="AGU143" s="70"/>
      <c r="AGV143" s="70"/>
      <c r="AGW143" s="70"/>
      <c r="AGX143" s="70"/>
      <c r="AGY143" s="70"/>
      <c r="AGZ143" s="70"/>
      <c r="AHA143" s="70"/>
      <c r="AHB143" s="70"/>
      <c r="AHC143" s="70"/>
      <c r="AHD143" s="70"/>
      <c r="AHE143" s="70"/>
      <c r="AHF143" s="70"/>
      <c r="AHG143" s="70"/>
      <c r="AHH143" s="70"/>
      <c r="AHI143" s="70"/>
      <c r="AHJ143" s="70"/>
      <c r="AHK143" s="70"/>
      <c r="AHL143" s="70"/>
      <c r="AHM143" s="70"/>
      <c r="AHN143" s="70"/>
      <c r="AHO143" s="70"/>
      <c r="AHP143" s="70"/>
      <c r="AHQ143" s="70"/>
      <c r="AHR143" s="70"/>
      <c r="AHS143" s="70"/>
      <c r="AHT143" s="70"/>
      <c r="AHU143" s="70"/>
      <c r="AHV143" s="70"/>
      <c r="AHW143" s="70"/>
      <c r="AHX143" s="70"/>
      <c r="AHY143" s="70"/>
      <c r="AHZ143" s="70"/>
      <c r="AIA143" s="70"/>
      <c r="AIB143" s="70"/>
      <c r="AIC143" s="70"/>
      <c r="AID143" s="70"/>
      <c r="AIE143" s="70"/>
      <c r="AIF143" s="70"/>
      <c r="AIG143" s="70"/>
      <c r="AIH143" s="70"/>
      <c r="AII143" s="70"/>
      <c r="AIJ143" s="70"/>
      <c r="AIK143" s="70"/>
      <c r="AIL143" s="70"/>
      <c r="AIM143" s="70"/>
      <c r="AIN143" s="70"/>
      <c r="AIO143" s="70"/>
      <c r="AIP143" s="70"/>
      <c r="AIQ143" s="70"/>
      <c r="AIR143" s="70"/>
      <c r="AIS143" s="70"/>
      <c r="AIT143" s="70"/>
      <c r="AIU143" s="70"/>
      <c r="AIV143" s="70"/>
      <c r="AIW143" s="70"/>
      <c r="AIX143" s="70"/>
      <c r="AIY143" s="70"/>
      <c r="AIZ143" s="70"/>
      <c r="AJA143" s="70"/>
      <c r="AJB143" s="70"/>
      <c r="AJC143" s="70"/>
      <c r="AJD143" s="70"/>
      <c r="AJE143" s="70"/>
      <c r="AJF143" s="70"/>
      <c r="AJG143" s="70"/>
      <c r="AJH143" s="70"/>
      <c r="AJI143" s="70"/>
      <c r="AJJ143" s="70"/>
      <c r="AJK143" s="70"/>
      <c r="AJL143" s="70"/>
      <c r="AJM143" s="70"/>
      <c r="AJN143" s="70"/>
      <c r="AJO143" s="70"/>
      <c r="AJP143" s="70"/>
      <c r="AJQ143" s="70"/>
      <c r="AJR143" s="70"/>
      <c r="AJS143" s="70"/>
      <c r="AJT143" s="70"/>
      <c r="AJU143" s="70"/>
      <c r="AJV143" s="70"/>
      <c r="AJW143" s="70"/>
      <c r="AJX143" s="70"/>
      <c r="AJY143" s="70"/>
      <c r="AJZ143" s="70"/>
      <c r="AKA143" s="70"/>
      <c r="AKB143" s="70"/>
      <c r="AKC143" s="70"/>
      <c r="AKD143" s="70"/>
      <c r="AKE143" s="70"/>
      <c r="AKF143" s="70"/>
      <c r="AKG143" s="70"/>
      <c r="AKH143" s="70"/>
      <c r="AKI143" s="70"/>
      <c r="AKJ143" s="70"/>
      <c r="AKK143" s="70"/>
      <c r="AKL143" s="70"/>
      <c r="AKM143" s="70"/>
      <c r="AKN143" s="70"/>
      <c r="AKO143" s="70"/>
      <c r="AKP143" s="70"/>
      <c r="AKQ143" s="70"/>
      <c r="AKR143" s="70"/>
      <c r="AKS143" s="70"/>
      <c r="AKT143" s="70"/>
      <c r="AKU143" s="70"/>
      <c r="AKV143" s="70"/>
      <c r="AKW143" s="70"/>
      <c r="AKX143" s="70"/>
      <c r="AKY143" s="70"/>
      <c r="AKZ143" s="70"/>
      <c r="ALA143" s="70"/>
      <c r="ALB143" s="70"/>
      <c r="ALC143" s="70"/>
      <c r="ALD143" s="70"/>
      <c r="ALE143" s="70"/>
      <c r="ALF143" s="70"/>
      <c r="ALG143" s="70"/>
      <c r="ALH143" s="70"/>
      <c r="ALI143" s="70"/>
      <c r="ALJ143" s="70"/>
      <c r="ALK143" s="70"/>
      <c r="ALL143" s="70"/>
      <c r="ALM143" s="70"/>
      <c r="ALN143" s="70"/>
      <c r="ALO143" s="70"/>
      <c r="ALP143" s="70"/>
      <c r="ALQ143" s="70"/>
      <c r="ALR143" s="70"/>
      <c r="ALS143" s="70"/>
      <c r="ALT143" s="70"/>
      <c r="ALU143" s="70"/>
      <c r="ALV143" s="70"/>
      <c r="ALW143" s="70"/>
      <c r="ALX143" s="70"/>
      <c r="ALY143" s="70"/>
      <c r="ALZ143" s="70"/>
      <c r="AMA143" s="70"/>
      <c r="AMB143" s="70"/>
      <c r="AMC143" s="70"/>
      <c r="AMD143" s="70"/>
      <c r="AME143" s="70"/>
      <c r="AMF143" s="70"/>
      <c r="AMG143" s="70"/>
      <c r="AMH143" s="70"/>
      <c r="AMI143" s="70"/>
      <c r="AMJ143" s="70"/>
      <c r="AMK143" s="70"/>
      <c r="AML143" s="70"/>
      <c r="AMM143" s="70"/>
      <c r="AMN143" s="70"/>
      <c r="AMO143" s="70"/>
      <c r="AMP143" s="70"/>
      <c r="AMQ143" s="70"/>
      <c r="AMR143" s="70"/>
      <c r="AMS143" s="70"/>
      <c r="AMT143" s="70"/>
      <c r="AMU143" s="70"/>
      <c r="AMV143" s="70"/>
      <c r="AMW143" s="70"/>
      <c r="AMX143" s="70"/>
      <c r="AMY143" s="70"/>
      <c r="AMZ143" s="70"/>
      <c r="ANA143" s="70"/>
      <c r="ANB143" s="70"/>
      <c r="ANC143" s="70"/>
      <c r="AND143" s="70"/>
      <c r="ANE143" s="70"/>
      <c r="ANF143" s="70"/>
      <c r="ANG143" s="70"/>
      <c r="ANH143" s="70"/>
      <c r="ANI143" s="70"/>
      <c r="ANJ143" s="70"/>
      <c r="ANK143" s="70"/>
      <c r="ANL143" s="70"/>
      <c r="ANM143" s="70"/>
      <c r="ANN143" s="70"/>
      <c r="ANO143" s="70"/>
      <c r="ANP143" s="70"/>
      <c r="ANQ143" s="70"/>
      <c r="ANR143" s="70"/>
      <c r="ANS143" s="70"/>
      <c r="ANT143" s="70"/>
      <c r="ANU143" s="70"/>
      <c r="ANV143" s="70"/>
      <c r="ANW143" s="70"/>
      <c r="ANX143" s="70"/>
      <c r="ANY143" s="70"/>
      <c r="ANZ143" s="70"/>
      <c r="AOA143" s="70"/>
      <c r="AOB143" s="70"/>
      <c r="AOC143" s="70"/>
      <c r="AOD143" s="70"/>
      <c r="AOE143" s="70"/>
      <c r="AOF143" s="70"/>
      <c r="AOG143" s="70"/>
      <c r="AOH143" s="70"/>
      <c r="AOI143" s="70"/>
      <c r="AOJ143" s="70"/>
      <c r="AOK143" s="70"/>
      <c r="AOL143" s="70"/>
      <c r="AOM143" s="70"/>
      <c r="AON143" s="70"/>
      <c r="AOO143" s="70"/>
      <c r="AOP143" s="70"/>
      <c r="AOQ143" s="70"/>
      <c r="AOR143" s="70"/>
      <c r="AOS143" s="70"/>
      <c r="AOT143" s="70"/>
      <c r="AOU143" s="70"/>
      <c r="AOV143" s="70"/>
      <c r="AOW143" s="70"/>
      <c r="AOX143" s="70"/>
      <c r="AOY143" s="70"/>
      <c r="AOZ143" s="70"/>
      <c r="APA143" s="70"/>
      <c r="APB143" s="70"/>
      <c r="APC143" s="70"/>
      <c r="APD143" s="70"/>
      <c r="APE143" s="70"/>
      <c r="APF143" s="70"/>
      <c r="APG143" s="70"/>
      <c r="APH143" s="70"/>
      <c r="API143" s="70"/>
      <c r="APJ143" s="70"/>
      <c r="APK143" s="70"/>
      <c r="APL143" s="70"/>
      <c r="APM143" s="70"/>
      <c r="APN143" s="70"/>
      <c r="APO143" s="70"/>
      <c r="APP143" s="70"/>
      <c r="APQ143" s="70"/>
      <c r="APR143" s="70"/>
      <c r="APS143" s="70"/>
      <c r="APT143" s="70"/>
      <c r="APU143" s="70"/>
      <c r="APV143" s="70"/>
      <c r="APW143" s="70"/>
      <c r="APX143" s="70"/>
      <c r="APY143" s="70"/>
      <c r="APZ143" s="70"/>
      <c r="AQA143" s="70"/>
      <c r="AQB143" s="70"/>
      <c r="AQC143" s="70"/>
      <c r="AQD143" s="70"/>
      <c r="AQE143" s="70"/>
      <c r="AQF143" s="70"/>
      <c r="AQG143" s="70"/>
      <c r="AQH143" s="70"/>
      <c r="AQI143" s="70"/>
      <c r="AQJ143" s="70"/>
      <c r="AQK143" s="70"/>
      <c r="AQL143" s="70"/>
      <c r="AQM143" s="70"/>
      <c r="AQN143" s="70"/>
      <c r="AQO143" s="70"/>
      <c r="AQP143" s="70"/>
      <c r="AQQ143" s="70"/>
      <c r="AQR143" s="70"/>
      <c r="AQS143" s="70"/>
      <c r="AQT143" s="70"/>
      <c r="AQU143" s="70"/>
      <c r="AQV143" s="70"/>
      <c r="AQW143" s="70"/>
      <c r="AQX143" s="70"/>
      <c r="AQY143" s="70"/>
      <c r="AQZ143" s="70"/>
      <c r="ARA143" s="70"/>
      <c r="ARB143" s="70"/>
      <c r="ARC143" s="70"/>
      <c r="ARD143" s="70"/>
      <c r="ARE143" s="70"/>
      <c r="ARF143" s="70"/>
      <c r="ARG143" s="70"/>
      <c r="ARH143" s="70"/>
      <c r="ARI143" s="70"/>
      <c r="ARJ143" s="70"/>
      <c r="ARK143" s="70"/>
      <c r="ARL143" s="70"/>
      <c r="ARM143" s="70"/>
      <c r="ARN143" s="70"/>
      <c r="ARO143" s="70"/>
      <c r="ARP143" s="70"/>
      <c r="ARQ143" s="70"/>
      <c r="ARR143" s="70"/>
      <c r="ARS143" s="70"/>
      <c r="ART143" s="70"/>
      <c r="ARU143" s="70"/>
      <c r="ARV143" s="70"/>
      <c r="ARW143" s="70"/>
      <c r="ARX143" s="70"/>
      <c r="ARY143" s="70"/>
      <c r="ARZ143" s="70"/>
      <c r="ASA143" s="70"/>
      <c r="ASB143" s="70"/>
      <c r="ASC143" s="70"/>
      <c r="ASD143" s="70"/>
      <c r="ASE143" s="70"/>
      <c r="ASF143" s="70"/>
      <c r="ASG143" s="70"/>
      <c r="ASH143" s="70"/>
      <c r="ASI143" s="70"/>
      <c r="ASJ143" s="70"/>
      <c r="ASK143" s="70"/>
      <c r="ASL143" s="70"/>
      <c r="ASM143" s="70"/>
      <c r="ASN143" s="70"/>
      <c r="ASO143" s="70"/>
      <c r="ASP143" s="70"/>
      <c r="ASQ143" s="70"/>
      <c r="ASR143" s="70"/>
      <c r="ASS143" s="70"/>
      <c r="AST143" s="70"/>
      <c r="ASU143" s="70"/>
      <c r="ASV143" s="70"/>
      <c r="ASW143" s="70"/>
      <c r="ASX143" s="70"/>
      <c r="ASY143" s="70"/>
      <c r="ASZ143" s="70"/>
      <c r="ATA143" s="70"/>
      <c r="ATB143" s="70"/>
      <c r="ATC143" s="70"/>
      <c r="ATD143" s="70"/>
      <c r="ATE143" s="70"/>
      <c r="ATF143" s="70"/>
      <c r="ATG143" s="70"/>
      <c r="ATH143" s="70"/>
      <c r="ATI143" s="70"/>
      <c r="ATJ143" s="70"/>
      <c r="ATK143" s="70"/>
      <c r="ATL143" s="70"/>
      <c r="ATM143" s="70"/>
      <c r="ATN143" s="70"/>
      <c r="ATO143" s="70"/>
      <c r="ATP143" s="70"/>
      <c r="ATQ143" s="70"/>
      <c r="ATR143" s="70"/>
      <c r="ATS143" s="70"/>
      <c r="ATT143" s="70"/>
      <c r="ATU143" s="70"/>
      <c r="ATV143" s="70"/>
      <c r="ATW143" s="70"/>
      <c r="ATX143" s="70"/>
      <c r="ATY143" s="70"/>
      <c r="ATZ143" s="70"/>
      <c r="AUA143" s="70"/>
      <c r="AUB143" s="70"/>
      <c r="AUC143" s="70"/>
      <c r="AUD143" s="70"/>
      <c r="AUE143" s="70"/>
      <c r="AUF143" s="70"/>
      <c r="AUG143" s="70"/>
      <c r="AUH143" s="70"/>
      <c r="AUI143" s="70"/>
      <c r="AUJ143" s="70"/>
      <c r="AUK143" s="70"/>
      <c r="AUL143" s="70"/>
      <c r="AUM143" s="70"/>
      <c r="AUN143" s="70"/>
      <c r="AUO143" s="70"/>
      <c r="AUP143" s="70"/>
      <c r="AUQ143" s="70"/>
      <c r="AUR143" s="70"/>
      <c r="AUS143" s="70"/>
      <c r="AUT143" s="70"/>
      <c r="AUU143" s="70"/>
      <c r="AUV143" s="70"/>
      <c r="AUW143" s="70"/>
      <c r="AUX143" s="70"/>
      <c r="AUY143" s="70"/>
      <c r="AUZ143" s="70"/>
      <c r="AVA143" s="70"/>
      <c r="AVB143" s="70"/>
      <c r="AVC143" s="70"/>
      <c r="AVD143" s="70"/>
      <c r="AVE143" s="70"/>
      <c r="AVF143" s="70"/>
      <c r="AVG143" s="70"/>
      <c r="AVH143" s="70"/>
      <c r="AVI143" s="70"/>
      <c r="AVJ143" s="70"/>
      <c r="AVK143" s="70"/>
      <c r="AVL143" s="70"/>
      <c r="AVM143" s="70"/>
      <c r="AVN143" s="70"/>
      <c r="AVO143" s="70"/>
      <c r="AVP143" s="70"/>
      <c r="AVQ143" s="70"/>
      <c r="AVR143" s="70"/>
      <c r="AVS143" s="70"/>
      <c r="AVT143" s="70"/>
      <c r="AVU143" s="70"/>
      <c r="AVV143" s="70"/>
      <c r="AVW143" s="70"/>
      <c r="AVX143" s="70"/>
      <c r="AVY143" s="70"/>
      <c r="AVZ143" s="70"/>
      <c r="AWA143" s="70"/>
      <c r="AWB143" s="70"/>
      <c r="AWC143" s="70"/>
      <c r="AWD143" s="70"/>
      <c r="AWE143" s="70"/>
      <c r="AWF143" s="70"/>
      <c r="AWG143" s="70"/>
      <c r="AWH143" s="70"/>
      <c r="AWI143" s="70"/>
      <c r="AWJ143" s="70"/>
      <c r="AWK143" s="70"/>
      <c r="AWL143" s="70"/>
      <c r="AWM143" s="70"/>
      <c r="AWN143" s="70"/>
      <c r="AWO143" s="70"/>
      <c r="AWP143" s="70"/>
      <c r="AWQ143" s="70"/>
      <c r="AWR143" s="70"/>
      <c r="AWS143" s="70"/>
      <c r="AWT143" s="70"/>
      <c r="AWU143" s="70"/>
      <c r="AWV143" s="70"/>
      <c r="AWW143" s="70"/>
      <c r="AWX143" s="70"/>
      <c r="AWY143" s="70"/>
      <c r="AWZ143" s="70"/>
      <c r="AXA143" s="70"/>
      <c r="AXB143" s="70"/>
      <c r="AXC143" s="70"/>
      <c r="AXD143" s="70"/>
      <c r="AXE143" s="70"/>
      <c r="AXF143" s="70"/>
      <c r="AXG143" s="70"/>
      <c r="AXH143" s="70"/>
      <c r="AXI143" s="70"/>
      <c r="AXJ143" s="70"/>
      <c r="AXK143" s="70"/>
      <c r="AXL143" s="70"/>
      <c r="AXM143" s="70"/>
      <c r="AXN143" s="70"/>
      <c r="AXO143" s="70"/>
      <c r="AXP143" s="70"/>
      <c r="AXQ143" s="70"/>
      <c r="AXR143" s="70"/>
      <c r="AXS143" s="70"/>
      <c r="AXT143" s="70"/>
      <c r="AXU143" s="70"/>
      <c r="AXV143" s="70"/>
      <c r="AXW143" s="70"/>
      <c r="AXX143" s="70"/>
      <c r="AXY143" s="70"/>
      <c r="AXZ143" s="70"/>
      <c r="AYA143" s="70"/>
      <c r="AYB143" s="70"/>
      <c r="AYC143" s="70"/>
      <c r="AYD143" s="70"/>
      <c r="AYE143" s="70"/>
      <c r="AYF143" s="70"/>
      <c r="AYG143" s="70"/>
      <c r="AYH143" s="70"/>
      <c r="AYI143" s="70"/>
      <c r="AYJ143" s="70"/>
      <c r="AYK143" s="70"/>
      <c r="AYL143" s="70"/>
      <c r="AYM143" s="70"/>
      <c r="AYN143" s="70"/>
      <c r="AYO143" s="70"/>
      <c r="AYP143" s="70"/>
      <c r="AYQ143" s="70"/>
      <c r="AYR143" s="70"/>
      <c r="AYS143" s="70"/>
      <c r="AYT143" s="70"/>
      <c r="AYU143" s="70"/>
      <c r="AYV143" s="70"/>
      <c r="AYW143" s="70"/>
      <c r="AYX143" s="70"/>
      <c r="AYY143" s="70"/>
      <c r="AYZ143" s="70"/>
      <c r="AZA143" s="70"/>
      <c r="AZB143" s="70"/>
      <c r="AZC143" s="70"/>
      <c r="AZD143" s="70"/>
      <c r="AZE143" s="70"/>
      <c r="AZF143" s="70"/>
      <c r="AZG143" s="70"/>
      <c r="AZH143" s="70"/>
      <c r="AZI143" s="70"/>
      <c r="AZJ143" s="70"/>
      <c r="AZK143" s="70"/>
      <c r="AZL143" s="70"/>
      <c r="AZM143" s="70"/>
      <c r="AZN143" s="70"/>
      <c r="AZO143" s="70"/>
      <c r="AZP143" s="70"/>
      <c r="AZQ143" s="70"/>
      <c r="AZR143" s="70"/>
      <c r="AZS143" s="70"/>
      <c r="AZT143" s="70"/>
      <c r="AZU143" s="70"/>
      <c r="AZV143" s="70"/>
      <c r="AZW143" s="70"/>
      <c r="AZX143" s="70"/>
      <c r="AZY143" s="70"/>
      <c r="AZZ143" s="70"/>
      <c r="BAA143" s="70"/>
      <c r="BAB143" s="70"/>
      <c r="BAC143" s="70"/>
      <c r="BAD143" s="70"/>
      <c r="BAE143" s="70"/>
      <c r="BAF143" s="70"/>
      <c r="BAG143" s="70"/>
      <c r="BAH143" s="70"/>
      <c r="BAI143" s="70"/>
      <c r="BAJ143" s="70"/>
      <c r="BAK143" s="70"/>
      <c r="BAL143" s="70"/>
      <c r="BAM143" s="70"/>
      <c r="BAN143" s="70"/>
      <c r="BAO143" s="70"/>
      <c r="BAP143" s="70"/>
      <c r="BAQ143" s="70"/>
      <c r="BAR143" s="70"/>
      <c r="BAS143" s="70"/>
      <c r="BAT143" s="70"/>
      <c r="BAU143" s="70"/>
      <c r="BAV143" s="70"/>
      <c r="BAW143" s="70"/>
      <c r="BAX143" s="70"/>
      <c r="BAY143" s="70"/>
      <c r="BAZ143" s="70"/>
      <c r="BBA143" s="70"/>
      <c r="BBB143" s="70"/>
      <c r="BBC143" s="70"/>
      <c r="BBD143" s="70"/>
      <c r="BBE143" s="70"/>
      <c r="BBF143" s="70"/>
      <c r="BBG143" s="70"/>
      <c r="BBH143" s="70"/>
      <c r="BBI143" s="70"/>
      <c r="BBJ143" s="70"/>
      <c r="BBK143" s="70"/>
      <c r="BBL143" s="70"/>
      <c r="BBM143" s="70"/>
      <c r="BBN143" s="70"/>
      <c r="BBO143" s="70"/>
      <c r="BBP143" s="70"/>
      <c r="BBQ143" s="70"/>
      <c r="BBR143" s="70"/>
      <c r="BBS143" s="70"/>
      <c r="BBT143" s="70"/>
      <c r="BBU143" s="70"/>
      <c r="BBV143" s="70"/>
      <c r="BBW143" s="70"/>
      <c r="BBX143" s="70"/>
      <c r="BBY143" s="70"/>
      <c r="BBZ143" s="70"/>
      <c r="BCA143" s="70"/>
      <c r="BCB143" s="70"/>
      <c r="BCC143" s="70"/>
      <c r="BCD143" s="70"/>
      <c r="BCE143" s="70"/>
      <c r="BCF143" s="70"/>
      <c r="BCG143" s="70"/>
      <c r="BCH143" s="70"/>
      <c r="BCI143" s="70"/>
      <c r="BCJ143" s="70"/>
      <c r="BCK143" s="70"/>
      <c r="BCL143" s="70"/>
      <c r="BCM143" s="70"/>
      <c r="BCN143" s="70"/>
      <c r="BCO143" s="70"/>
      <c r="BCP143" s="70"/>
      <c r="BCQ143" s="70"/>
      <c r="BCR143" s="70"/>
      <c r="BCS143" s="70"/>
      <c r="BCT143" s="70"/>
      <c r="BCU143" s="70"/>
      <c r="BCV143" s="70"/>
      <c r="BCW143" s="70"/>
    </row>
    <row r="144" spans="1:1453" s="69" customFormat="1" ht="24.75" customHeight="1" x14ac:dyDescent="0.25">
      <c r="A144" s="50">
        <v>21</v>
      </c>
      <c r="B144" s="73" t="s">
        <v>400</v>
      </c>
      <c r="C144" s="73" t="s">
        <v>401</v>
      </c>
      <c r="D144" s="52">
        <v>2911459.2</v>
      </c>
      <c r="E144" s="148"/>
      <c r="F144" s="73" t="s">
        <v>302</v>
      </c>
      <c r="G144" s="71"/>
      <c r="H144" s="71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  <c r="BO144" s="70"/>
      <c r="BP144" s="70"/>
      <c r="BQ144" s="70"/>
      <c r="BR144" s="70"/>
      <c r="BS144" s="70"/>
      <c r="BT144" s="70"/>
      <c r="BU144" s="70"/>
      <c r="BV144" s="70"/>
      <c r="BW144" s="70"/>
      <c r="BX144" s="70"/>
      <c r="BY144" s="70"/>
      <c r="BZ144" s="70"/>
      <c r="CA144" s="70"/>
      <c r="CB144" s="70"/>
      <c r="CC144" s="70"/>
      <c r="CD144" s="70"/>
      <c r="CE144" s="70"/>
      <c r="CF144" s="70"/>
      <c r="CG144" s="70"/>
      <c r="CH144" s="70"/>
      <c r="CI144" s="70"/>
      <c r="CJ144" s="70"/>
      <c r="CK144" s="70"/>
      <c r="CL144" s="70"/>
      <c r="CM144" s="70"/>
      <c r="CN144" s="70"/>
      <c r="CO144" s="70"/>
      <c r="CP144" s="70"/>
      <c r="CQ144" s="70"/>
      <c r="CR144" s="70"/>
      <c r="CS144" s="70"/>
      <c r="CT144" s="70"/>
      <c r="CU144" s="70"/>
      <c r="CV144" s="70"/>
      <c r="CW144" s="70"/>
      <c r="CX144" s="70"/>
      <c r="CY144" s="70"/>
      <c r="CZ144" s="70"/>
      <c r="DA144" s="70"/>
      <c r="DB144" s="70"/>
      <c r="DC144" s="70"/>
      <c r="DD144" s="70"/>
      <c r="DE144" s="70"/>
      <c r="DF144" s="70"/>
      <c r="DG144" s="70"/>
      <c r="DH144" s="70"/>
      <c r="DI144" s="70"/>
      <c r="DJ144" s="70"/>
      <c r="DK144" s="70"/>
      <c r="DL144" s="70"/>
      <c r="DM144" s="70"/>
      <c r="DN144" s="70"/>
      <c r="DO144" s="70"/>
      <c r="DP144" s="70"/>
      <c r="DQ144" s="70"/>
      <c r="DR144" s="70"/>
      <c r="DS144" s="70"/>
      <c r="DT144" s="70"/>
      <c r="DU144" s="70"/>
      <c r="DV144" s="70"/>
      <c r="DW144" s="70"/>
      <c r="DX144" s="70"/>
      <c r="DY144" s="70"/>
      <c r="DZ144" s="70"/>
      <c r="EA144" s="70"/>
      <c r="EB144" s="70"/>
      <c r="EC144" s="70"/>
      <c r="ED144" s="70"/>
      <c r="EE144" s="70"/>
      <c r="EF144" s="70"/>
      <c r="EG144" s="70"/>
      <c r="EH144" s="70"/>
      <c r="EI144" s="70"/>
      <c r="EJ144" s="70"/>
      <c r="EK144" s="70"/>
      <c r="EL144" s="70"/>
      <c r="EM144" s="70"/>
      <c r="EN144" s="70"/>
      <c r="EO144" s="70"/>
      <c r="EP144" s="70"/>
      <c r="EQ144" s="70"/>
      <c r="ER144" s="70"/>
      <c r="ES144" s="70"/>
      <c r="ET144" s="70"/>
      <c r="EU144" s="70"/>
      <c r="EV144" s="70"/>
      <c r="EW144" s="70"/>
      <c r="EX144" s="70"/>
      <c r="EY144" s="70"/>
      <c r="EZ144" s="70"/>
      <c r="FA144" s="70"/>
      <c r="FB144" s="70"/>
      <c r="FC144" s="70"/>
      <c r="FD144" s="70"/>
      <c r="FE144" s="70"/>
      <c r="FF144" s="70"/>
      <c r="FG144" s="70"/>
      <c r="FH144" s="70"/>
      <c r="FI144" s="70"/>
      <c r="FJ144" s="70"/>
      <c r="FK144" s="70"/>
      <c r="FL144" s="70"/>
      <c r="FM144" s="70"/>
      <c r="FN144" s="70"/>
      <c r="FO144" s="70"/>
      <c r="FP144" s="70"/>
      <c r="FQ144" s="70"/>
      <c r="FR144" s="70"/>
      <c r="FS144" s="70"/>
      <c r="FT144" s="70"/>
      <c r="FU144" s="70"/>
      <c r="FV144" s="70"/>
      <c r="FW144" s="70"/>
      <c r="FX144" s="70"/>
      <c r="FY144" s="70"/>
      <c r="FZ144" s="70"/>
      <c r="GA144" s="70"/>
      <c r="GB144" s="70"/>
      <c r="GC144" s="70"/>
      <c r="GD144" s="70"/>
      <c r="GE144" s="70"/>
      <c r="GF144" s="70"/>
      <c r="GG144" s="70"/>
      <c r="GH144" s="70"/>
      <c r="GI144" s="70"/>
      <c r="GJ144" s="70"/>
      <c r="GK144" s="70"/>
      <c r="GL144" s="70"/>
      <c r="GM144" s="70"/>
      <c r="GN144" s="70"/>
      <c r="GO144" s="70"/>
      <c r="GP144" s="70"/>
      <c r="GQ144" s="70"/>
      <c r="GR144" s="70"/>
      <c r="GS144" s="70"/>
      <c r="GT144" s="70"/>
      <c r="GU144" s="70"/>
      <c r="GV144" s="70"/>
      <c r="GW144" s="70"/>
      <c r="GX144" s="70"/>
      <c r="GY144" s="70"/>
      <c r="GZ144" s="70"/>
      <c r="HA144" s="70"/>
      <c r="HB144" s="70"/>
      <c r="HC144" s="70"/>
      <c r="HD144" s="70"/>
      <c r="HE144" s="70"/>
      <c r="HF144" s="70"/>
      <c r="HG144" s="70"/>
      <c r="HH144" s="70"/>
      <c r="HI144" s="70"/>
      <c r="HJ144" s="70"/>
      <c r="HK144" s="70"/>
      <c r="HL144" s="70"/>
      <c r="HM144" s="70"/>
      <c r="HN144" s="70"/>
      <c r="HO144" s="70"/>
      <c r="HP144" s="70"/>
      <c r="HQ144" s="70"/>
      <c r="HR144" s="70"/>
      <c r="HS144" s="70"/>
      <c r="HT144" s="70"/>
      <c r="HU144" s="70"/>
      <c r="HV144" s="70"/>
      <c r="HW144" s="70"/>
      <c r="HX144" s="70"/>
      <c r="HY144" s="70"/>
      <c r="HZ144" s="70"/>
      <c r="IA144" s="70"/>
      <c r="IB144" s="70"/>
      <c r="IC144" s="70"/>
      <c r="ID144" s="70"/>
      <c r="IE144" s="70"/>
      <c r="IF144" s="70"/>
      <c r="IG144" s="70"/>
      <c r="IH144" s="70"/>
      <c r="II144" s="70"/>
      <c r="IJ144" s="70"/>
      <c r="IK144" s="70"/>
      <c r="IL144" s="70"/>
      <c r="IM144" s="70"/>
      <c r="IN144" s="70"/>
      <c r="IO144" s="70"/>
      <c r="IP144" s="70"/>
      <c r="IQ144" s="70"/>
      <c r="IR144" s="70"/>
      <c r="IS144" s="70"/>
      <c r="IT144" s="70"/>
      <c r="IU144" s="70"/>
      <c r="IV144" s="70"/>
      <c r="IW144" s="70"/>
      <c r="IX144" s="70"/>
      <c r="IY144" s="70"/>
      <c r="IZ144" s="70"/>
      <c r="JA144" s="70"/>
      <c r="JB144" s="70"/>
      <c r="JC144" s="70"/>
      <c r="JD144" s="70"/>
      <c r="JE144" s="70"/>
      <c r="JF144" s="70"/>
      <c r="JG144" s="70"/>
      <c r="JH144" s="70"/>
      <c r="JI144" s="70"/>
      <c r="JJ144" s="70"/>
      <c r="JK144" s="70"/>
      <c r="JL144" s="70"/>
      <c r="JM144" s="70"/>
      <c r="JN144" s="70"/>
      <c r="JO144" s="70"/>
      <c r="JP144" s="70"/>
      <c r="JQ144" s="70"/>
      <c r="JR144" s="70"/>
      <c r="JS144" s="70"/>
      <c r="JT144" s="70"/>
      <c r="JU144" s="70"/>
      <c r="JV144" s="70"/>
      <c r="JW144" s="70"/>
      <c r="JX144" s="70"/>
      <c r="JY144" s="70"/>
      <c r="JZ144" s="70"/>
      <c r="KA144" s="70"/>
      <c r="KB144" s="70"/>
      <c r="KC144" s="70"/>
      <c r="KD144" s="70"/>
      <c r="KE144" s="70"/>
      <c r="KF144" s="70"/>
      <c r="KG144" s="70"/>
      <c r="KH144" s="70"/>
      <c r="KI144" s="70"/>
      <c r="KJ144" s="70"/>
      <c r="KK144" s="70"/>
      <c r="KL144" s="70"/>
      <c r="KM144" s="70"/>
      <c r="KN144" s="70"/>
      <c r="KO144" s="70"/>
      <c r="KP144" s="70"/>
      <c r="KQ144" s="70"/>
      <c r="KR144" s="70"/>
      <c r="KS144" s="70"/>
      <c r="KT144" s="70"/>
      <c r="KU144" s="70"/>
      <c r="KV144" s="70"/>
      <c r="KW144" s="70"/>
      <c r="KX144" s="70"/>
      <c r="KY144" s="70"/>
      <c r="KZ144" s="70"/>
      <c r="LA144" s="70"/>
      <c r="LB144" s="70"/>
      <c r="LC144" s="70"/>
      <c r="LD144" s="70"/>
      <c r="LE144" s="70"/>
      <c r="LF144" s="70"/>
      <c r="LG144" s="70"/>
      <c r="LH144" s="70"/>
      <c r="LI144" s="70"/>
      <c r="LJ144" s="70"/>
      <c r="LK144" s="70"/>
      <c r="LL144" s="70"/>
      <c r="LM144" s="70"/>
      <c r="LN144" s="70"/>
      <c r="LO144" s="70"/>
      <c r="LP144" s="70"/>
      <c r="LQ144" s="70"/>
      <c r="LR144" s="70"/>
      <c r="LS144" s="70"/>
      <c r="LT144" s="70"/>
      <c r="LU144" s="70"/>
      <c r="LV144" s="70"/>
      <c r="LW144" s="70"/>
      <c r="LX144" s="70"/>
      <c r="LY144" s="70"/>
      <c r="LZ144" s="70"/>
      <c r="MA144" s="70"/>
      <c r="MB144" s="70"/>
      <c r="MC144" s="70"/>
      <c r="MD144" s="70"/>
      <c r="ME144" s="70"/>
      <c r="MF144" s="70"/>
      <c r="MG144" s="70"/>
      <c r="MH144" s="70"/>
      <c r="MI144" s="70"/>
      <c r="MJ144" s="70"/>
      <c r="MK144" s="70"/>
      <c r="ML144" s="70"/>
      <c r="MM144" s="70"/>
      <c r="MN144" s="70"/>
      <c r="MO144" s="70"/>
      <c r="MP144" s="70"/>
      <c r="MQ144" s="70"/>
      <c r="MR144" s="70"/>
      <c r="MS144" s="70"/>
      <c r="MT144" s="70"/>
      <c r="MU144" s="70"/>
      <c r="MV144" s="70"/>
      <c r="MW144" s="70"/>
      <c r="MX144" s="70"/>
      <c r="MY144" s="70"/>
      <c r="MZ144" s="70"/>
      <c r="NA144" s="70"/>
      <c r="NB144" s="70"/>
      <c r="NC144" s="70"/>
      <c r="ND144" s="70"/>
      <c r="NE144" s="70"/>
      <c r="NF144" s="70"/>
      <c r="NG144" s="70"/>
      <c r="NH144" s="70"/>
      <c r="NI144" s="70"/>
      <c r="NJ144" s="70"/>
      <c r="NK144" s="70"/>
      <c r="NL144" s="70"/>
      <c r="NM144" s="70"/>
      <c r="NN144" s="70"/>
      <c r="NO144" s="70"/>
      <c r="NP144" s="70"/>
      <c r="NQ144" s="70"/>
      <c r="NR144" s="70"/>
      <c r="NS144" s="70"/>
      <c r="NT144" s="70"/>
      <c r="NU144" s="70"/>
      <c r="NV144" s="70"/>
      <c r="NW144" s="70"/>
      <c r="NX144" s="70"/>
      <c r="NY144" s="70"/>
      <c r="NZ144" s="70"/>
      <c r="OA144" s="70"/>
      <c r="OB144" s="70"/>
      <c r="OC144" s="70"/>
      <c r="OD144" s="70"/>
      <c r="OE144" s="70"/>
      <c r="OF144" s="70"/>
      <c r="OG144" s="70"/>
      <c r="OH144" s="70"/>
      <c r="OI144" s="70"/>
      <c r="OJ144" s="70"/>
      <c r="OK144" s="70"/>
      <c r="OL144" s="70"/>
      <c r="OM144" s="70"/>
      <c r="ON144" s="70"/>
      <c r="OO144" s="70"/>
      <c r="OP144" s="70"/>
      <c r="OQ144" s="70"/>
      <c r="OR144" s="70"/>
      <c r="OS144" s="70"/>
      <c r="OT144" s="70"/>
      <c r="OU144" s="70"/>
      <c r="OV144" s="70"/>
      <c r="OW144" s="70"/>
      <c r="OX144" s="70"/>
      <c r="OY144" s="70"/>
      <c r="OZ144" s="70"/>
      <c r="PA144" s="70"/>
      <c r="PB144" s="70"/>
      <c r="PC144" s="70"/>
      <c r="PD144" s="70"/>
      <c r="PE144" s="70"/>
      <c r="PF144" s="70"/>
      <c r="PG144" s="70"/>
      <c r="PH144" s="70"/>
      <c r="PI144" s="70"/>
      <c r="PJ144" s="70"/>
      <c r="PK144" s="70"/>
      <c r="PL144" s="70"/>
      <c r="PM144" s="70"/>
      <c r="PN144" s="70"/>
      <c r="PO144" s="70"/>
      <c r="PP144" s="70"/>
      <c r="PQ144" s="70"/>
      <c r="PR144" s="70"/>
      <c r="PS144" s="70"/>
      <c r="PT144" s="70"/>
      <c r="PU144" s="70"/>
      <c r="PV144" s="70"/>
      <c r="PW144" s="70"/>
      <c r="PX144" s="70"/>
      <c r="PY144" s="70"/>
      <c r="PZ144" s="70"/>
      <c r="QA144" s="70"/>
      <c r="QB144" s="70"/>
      <c r="QC144" s="70"/>
      <c r="QD144" s="70"/>
      <c r="QE144" s="70"/>
      <c r="QF144" s="70"/>
      <c r="QG144" s="70"/>
      <c r="QH144" s="70"/>
      <c r="QI144" s="70"/>
      <c r="QJ144" s="70"/>
      <c r="QK144" s="70"/>
      <c r="QL144" s="70"/>
      <c r="QM144" s="70"/>
      <c r="QN144" s="70"/>
      <c r="QO144" s="70"/>
      <c r="QP144" s="70"/>
      <c r="QQ144" s="70"/>
      <c r="QR144" s="70"/>
      <c r="QS144" s="70"/>
      <c r="QT144" s="70"/>
      <c r="QU144" s="70"/>
      <c r="QV144" s="70"/>
      <c r="QW144" s="70"/>
      <c r="QX144" s="70"/>
      <c r="QY144" s="70"/>
      <c r="QZ144" s="70"/>
      <c r="RA144" s="70"/>
      <c r="RB144" s="70"/>
      <c r="RC144" s="70"/>
      <c r="RD144" s="70"/>
      <c r="RE144" s="70"/>
      <c r="RF144" s="70"/>
      <c r="RG144" s="70"/>
      <c r="RH144" s="70"/>
      <c r="RI144" s="70"/>
      <c r="RJ144" s="70"/>
      <c r="RK144" s="70"/>
      <c r="RL144" s="70"/>
      <c r="RM144" s="70"/>
      <c r="RN144" s="70"/>
      <c r="RO144" s="70"/>
      <c r="RP144" s="70"/>
      <c r="RQ144" s="70"/>
      <c r="RR144" s="70"/>
      <c r="RS144" s="70"/>
      <c r="RT144" s="70"/>
      <c r="RU144" s="70"/>
      <c r="RV144" s="70"/>
      <c r="RW144" s="70"/>
      <c r="RX144" s="70"/>
      <c r="RY144" s="70"/>
      <c r="RZ144" s="70"/>
      <c r="SA144" s="70"/>
      <c r="SB144" s="70"/>
      <c r="SC144" s="70"/>
      <c r="SD144" s="70"/>
      <c r="SE144" s="70"/>
      <c r="SF144" s="70"/>
      <c r="SG144" s="70"/>
      <c r="SH144" s="70"/>
      <c r="SI144" s="70"/>
      <c r="SJ144" s="70"/>
      <c r="SK144" s="70"/>
      <c r="SL144" s="70"/>
      <c r="SM144" s="70"/>
      <c r="SN144" s="70"/>
      <c r="SO144" s="70"/>
      <c r="SP144" s="70"/>
      <c r="SQ144" s="70"/>
      <c r="SR144" s="70"/>
      <c r="SS144" s="70"/>
      <c r="ST144" s="70"/>
      <c r="SU144" s="70"/>
      <c r="SV144" s="70"/>
      <c r="SW144" s="70"/>
      <c r="SX144" s="70"/>
      <c r="SY144" s="70"/>
      <c r="SZ144" s="70"/>
      <c r="TA144" s="70"/>
      <c r="TB144" s="70"/>
      <c r="TC144" s="70"/>
      <c r="TD144" s="70"/>
      <c r="TE144" s="70"/>
      <c r="TF144" s="70"/>
      <c r="TG144" s="70"/>
      <c r="TH144" s="70"/>
      <c r="TI144" s="70"/>
      <c r="TJ144" s="70"/>
      <c r="TK144" s="70"/>
      <c r="TL144" s="70"/>
      <c r="TM144" s="70"/>
      <c r="TN144" s="70"/>
      <c r="TO144" s="70"/>
      <c r="TP144" s="70"/>
      <c r="TQ144" s="70"/>
      <c r="TR144" s="70"/>
      <c r="TS144" s="70"/>
      <c r="TT144" s="70"/>
      <c r="TU144" s="70"/>
      <c r="TV144" s="70"/>
      <c r="TW144" s="70"/>
      <c r="TX144" s="70"/>
      <c r="TY144" s="70"/>
      <c r="TZ144" s="70"/>
      <c r="UA144" s="70"/>
      <c r="UB144" s="70"/>
      <c r="UC144" s="70"/>
      <c r="UD144" s="70"/>
      <c r="UE144" s="70"/>
      <c r="UF144" s="70"/>
      <c r="UG144" s="70"/>
      <c r="UH144" s="70"/>
      <c r="UI144" s="70"/>
      <c r="UJ144" s="70"/>
      <c r="UK144" s="70"/>
      <c r="UL144" s="70"/>
      <c r="UM144" s="70"/>
      <c r="UN144" s="70"/>
      <c r="UO144" s="70"/>
      <c r="UP144" s="70"/>
      <c r="UQ144" s="70"/>
      <c r="UR144" s="70"/>
      <c r="US144" s="70"/>
      <c r="UT144" s="70"/>
      <c r="UU144" s="70"/>
      <c r="UV144" s="70"/>
      <c r="UW144" s="70"/>
      <c r="UX144" s="70"/>
      <c r="UY144" s="70"/>
      <c r="UZ144" s="70"/>
      <c r="VA144" s="70"/>
      <c r="VB144" s="70"/>
      <c r="VC144" s="70"/>
      <c r="VD144" s="70"/>
      <c r="VE144" s="70"/>
      <c r="VF144" s="70"/>
      <c r="VG144" s="70"/>
      <c r="VH144" s="70"/>
      <c r="VI144" s="70"/>
      <c r="VJ144" s="70"/>
      <c r="VK144" s="70"/>
      <c r="VL144" s="70"/>
      <c r="VM144" s="70"/>
      <c r="VN144" s="70"/>
      <c r="VO144" s="70"/>
      <c r="VP144" s="70"/>
      <c r="VQ144" s="70"/>
      <c r="VR144" s="70"/>
      <c r="VS144" s="70"/>
      <c r="VT144" s="70"/>
      <c r="VU144" s="70"/>
      <c r="VV144" s="70"/>
      <c r="VW144" s="70"/>
      <c r="VX144" s="70"/>
      <c r="VY144" s="70"/>
      <c r="VZ144" s="70"/>
      <c r="WA144" s="70"/>
      <c r="WB144" s="70"/>
      <c r="WC144" s="70"/>
      <c r="WD144" s="70"/>
      <c r="WE144" s="70"/>
      <c r="WF144" s="70"/>
      <c r="WG144" s="70"/>
      <c r="WH144" s="70"/>
      <c r="WI144" s="70"/>
      <c r="WJ144" s="70"/>
      <c r="WK144" s="70"/>
      <c r="WL144" s="70"/>
      <c r="WM144" s="70"/>
      <c r="WN144" s="70"/>
      <c r="WO144" s="70"/>
      <c r="WP144" s="70"/>
      <c r="WQ144" s="70"/>
      <c r="WR144" s="70"/>
      <c r="WS144" s="70"/>
      <c r="WT144" s="70"/>
      <c r="WU144" s="70"/>
      <c r="WV144" s="70"/>
      <c r="WW144" s="70"/>
      <c r="WX144" s="70"/>
      <c r="WY144" s="70"/>
      <c r="WZ144" s="70"/>
      <c r="XA144" s="70"/>
      <c r="XB144" s="70"/>
      <c r="XC144" s="70"/>
      <c r="XD144" s="70"/>
      <c r="XE144" s="70"/>
      <c r="XF144" s="70"/>
      <c r="XG144" s="70"/>
      <c r="XH144" s="70"/>
      <c r="XI144" s="70"/>
      <c r="XJ144" s="70"/>
      <c r="XK144" s="70"/>
      <c r="XL144" s="70"/>
      <c r="XM144" s="70"/>
      <c r="XN144" s="70"/>
      <c r="XO144" s="70"/>
      <c r="XP144" s="70"/>
      <c r="XQ144" s="70"/>
      <c r="XR144" s="70"/>
      <c r="XS144" s="70"/>
      <c r="XT144" s="70"/>
      <c r="XU144" s="70"/>
      <c r="XV144" s="70"/>
      <c r="XW144" s="70"/>
      <c r="XX144" s="70"/>
      <c r="XY144" s="70"/>
      <c r="XZ144" s="70"/>
      <c r="YA144" s="70"/>
      <c r="YB144" s="70"/>
      <c r="YC144" s="70"/>
      <c r="YD144" s="70"/>
      <c r="YE144" s="70"/>
      <c r="YF144" s="70"/>
      <c r="YG144" s="70"/>
      <c r="YH144" s="70"/>
      <c r="YI144" s="70"/>
      <c r="YJ144" s="70"/>
      <c r="YK144" s="70"/>
      <c r="YL144" s="70"/>
      <c r="YM144" s="70"/>
      <c r="YN144" s="70"/>
      <c r="YO144" s="70"/>
      <c r="YP144" s="70"/>
      <c r="YQ144" s="70"/>
      <c r="YR144" s="70"/>
      <c r="YS144" s="70"/>
      <c r="YT144" s="70"/>
      <c r="YU144" s="70"/>
      <c r="YV144" s="70"/>
      <c r="YW144" s="70"/>
      <c r="YX144" s="70"/>
      <c r="YY144" s="70"/>
      <c r="YZ144" s="70"/>
      <c r="ZA144" s="70"/>
      <c r="ZB144" s="70"/>
      <c r="ZC144" s="70"/>
      <c r="ZD144" s="70"/>
      <c r="ZE144" s="70"/>
      <c r="ZF144" s="70"/>
      <c r="ZG144" s="70"/>
      <c r="ZH144" s="70"/>
      <c r="ZI144" s="70"/>
      <c r="ZJ144" s="70"/>
      <c r="ZK144" s="70"/>
      <c r="ZL144" s="70"/>
      <c r="ZM144" s="70"/>
      <c r="ZN144" s="70"/>
      <c r="ZO144" s="70"/>
      <c r="ZP144" s="70"/>
      <c r="ZQ144" s="70"/>
      <c r="ZR144" s="70"/>
      <c r="ZS144" s="70"/>
      <c r="ZT144" s="70"/>
      <c r="ZU144" s="70"/>
      <c r="ZV144" s="70"/>
      <c r="ZW144" s="70"/>
      <c r="ZX144" s="70"/>
      <c r="ZY144" s="70"/>
      <c r="ZZ144" s="70"/>
      <c r="AAA144" s="70"/>
      <c r="AAB144" s="70"/>
      <c r="AAC144" s="70"/>
      <c r="AAD144" s="70"/>
      <c r="AAE144" s="70"/>
      <c r="AAF144" s="70"/>
      <c r="AAG144" s="70"/>
      <c r="AAH144" s="70"/>
      <c r="AAI144" s="70"/>
      <c r="AAJ144" s="70"/>
      <c r="AAK144" s="70"/>
      <c r="AAL144" s="70"/>
      <c r="AAM144" s="70"/>
      <c r="AAN144" s="70"/>
      <c r="AAO144" s="70"/>
      <c r="AAP144" s="70"/>
      <c r="AAQ144" s="70"/>
      <c r="AAR144" s="70"/>
      <c r="AAS144" s="70"/>
      <c r="AAT144" s="70"/>
      <c r="AAU144" s="70"/>
      <c r="AAV144" s="70"/>
      <c r="AAW144" s="70"/>
      <c r="AAX144" s="70"/>
      <c r="AAY144" s="70"/>
      <c r="AAZ144" s="70"/>
      <c r="ABA144" s="70"/>
      <c r="ABB144" s="70"/>
      <c r="ABC144" s="70"/>
      <c r="ABD144" s="70"/>
      <c r="ABE144" s="70"/>
      <c r="ABF144" s="70"/>
      <c r="ABG144" s="70"/>
      <c r="ABH144" s="70"/>
      <c r="ABI144" s="70"/>
      <c r="ABJ144" s="70"/>
      <c r="ABK144" s="70"/>
      <c r="ABL144" s="70"/>
      <c r="ABM144" s="70"/>
      <c r="ABN144" s="70"/>
      <c r="ABO144" s="70"/>
      <c r="ABP144" s="70"/>
      <c r="ABQ144" s="70"/>
      <c r="ABR144" s="70"/>
      <c r="ABS144" s="70"/>
      <c r="ABT144" s="70"/>
      <c r="ABU144" s="70"/>
      <c r="ABV144" s="70"/>
      <c r="ABW144" s="70"/>
      <c r="ABX144" s="70"/>
      <c r="ABY144" s="70"/>
      <c r="ABZ144" s="70"/>
      <c r="ACA144" s="70"/>
      <c r="ACB144" s="70"/>
      <c r="ACC144" s="70"/>
      <c r="ACD144" s="70"/>
      <c r="ACE144" s="70"/>
      <c r="ACF144" s="70"/>
      <c r="ACG144" s="70"/>
      <c r="ACH144" s="70"/>
      <c r="ACI144" s="70"/>
      <c r="ACJ144" s="70"/>
      <c r="ACK144" s="70"/>
      <c r="ACL144" s="70"/>
      <c r="ACM144" s="70"/>
      <c r="ACN144" s="70"/>
      <c r="ACO144" s="70"/>
      <c r="ACP144" s="70"/>
      <c r="ACQ144" s="70"/>
      <c r="ACR144" s="70"/>
      <c r="ACS144" s="70"/>
      <c r="ACT144" s="70"/>
      <c r="ACU144" s="70"/>
      <c r="ACV144" s="70"/>
      <c r="ACW144" s="70"/>
      <c r="ACX144" s="70"/>
      <c r="ACY144" s="70"/>
      <c r="ACZ144" s="70"/>
      <c r="ADA144" s="70"/>
      <c r="ADB144" s="70"/>
      <c r="ADC144" s="70"/>
      <c r="ADD144" s="70"/>
      <c r="ADE144" s="70"/>
      <c r="ADF144" s="70"/>
      <c r="ADG144" s="70"/>
      <c r="ADH144" s="70"/>
      <c r="ADI144" s="70"/>
      <c r="ADJ144" s="70"/>
      <c r="ADK144" s="70"/>
      <c r="ADL144" s="70"/>
      <c r="ADM144" s="70"/>
      <c r="ADN144" s="70"/>
      <c r="ADO144" s="70"/>
      <c r="ADP144" s="70"/>
      <c r="ADQ144" s="70"/>
      <c r="ADR144" s="70"/>
      <c r="ADS144" s="70"/>
      <c r="ADT144" s="70"/>
      <c r="ADU144" s="70"/>
      <c r="ADV144" s="70"/>
      <c r="ADW144" s="70"/>
      <c r="ADX144" s="70"/>
      <c r="ADY144" s="70"/>
      <c r="ADZ144" s="70"/>
      <c r="AEA144" s="70"/>
      <c r="AEB144" s="70"/>
      <c r="AEC144" s="70"/>
      <c r="AED144" s="70"/>
      <c r="AEE144" s="70"/>
      <c r="AEF144" s="70"/>
      <c r="AEG144" s="70"/>
      <c r="AEH144" s="70"/>
      <c r="AEI144" s="70"/>
      <c r="AEJ144" s="70"/>
      <c r="AEK144" s="70"/>
      <c r="AEL144" s="70"/>
      <c r="AEM144" s="70"/>
      <c r="AEN144" s="70"/>
      <c r="AEO144" s="70"/>
      <c r="AEP144" s="70"/>
      <c r="AEQ144" s="70"/>
      <c r="AER144" s="70"/>
      <c r="AES144" s="70"/>
      <c r="AET144" s="70"/>
      <c r="AEU144" s="70"/>
      <c r="AEV144" s="70"/>
      <c r="AEW144" s="70"/>
      <c r="AEX144" s="70"/>
      <c r="AEY144" s="70"/>
      <c r="AEZ144" s="70"/>
      <c r="AFA144" s="70"/>
      <c r="AFB144" s="70"/>
      <c r="AFC144" s="70"/>
      <c r="AFD144" s="70"/>
      <c r="AFE144" s="70"/>
      <c r="AFF144" s="70"/>
      <c r="AFG144" s="70"/>
      <c r="AFH144" s="70"/>
      <c r="AFI144" s="70"/>
      <c r="AFJ144" s="70"/>
      <c r="AFK144" s="70"/>
      <c r="AFL144" s="70"/>
      <c r="AFM144" s="70"/>
      <c r="AFN144" s="70"/>
      <c r="AFO144" s="70"/>
      <c r="AFP144" s="70"/>
      <c r="AFQ144" s="70"/>
      <c r="AFR144" s="70"/>
      <c r="AFS144" s="70"/>
      <c r="AFT144" s="70"/>
      <c r="AFU144" s="70"/>
      <c r="AFV144" s="70"/>
      <c r="AFW144" s="70"/>
      <c r="AFX144" s="70"/>
      <c r="AFY144" s="70"/>
      <c r="AFZ144" s="70"/>
      <c r="AGA144" s="70"/>
      <c r="AGB144" s="70"/>
      <c r="AGC144" s="70"/>
      <c r="AGD144" s="70"/>
      <c r="AGE144" s="70"/>
      <c r="AGF144" s="70"/>
      <c r="AGG144" s="70"/>
      <c r="AGH144" s="70"/>
      <c r="AGI144" s="70"/>
      <c r="AGJ144" s="70"/>
      <c r="AGK144" s="70"/>
      <c r="AGL144" s="70"/>
      <c r="AGM144" s="70"/>
      <c r="AGN144" s="70"/>
      <c r="AGO144" s="70"/>
      <c r="AGP144" s="70"/>
      <c r="AGQ144" s="70"/>
      <c r="AGR144" s="70"/>
      <c r="AGS144" s="70"/>
      <c r="AGT144" s="70"/>
      <c r="AGU144" s="70"/>
      <c r="AGV144" s="70"/>
      <c r="AGW144" s="70"/>
      <c r="AGX144" s="70"/>
      <c r="AGY144" s="70"/>
      <c r="AGZ144" s="70"/>
      <c r="AHA144" s="70"/>
      <c r="AHB144" s="70"/>
      <c r="AHC144" s="70"/>
      <c r="AHD144" s="70"/>
      <c r="AHE144" s="70"/>
      <c r="AHF144" s="70"/>
      <c r="AHG144" s="70"/>
      <c r="AHH144" s="70"/>
      <c r="AHI144" s="70"/>
      <c r="AHJ144" s="70"/>
      <c r="AHK144" s="70"/>
      <c r="AHL144" s="70"/>
      <c r="AHM144" s="70"/>
      <c r="AHN144" s="70"/>
      <c r="AHO144" s="70"/>
      <c r="AHP144" s="70"/>
      <c r="AHQ144" s="70"/>
      <c r="AHR144" s="70"/>
      <c r="AHS144" s="70"/>
      <c r="AHT144" s="70"/>
      <c r="AHU144" s="70"/>
      <c r="AHV144" s="70"/>
      <c r="AHW144" s="70"/>
      <c r="AHX144" s="70"/>
      <c r="AHY144" s="70"/>
      <c r="AHZ144" s="70"/>
      <c r="AIA144" s="70"/>
      <c r="AIB144" s="70"/>
      <c r="AIC144" s="70"/>
      <c r="AID144" s="70"/>
      <c r="AIE144" s="70"/>
      <c r="AIF144" s="70"/>
      <c r="AIG144" s="70"/>
      <c r="AIH144" s="70"/>
      <c r="AII144" s="70"/>
      <c r="AIJ144" s="70"/>
      <c r="AIK144" s="70"/>
      <c r="AIL144" s="70"/>
      <c r="AIM144" s="70"/>
      <c r="AIN144" s="70"/>
      <c r="AIO144" s="70"/>
      <c r="AIP144" s="70"/>
      <c r="AIQ144" s="70"/>
      <c r="AIR144" s="70"/>
      <c r="AIS144" s="70"/>
      <c r="AIT144" s="70"/>
      <c r="AIU144" s="70"/>
      <c r="AIV144" s="70"/>
      <c r="AIW144" s="70"/>
      <c r="AIX144" s="70"/>
      <c r="AIY144" s="70"/>
      <c r="AIZ144" s="70"/>
      <c r="AJA144" s="70"/>
      <c r="AJB144" s="70"/>
      <c r="AJC144" s="70"/>
      <c r="AJD144" s="70"/>
      <c r="AJE144" s="70"/>
      <c r="AJF144" s="70"/>
      <c r="AJG144" s="70"/>
      <c r="AJH144" s="70"/>
      <c r="AJI144" s="70"/>
      <c r="AJJ144" s="70"/>
      <c r="AJK144" s="70"/>
      <c r="AJL144" s="70"/>
      <c r="AJM144" s="70"/>
      <c r="AJN144" s="70"/>
      <c r="AJO144" s="70"/>
      <c r="AJP144" s="70"/>
      <c r="AJQ144" s="70"/>
      <c r="AJR144" s="70"/>
      <c r="AJS144" s="70"/>
      <c r="AJT144" s="70"/>
      <c r="AJU144" s="70"/>
      <c r="AJV144" s="70"/>
      <c r="AJW144" s="70"/>
      <c r="AJX144" s="70"/>
      <c r="AJY144" s="70"/>
      <c r="AJZ144" s="70"/>
      <c r="AKA144" s="70"/>
      <c r="AKB144" s="70"/>
      <c r="AKC144" s="70"/>
      <c r="AKD144" s="70"/>
      <c r="AKE144" s="70"/>
      <c r="AKF144" s="70"/>
      <c r="AKG144" s="70"/>
      <c r="AKH144" s="70"/>
      <c r="AKI144" s="70"/>
      <c r="AKJ144" s="70"/>
      <c r="AKK144" s="70"/>
      <c r="AKL144" s="70"/>
      <c r="AKM144" s="70"/>
      <c r="AKN144" s="70"/>
      <c r="AKO144" s="70"/>
      <c r="AKP144" s="70"/>
      <c r="AKQ144" s="70"/>
      <c r="AKR144" s="70"/>
      <c r="AKS144" s="70"/>
      <c r="AKT144" s="70"/>
      <c r="AKU144" s="70"/>
      <c r="AKV144" s="70"/>
      <c r="AKW144" s="70"/>
      <c r="AKX144" s="70"/>
      <c r="AKY144" s="70"/>
      <c r="AKZ144" s="70"/>
      <c r="ALA144" s="70"/>
      <c r="ALB144" s="70"/>
      <c r="ALC144" s="70"/>
      <c r="ALD144" s="70"/>
      <c r="ALE144" s="70"/>
      <c r="ALF144" s="70"/>
      <c r="ALG144" s="70"/>
      <c r="ALH144" s="70"/>
      <c r="ALI144" s="70"/>
      <c r="ALJ144" s="70"/>
      <c r="ALK144" s="70"/>
      <c r="ALL144" s="70"/>
      <c r="ALM144" s="70"/>
      <c r="ALN144" s="70"/>
      <c r="ALO144" s="70"/>
      <c r="ALP144" s="70"/>
      <c r="ALQ144" s="70"/>
      <c r="ALR144" s="70"/>
      <c r="ALS144" s="70"/>
      <c r="ALT144" s="70"/>
      <c r="ALU144" s="70"/>
      <c r="ALV144" s="70"/>
      <c r="ALW144" s="70"/>
      <c r="ALX144" s="70"/>
      <c r="ALY144" s="70"/>
      <c r="ALZ144" s="70"/>
      <c r="AMA144" s="70"/>
      <c r="AMB144" s="70"/>
      <c r="AMC144" s="70"/>
      <c r="AMD144" s="70"/>
      <c r="AME144" s="70"/>
      <c r="AMF144" s="70"/>
      <c r="AMG144" s="70"/>
      <c r="AMH144" s="70"/>
      <c r="AMI144" s="70"/>
      <c r="AMJ144" s="70"/>
      <c r="AMK144" s="70"/>
      <c r="AML144" s="70"/>
      <c r="AMM144" s="70"/>
      <c r="AMN144" s="70"/>
      <c r="AMO144" s="70"/>
      <c r="AMP144" s="70"/>
      <c r="AMQ144" s="70"/>
      <c r="AMR144" s="70"/>
      <c r="AMS144" s="70"/>
      <c r="AMT144" s="70"/>
      <c r="AMU144" s="70"/>
      <c r="AMV144" s="70"/>
      <c r="AMW144" s="70"/>
      <c r="AMX144" s="70"/>
      <c r="AMY144" s="70"/>
      <c r="AMZ144" s="70"/>
      <c r="ANA144" s="70"/>
      <c r="ANB144" s="70"/>
      <c r="ANC144" s="70"/>
      <c r="AND144" s="70"/>
      <c r="ANE144" s="70"/>
      <c r="ANF144" s="70"/>
      <c r="ANG144" s="70"/>
      <c r="ANH144" s="70"/>
      <c r="ANI144" s="70"/>
      <c r="ANJ144" s="70"/>
      <c r="ANK144" s="70"/>
      <c r="ANL144" s="70"/>
      <c r="ANM144" s="70"/>
      <c r="ANN144" s="70"/>
      <c r="ANO144" s="70"/>
      <c r="ANP144" s="70"/>
      <c r="ANQ144" s="70"/>
      <c r="ANR144" s="70"/>
      <c r="ANS144" s="70"/>
      <c r="ANT144" s="70"/>
      <c r="ANU144" s="70"/>
      <c r="ANV144" s="70"/>
      <c r="ANW144" s="70"/>
      <c r="ANX144" s="70"/>
      <c r="ANY144" s="70"/>
      <c r="ANZ144" s="70"/>
      <c r="AOA144" s="70"/>
      <c r="AOB144" s="70"/>
      <c r="AOC144" s="70"/>
      <c r="AOD144" s="70"/>
      <c r="AOE144" s="70"/>
      <c r="AOF144" s="70"/>
      <c r="AOG144" s="70"/>
      <c r="AOH144" s="70"/>
      <c r="AOI144" s="70"/>
      <c r="AOJ144" s="70"/>
      <c r="AOK144" s="70"/>
      <c r="AOL144" s="70"/>
      <c r="AOM144" s="70"/>
      <c r="AON144" s="70"/>
      <c r="AOO144" s="70"/>
      <c r="AOP144" s="70"/>
      <c r="AOQ144" s="70"/>
      <c r="AOR144" s="70"/>
      <c r="AOS144" s="70"/>
      <c r="AOT144" s="70"/>
      <c r="AOU144" s="70"/>
      <c r="AOV144" s="70"/>
      <c r="AOW144" s="70"/>
      <c r="AOX144" s="70"/>
      <c r="AOY144" s="70"/>
      <c r="AOZ144" s="70"/>
      <c r="APA144" s="70"/>
      <c r="APB144" s="70"/>
      <c r="APC144" s="70"/>
      <c r="APD144" s="70"/>
      <c r="APE144" s="70"/>
      <c r="APF144" s="70"/>
      <c r="APG144" s="70"/>
      <c r="APH144" s="70"/>
      <c r="API144" s="70"/>
      <c r="APJ144" s="70"/>
      <c r="APK144" s="70"/>
      <c r="APL144" s="70"/>
      <c r="APM144" s="70"/>
      <c r="APN144" s="70"/>
      <c r="APO144" s="70"/>
      <c r="APP144" s="70"/>
      <c r="APQ144" s="70"/>
      <c r="APR144" s="70"/>
      <c r="APS144" s="70"/>
      <c r="APT144" s="70"/>
      <c r="APU144" s="70"/>
      <c r="APV144" s="70"/>
      <c r="APW144" s="70"/>
      <c r="APX144" s="70"/>
      <c r="APY144" s="70"/>
      <c r="APZ144" s="70"/>
      <c r="AQA144" s="70"/>
      <c r="AQB144" s="70"/>
      <c r="AQC144" s="70"/>
      <c r="AQD144" s="70"/>
      <c r="AQE144" s="70"/>
      <c r="AQF144" s="70"/>
      <c r="AQG144" s="70"/>
      <c r="AQH144" s="70"/>
      <c r="AQI144" s="70"/>
      <c r="AQJ144" s="70"/>
      <c r="AQK144" s="70"/>
      <c r="AQL144" s="70"/>
      <c r="AQM144" s="70"/>
      <c r="AQN144" s="70"/>
      <c r="AQO144" s="70"/>
      <c r="AQP144" s="70"/>
      <c r="AQQ144" s="70"/>
      <c r="AQR144" s="70"/>
      <c r="AQS144" s="70"/>
      <c r="AQT144" s="70"/>
      <c r="AQU144" s="70"/>
      <c r="AQV144" s="70"/>
      <c r="AQW144" s="70"/>
      <c r="AQX144" s="70"/>
      <c r="AQY144" s="70"/>
      <c r="AQZ144" s="70"/>
      <c r="ARA144" s="70"/>
      <c r="ARB144" s="70"/>
      <c r="ARC144" s="70"/>
      <c r="ARD144" s="70"/>
      <c r="ARE144" s="70"/>
      <c r="ARF144" s="70"/>
      <c r="ARG144" s="70"/>
      <c r="ARH144" s="70"/>
      <c r="ARI144" s="70"/>
      <c r="ARJ144" s="70"/>
      <c r="ARK144" s="70"/>
      <c r="ARL144" s="70"/>
      <c r="ARM144" s="70"/>
      <c r="ARN144" s="70"/>
      <c r="ARO144" s="70"/>
      <c r="ARP144" s="70"/>
      <c r="ARQ144" s="70"/>
      <c r="ARR144" s="70"/>
      <c r="ARS144" s="70"/>
      <c r="ART144" s="70"/>
      <c r="ARU144" s="70"/>
      <c r="ARV144" s="70"/>
      <c r="ARW144" s="70"/>
      <c r="ARX144" s="70"/>
      <c r="ARY144" s="70"/>
      <c r="ARZ144" s="70"/>
      <c r="ASA144" s="70"/>
      <c r="ASB144" s="70"/>
      <c r="ASC144" s="70"/>
      <c r="ASD144" s="70"/>
      <c r="ASE144" s="70"/>
      <c r="ASF144" s="70"/>
      <c r="ASG144" s="70"/>
      <c r="ASH144" s="70"/>
      <c r="ASI144" s="70"/>
      <c r="ASJ144" s="70"/>
      <c r="ASK144" s="70"/>
      <c r="ASL144" s="70"/>
      <c r="ASM144" s="70"/>
      <c r="ASN144" s="70"/>
      <c r="ASO144" s="70"/>
      <c r="ASP144" s="70"/>
      <c r="ASQ144" s="70"/>
      <c r="ASR144" s="70"/>
      <c r="ASS144" s="70"/>
      <c r="AST144" s="70"/>
      <c r="ASU144" s="70"/>
      <c r="ASV144" s="70"/>
      <c r="ASW144" s="70"/>
      <c r="ASX144" s="70"/>
      <c r="ASY144" s="70"/>
      <c r="ASZ144" s="70"/>
      <c r="ATA144" s="70"/>
      <c r="ATB144" s="70"/>
      <c r="ATC144" s="70"/>
      <c r="ATD144" s="70"/>
      <c r="ATE144" s="70"/>
      <c r="ATF144" s="70"/>
      <c r="ATG144" s="70"/>
      <c r="ATH144" s="70"/>
      <c r="ATI144" s="70"/>
      <c r="ATJ144" s="70"/>
      <c r="ATK144" s="70"/>
      <c r="ATL144" s="70"/>
      <c r="ATM144" s="70"/>
      <c r="ATN144" s="70"/>
      <c r="ATO144" s="70"/>
      <c r="ATP144" s="70"/>
      <c r="ATQ144" s="70"/>
      <c r="ATR144" s="70"/>
      <c r="ATS144" s="70"/>
      <c r="ATT144" s="70"/>
      <c r="ATU144" s="70"/>
      <c r="ATV144" s="70"/>
      <c r="ATW144" s="70"/>
      <c r="ATX144" s="70"/>
      <c r="ATY144" s="70"/>
      <c r="ATZ144" s="70"/>
      <c r="AUA144" s="70"/>
      <c r="AUB144" s="70"/>
      <c r="AUC144" s="70"/>
      <c r="AUD144" s="70"/>
      <c r="AUE144" s="70"/>
      <c r="AUF144" s="70"/>
      <c r="AUG144" s="70"/>
      <c r="AUH144" s="70"/>
      <c r="AUI144" s="70"/>
      <c r="AUJ144" s="70"/>
      <c r="AUK144" s="70"/>
      <c r="AUL144" s="70"/>
      <c r="AUM144" s="70"/>
      <c r="AUN144" s="70"/>
      <c r="AUO144" s="70"/>
      <c r="AUP144" s="70"/>
      <c r="AUQ144" s="70"/>
      <c r="AUR144" s="70"/>
      <c r="AUS144" s="70"/>
      <c r="AUT144" s="70"/>
      <c r="AUU144" s="70"/>
      <c r="AUV144" s="70"/>
      <c r="AUW144" s="70"/>
      <c r="AUX144" s="70"/>
      <c r="AUY144" s="70"/>
      <c r="AUZ144" s="70"/>
      <c r="AVA144" s="70"/>
      <c r="AVB144" s="70"/>
      <c r="AVC144" s="70"/>
      <c r="AVD144" s="70"/>
      <c r="AVE144" s="70"/>
      <c r="AVF144" s="70"/>
      <c r="AVG144" s="70"/>
      <c r="AVH144" s="70"/>
      <c r="AVI144" s="70"/>
      <c r="AVJ144" s="70"/>
      <c r="AVK144" s="70"/>
      <c r="AVL144" s="70"/>
      <c r="AVM144" s="70"/>
      <c r="AVN144" s="70"/>
      <c r="AVO144" s="70"/>
      <c r="AVP144" s="70"/>
      <c r="AVQ144" s="70"/>
      <c r="AVR144" s="70"/>
      <c r="AVS144" s="70"/>
      <c r="AVT144" s="70"/>
      <c r="AVU144" s="70"/>
      <c r="AVV144" s="70"/>
      <c r="AVW144" s="70"/>
      <c r="AVX144" s="70"/>
      <c r="AVY144" s="70"/>
      <c r="AVZ144" s="70"/>
      <c r="AWA144" s="70"/>
      <c r="AWB144" s="70"/>
      <c r="AWC144" s="70"/>
      <c r="AWD144" s="70"/>
      <c r="AWE144" s="70"/>
      <c r="AWF144" s="70"/>
      <c r="AWG144" s="70"/>
      <c r="AWH144" s="70"/>
      <c r="AWI144" s="70"/>
      <c r="AWJ144" s="70"/>
      <c r="AWK144" s="70"/>
      <c r="AWL144" s="70"/>
      <c r="AWM144" s="70"/>
      <c r="AWN144" s="70"/>
      <c r="AWO144" s="70"/>
      <c r="AWP144" s="70"/>
      <c r="AWQ144" s="70"/>
      <c r="AWR144" s="70"/>
      <c r="AWS144" s="70"/>
      <c r="AWT144" s="70"/>
      <c r="AWU144" s="70"/>
      <c r="AWV144" s="70"/>
      <c r="AWW144" s="70"/>
      <c r="AWX144" s="70"/>
      <c r="AWY144" s="70"/>
      <c r="AWZ144" s="70"/>
      <c r="AXA144" s="70"/>
      <c r="AXB144" s="70"/>
      <c r="AXC144" s="70"/>
      <c r="AXD144" s="70"/>
      <c r="AXE144" s="70"/>
      <c r="AXF144" s="70"/>
      <c r="AXG144" s="70"/>
      <c r="AXH144" s="70"/>
      <c r="AXI144" s="70"/>
      <c r="AXJ144" s="70"/>
      <c r="AXK144" s="70"/>
      <c r="AXL144" s="70"/>
      <c r="AXM144" s="70"/>
      <c r="AXN144" s="70"/>
      <c r="AXO144" s="70"/>
      <c r="AXP144" s="70"/>
      <c r="AXQ144" s="70"/>
      <c r="AXR144" s="70"/>
      <c r="AXS144" s="70"/>
      <c r="AXT144" s="70"/>
      <c r="AXU144" s="70"/>
      <c r="AXV144" s="70"/>
      <c r="AXW144" s="70"/>
      <c r="AXX144" s="70"/>
      <c r="AXY144" s="70"/>
      <c r="AXZ144" s="70"/>
      <c r="AYA144" s="70"/>
      <c r="AYB144" s="70"/>
      <c r="AYC144" s="70"/>
      <c r="AYD144" s="70"/>
      <c r="AYE144" s="70"/>
      <c r="AYF144" s="70"/>
      <c r="AYG144" s="70"/>
      <c r="AYH144" s="70"/>
      <c r="AYI144" s="70"/>
      <c r="AYJ144" s="70"/>
      <c r="AYK144" s="70"/>
      <c r="AYL144" s="70"/>
      <c r="AYM144" s="70"/>
      <c r="AYN144" s="70"/>
      <c r="AYO144" s="70"/>
      <c r="AYP144" s="70"/>
      <c r="AYQ144" s="70"/>
      <c r="AYR144" s="70"/>
      <c r="AYS144" s="70"/>
      <c r="AYT144" s="70"/>
      <c r="AYU144" s="70"/>
      <c r="AYV144" s="70"/>
      <c r="AYW144" s="70"/>
      <c r="AYX144" s="70"/>
      <c r="AYY144" s="70"/>
      <c r="AYZ144" s="70"/>
      <c r="AZA144" s="70"/>
      <c r="AZB144" s="70"/>
      <c r="AZC144" s="70"/>
      <c r="AZD144" s="70"/>
      <c r="AZE144" s="70"/>
      <c r="AZF144" s="70"/>
      <c r="AZG144" s="70"/>
      <c r="AZH144" s="70"/>
      <c r="AZI144" s="70"/>
      <c r="AZJ144" s="70"/>
      <c r="AZK144" s="70"/>
      <c r="AZL144" s="70"/>
      <c r="AZM144" s="70"/>
      <c r="AZN144" s="70"/>
      <c r="AZO144" s="70"/>
      <c r="AZP144" s="70"/>
      <c r="AZQ144" s="70"/>
      <c r="AZR144" s="70"/>
      <c r="AZS144" s="70"/>
      <c r="AZT144" s="70"/>
      <c r="AZU144" s="70"/>
      <c r="AZV144" s="70"/>
      <c r="AZW144" s="70"/>
      <c r="AZX144" s="70"/>
      <c r="AZY144" s="70"/>
      <c r="AZZ144" s="70"/>
      <c r="BAA144" s="70"/>
      <c r="BAB144" s="70"/>
      <c r="BAC144" s="70"/>
      <c r="BAD144" s="70"/>
      <c r="BAE144" s="70"/>
      <c r="BAF144" s="70"/>
      <c r="BAG144" s="70"/>
      <c r="BAH144" s="70"/>
      <c r="BAI144" s="70"/>
      <c r="BAJ144" s="70"/>
      <c r="BAK144" s="70"/>
      <c r="BAL144" s="70"/>
      <c r="BAM144" s="70"/>
      <c r="BAN144" s="70"/>
      <c r="BAO144" s="70"/>
      <c r="BAP144" s="70"/>
      <c r="BAQ144" s="70"/>
      <c r="BAR144" s="70"/>
      <c r="BAS144" s="70"/>
      <c r="BAT144" s="70"/>
      <c r="BAU144" s="70"/>
      <c r="BAV144" s="70"/>
      <c r="BAW144" s="70"/>
      <c r="BAX144" s="70"/>
      <c r="BAY144" s="70"/>
      <c r="BAZ144" s="70"/>
      <c r="BBA144" s="70"/>
      <c r="BBB144" s="70"/>
      <c r="BBC144" s="70"/>
      <c r="BBD144" s="70"/>
      <c r="BBE144" s="70"/>
      <c r="BBF144" s="70"/>
      <c r="BBG144" s="70"/>
      <c r="BBH144" s="70"/>
      <c r="BBI144" s="70"/>
      <c r="BBJ144" s="70"/>
      <c r="BBK144" s="70"/>
      <c r="BBL144" s="70"/>
      <c r="BBM144" s="70"/>
      <c r="BBN144" s="70"/>
      <c r="BBO144" s="70"/>
      <c r="BBP144" s="70"/>
      <c r="BBQ144" s="70"/>
      <c r="BBR144" s="70"/>
      <c r="BBS144" s="70"/>
      <c r="BBT144" s="70"/>
      <c r="BBU144" s="70"/>
      <c r="BBV144" s="70"/>
      <c r="BBW144" s="70"/>
      <c r="BBX144" s="70"/>
      <c r="BBY144" s="70"/>
      <c r="BBZ144" s="70"/>
      <c r="BCA144" s="70"/>
      <c r="BCB144" s="70"/>
      <c r="BCC144" s="70"/>
      <c r="BCD144" s="70"/>
      <c r="BCE144" s="70"/>
      <c r="BCF144" s="70"/>
      <c r="BCG144" s="70"/>
      <c r="BCH144" s="70"/>
      <c r="BCI144" s="70"/>
      <c r="BCJ144" s="70"/>
      <c r="BCK144" s="70"/>
      <c r="BCL144" s="70"/>
      <c r="BCM144" s="70"/>
      <c r="BCN144" s="70"/>
      <c r="BCO144" s="70"/>
      <c r="BCP144" s="70"/>
      <c r="BCQ144" s="70"/>
      <c r="BCR144" s="70"/>
      <c r="BCS144" s="70"/>
      <c r="BCT144" s="70"/>
      <c r="BCU144" s="70"/>
      <c r="BCV144" s="70"/>
      <c r="BCW144" s="70"/>
    </row>
    <row r="145" spans="1:1453" s="69" customFormat="1" ht="24.75" customHeight="1" x14ac:dyDescent="0.25">
      <c r="A145" s="50">
        <v>22</v>
      </c>
      <c r="B145" s="73" t="s">
        <v>398</v>
      </c>
      <c r="C145" s="73" t="s">
        <v>399</v>
      </c>
      <c r="D145" s="52">
        <v>991482.5</v>
      </c>
      <c r="E145" s="149"/>
      <c r="F145" s="73" t="s">
        <v>302</v>
      </c>
      <c r="G145" s="71"/>
      <c r="H145" s="71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  <c r="BO145" s="70"/>
      <c r="BP145" s="70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G145" s="70"/>
      <c r="CH145" s="70"/>
      <c r="CI145" s="70"/>
      <c r="CJ145" s="70"/>
      <c r="CK145" s="70"/>
      <c r="CL145" s="70"/>
      <c r="CM145" s="70"/>
      <c r="CN145" s="70"/>
      <c r="CO145" s="70"/>
      <c r="CP145" s="70"/>
      <c r="CQ145" s="70"/>
      <c r="CR145" s="70"/>
      <c r="CS145" s="70"/>
      <c r="CT145" s="70"/>
      <c r="CU145" s="70"/>
      <c r="CV145" s="70"/>
      <c r="CW145" s="70"/>
      <c r="CX145" s="70"/>
      <c r="CY145" s="70"/>
      <c r="CZ145" s="70"/>
      <c r="DA145" s="70"/>
      <c r="DB145" s="70"/>
      <c r="DC145" s="70"/>
      <c r="DD145" s="70"/>
      <c r="DE145" s="70"/>
      <c r="DF145" s="70"/>
      <c r="DG145" s="70"/>
      <c r="DH145" s="70"/>
      <c r="DI145" s="70"/>
      <c r="DJ145" s="70"/>
      <c r="DK145" s="70"/>
      <c r="DL145" s="70"/>
      <c r="DM145" s="70"/>
      <c r="DN145" s="70"/>
      <c r="DO145" s="70"/>
      <c r="DP145" s="70"/>
      <c r="DQ145" s="70"/>
      <c r="DR145" s="70"/>
      <c r="DS145" s="70"/>
      <c r="DT145" s="70"/>
      <c r="DU145" s="70"/>
      <c r="DV145" s="70"/>
      <c r="DW145" s="70"/>
      <c r="DX145" s="70"/>
      <c r="DY145" s="70"/>
      <c r="DZ145" s="70"/>
      <c r="EA145" s="70"/>
      <c r="EB145" s="70"/>
      <c r="EC145" s="70"/>
      <c r="ED145" s="70"/>
      <c r="EE145" s="70"/>
      <c r="EF145" s="70"/>
      <c r="EG145" s="70"/>
      <c r="EH145" s="70"/>
      <c r="EI145" s="70"/>
      <c r="EJ145" s="70"/>
      <c r="EK145" s="70"/>
      <c r="EL145" s="70"/>
      <c r="EM145" s="70"/>
      <c r="EN145" s="70"/>
      <c r="EO145" s="70"/>
      <c r="EP145" s="70"/>
      <c r="EQ145" s="70"/>
      <c r="ER145" s="70"/>
      <c r="ES145" s="70"/>
      <c r="ET145" s="70"/>
      <c r="EU145" s="70"/>
      <c r="EV145" s="70"/>
      <c r="EW145" s="70"/>
      <c r="EX145" s="70"/>
      <c r="EY145" s="70"/>
      <c r="EZ145" s="70"/>
      <c r="FA145" s="70"/>
      <c r="FB145" s="70"/>
      <c r="FC145" s="70"/>
      <c r="FD145" s="70"/>
      <c r="FE145" s="70"/>
      <c r="FF145" s="70"/>
      <c r="FG145" s="70"/>
      <c r="FH145" s="70"/>
      <c r="FI145" s="70"/>
      <c r="FJ145" s="70"/>
      <c r="FK145" s="70"/>
      <c r="FL145" s="70"/>
      <c r="FM145" s="70"/>
      <c r="FN145" s="70"/>
      <c r="FO145" s="70"/>
      <c r="FP145" s="70"/>
      <c r="FQ145" s="70"/>
      <c r="FR145" s="70"/>
      <c r="FS145" s="70"/>
      <c r="FT145" s="70"/>
      <c r="FU145" s="70"/>
      <c r="FV145" s="70"/>
      <c r="FW145" s="70"/>
      <c r="FX145" s="70"/>
      <c r="FY145" s="70"/>
      <c r="FZ145" s="70"/>
      <c r="GA145" s="70"/>
      <c r="GB145" s="70"/>
      <c r="GC145" s="70"/>
      <c r="GD145" s="70"/>
      <c r="GE145" s="70"/>
      <c r="GF145" s="70"/>
      <c r="GG145" s="70"/>
      <c r="GH145" s="70"/>
      <c r="GI145" s="70"/>
      <c r="GJ145" s="70"/>
      <c r="GK145" s="70"/>
      <c r="GL145" s="70"/>
      <c r="GM145" s="70"/>
      <c r="GN145" s="70"/>
      <c r="GO145" s="70"/>
      <c r="GP145" s="70"/>
      <c r="GQ145" s="70"/>
      <c r="GR145" s="70"/>
      <c r="GS145" s="70"/>
      <c r="GT145" s="70"/>
      <c r="GU145" s="70"/>
      <c r="GV145" s="70"/>
      <c r="GW145" s="70"/>
      <c r="GX145" s="70"/>
      <c r="GY145" s="70"/>
      <c r="GZ145" s="70"/>
      <c r="HA145" s="70"/>
      <c r="HB145" s="70"/>
      <c r="HC145" s="70"/>
      <c r="HD145" s="70"/>
      <c r="HE145" s="70"/>
      <c r="HF145" s="70"/>
      <c r="HG145" s="70"/>
      <c r="HH145" s="70"/>
      <c r="HI145" s="70"/>
      <c r="HJ145" s="70"/>
      <c r="HK145" s="70"/>
      <c r="HL145" s="70"/>
      <c r="HM145" s="70"/>
      <c r="HN145" s="70"/>
      <c r="HO145" s="70"/>
      <c r="HP145" s="70"/>
      <c r="HQ145" s="70"/>
      <c r="HR145" s="70"/>
      <c r="HS145" s="70"/>
      <c r="HT145" s="70"/>
      <c r="HU145" s="70"/>
      <c r="HV145" s="70"/>
      <c r="HW145" s="70"/>
      <c r="HX145" s="70"/>
      <c r="HY145" s="70"/>
      <c r="HZ145" s="70"/>
      <c r="IA145" s="70"/>
      <c r="IB145" s="70"/>
      <c r="IC145" s="70"/>
      <c r="ID145" s="70"/>
      <c r="IE145" s="70"/>
      <c r="IF145" s="70"/>
      <c r="IG145" s="70"/>
      <c r="IH145" s="70"/>
      <c r="II145" s="70"/>
      <c r="IJ145" s="70"/>
      <c r="IK145" s="70"/>
      <c r="IL145" s="70"/>
      <c r="IM145" s="70"/>
      <c r="IN145" s="70"/>
      <c r="IO145" s="70"/>
      <c r="IP145" s="70"/>
      <c r="IQ145" s="70"/>
      <c r="IR145" s="70"/>
      <c r="IS145" s="70"/>
      <c r="IT145" s="70"/>
      <c r="IU145" s="70"/>
      <c r="IV145" s="70"/>
      <c r="IW145" s="70"/>
      <c r="IX145" s="70"/>
      <c r="IY145" s="70"/>
      <c r="IZ145" s="70"/>
      <c r="JA145" s="70"/>
      <c r="JB145" s="70"/>
      <c r="JC145" s="70"/>
      <c r="JD145" s="70"/>
      <c r="JE145" s="70"/>
      <c r="JF145" s="70"/>
      <c r="JG145" s="70"/>
      <c r="JH145" s="70"/>
      <c r="JI145" s="70"/>
      <c r="JJ145" s="70"/>
      <c r="JK145" s="70"/>
      <c r="JL145" s="70"/>
      <c r="JM145" s="70"/>
      <c r="JN145" s="70"/>
      <c r="JO145" s="70"/>
      <c r="JP145" s="70"/>
      <c r="JQ145" s="70"/>
      <c r="JR145" s="70"/>
      <c r="JS145" s="70"/>
      <c r="JT145" s="70"/>
      <c r="JU145" s="70"/>
      <c r="JV145" s="70"/>
      <c r="JW145" s="70"/>
      <c r="JX145" s="70"/>
      <c r="JY145" s="70"/>
      <c r="JZ145" s="70"/>
      <c r="KA145" s="70"/>
      <c r="KB145" s="70"/>
      <c r="KC145" s="70"/>
      <c r="KD145" s="70"/>
      <c r="KE145" s="70"/>
      <c r="KF145" s="70"/>
      <c r="KG145" s="70"/>
      <c r="KH145" s="70"/>
      <c r="KI145" s="70"/>
      <c r="KJ145" s="70"/>
      <c r="KK145" s="70"/>
      <c r="KL145" s="70"/>
      <c r="KM145" s="70"/>
      <c r="KN145" s="70"/>
      <c r="KO145" s="70"/>
      <c r="KP145" s="70"/>
      <c r="KQ145" s="70"/>
      <c r="KR145" s="70"/>
      <c r="KS145" s="70"/>
      <c r="KT145" s="70"/>
      <c r="KU145" s="70"/>
      <c r="KV145" s="70"/>
      <c r="KW145" s="70"/>
      <c r="KX145" s="70"/>
      <c r="KY145" s="70"/>
      <c r="KZ145" s="70"/>
      <c r="LA145" s="70"/>
      <c r="LB145" s="70"/>
      <c r="LC145" s="70"/>
      <c r="LD145" s="70"/>
      <c r="LE145" s="70"/>
      <c r="LF145" s="70"/>
      <c r="LG145" s="70"/>
      <c r="LH145" s="70"/>
      <c r="LI145" s="70"/>
      <c r="LJ145" s="70"/>
      <c r="LK145" s="70"/>
      <c r="LL145" s="70"/>
      <c r="LM145" s="70"/>
      <c r="LN145" s="70"/>
      <c r="LO145" s="70"/>
      <c r="LP145" s="70"/>
      <c r="LQ145" s="70"/>
      <c r="LR145" s="70"/>
      <c r="LS145" s="70"/>
      <c r="LT145" s="70"/>
      <c r="LU145" s="70"/>
      <c r="LV145" s="70"/>
      <c r="LW145" s="70"/>
      <c r="LX145" s="70"/>
      <c r="LY145" s="70"/>
      <c r="LZ145" s="70"/>
      <c r="MA145" s="70"/>
      <c r="MB145" s="70"/>
      <c r="MC145" s="70"/>
      <c r="MD145" s="70"/>
      <c r="ME145" s="70"/>
      <c r="MF145" s="70"/>
      <c r="MG145" s="70"/>
      <c r="MH145" s="70"/>
      <c r="MI145" s="70"/>
      <c r="MJ145" s="70"/>
      <c r="MK145" s="70"/>
      <c r="ML145" s="70"/>
      <c r="MM145" s="70"/>
      <c r="MN145" s="70"/>
      <c r="MO145" s="70"/>
      <c r="MP145" s="70"/>
      <c r="MQ145" s="70"/>
      <c r="MR145" s="70"/>
      <c r="MS145" s="70"/>
      <c r="MT145" s="70"/>
      <c r="MU145" s="70"/>
      <c r="MV145" s="70"/>
      <c r="MW145" s="70"/>
      <c r="MX145" s="70"/>
      <c r="MY145" s="70"/>
      <c r="MZ145" s="70"/>
      <c r="NA145" s="70"/>
      <c r="NB145" s="70"/>
      <c r="NC145" s="70"/>
      <c r="ND145" s="70"/>
      <c r="NE145" s="70"/>
      <c r="NF145" s="70"/>
      <c r="NG145" s="70"/>
      <c r="NH145" s="70"/>
      <c r="NI145" s="70"/>
      <c r="NJ145" s="70"/>
      <c r="NK145" s="70"/>
      <c r="NL145" s="70"/>
      <c r="NM145" s="70"/>
      <c r="NN145" s="70"/>
      <c r="NO145" s="70"/>
      <c r="NP145" s="70"/>
      <c r="NQ145" s="70"/>
      <c r="NR145" s="70"/>
      <c r="NS145" s="70"/>
      <c r="NT145" s="70"/>
      <c r="NU145" s="70"/>
      <c r="NV145" s="70"/>
      <c r="NW145" s="70"/>
      <c r="NX145" s="70"/>
      <c r="NY145" s="70"/>
      <c r="NZ145" s="70"/>
      <c r="OA145" s="70"/>
      <c r="OB145" s="70"/>
      <c r="OC145" s="70"/>
      <c r="OD145" s="70"/>
      <c r="OE145" s="70"/>
      <c r="OF145" s="70"/>
      <c r="OG145" s="70"/>
      <c r="OH145" s="70"/>
      <c r="OI145" s="70"/>
      <c r="OJ145" s="70"/>
      <c r="OK145" s="70"/>
      <c r="OL145" s="70"/>
      <c r="OM145" s="70"/>
      <c r="ON145" s="70"/>
      <c r="OO145" s="70"/>
      <c r="OP145" s="70"/>
      <c r="OQ145" s="70"/>
      <c r="OR145" s="70"/>
      <c r="OS145" s="70"/>
      <c r="OT145" s="70"/>
      <c r="OU145" s="70"/>
      <c r="OV145" s="70"/>
      <c r="OW145" s="70"/>
      <c r="OX145" s="70"/>
      <c r="OY145" s="70"/>
      <c r="OZ145" s="70"/>
      <c r="PA145" s="70"/>
      <c r="PB145" s="70"/>
      <c r="PC145" s="70"/>
      <c r="PD145" s="70"/>
      <c r="PE145" s="70"/>
      <c r="PF145" s="70"/>
      <c r="PG145" s="70"/>
      <c r="PH145" s="70"/>
      <c r="PI145" s="70"/>
      <c r="PJ145" s="70"/>
      <c r="PK145" s="70"/>
      <c r="PL145" s="70"/>
      <c r="PM145" s="70"/>
      <c r="PN145" s="70"/>
      <c r="PO145" s="70"/>
      <c r="PP145" s="70"/>
      <c r="PQ145" s="70"/>
      <c r="PR145" s="70"/>
      <c r="PS145" s="70"/>
      <c r="PT145" s="70"/>
      <c r="PU145" s="70"/>
      <c r="PV145" s="70"/>
      <c r="PW145" s="70"/>
      <c r="PX145" s="70"/>
      <c r="PY145" s="70"/>
      <c r="PZ145" s="70"/>
      <c r="QA145" s="70"/>
      <c r="QB145" s="70"/>
      <c r="QC145" s="70"/>
      <c r="QD145" s="70"/>
      <c r="QE145" s="70"/>
      <c r="QF145" s="70"/>
      <c r="QG145" s="70"/>
      <c r="QH145" s="70"/>
      <c r="QI145" s="70"/>
      <c r="QJ145" s="70"/>
      <c r="QK145" s="70"/>
      <c r="QL145" s="70"/>
      <c r="QM145" s="70"/>
      <c r="QN145" s="70"/>
      <c r="QO145" s="70"/>
      <c r="QP145" s="70"/>
      <c r="QQ145" s="70"/>
      <c r="QR145" s="70"/>
      <c r="QS145" s="70"/>
      <c r="QT145" s="70"/>
      <c r="QU145" s="70"/>
      <c r="QV145" s="70"/>
      <c r="QW145" s="70"/>
      <c r="QX145" s="70"/>
      <c r="QY145" s="70"/>
      <c r="QZ145" s="70"/>
      <c r="RA145" s="70"/>
      <c r="RB145" s="70"/>
      <c r="RC145" s="70"/>
      <c r="RD145" s="70"/>
      <c r="RE145" s="70"/>
      <c r="RF145" s="70"/>
      <c r="RG145" s="70"/>
      <c r="RH145" s="70"/>
      <c r="RI145" s="70"/>
      <c r="RJ145" s="70"/>
      <c r="RK145" s="70"/>
      <c r="RL145" s="70"/>
      <c r="RM145" s="70"/>
      <c r="RN145" s="70"/>
      <c r="RO145" s="70"/>
      <c r="RP145" s="70"/>
      <c r="RQ145" s="70"/>
      <c r="RR145" s="70"/>
      <c r="RS145" s="70"/>
      <c r="RT145" s="70"/>
      <c r="RU145" s="70"/>
      <c r="RV145" s="70"/>
      <c r="RW145" s="70"/>
      <c r="RX145" s="70"/>
      <c r="RY145" s="70"/>
      <c r="RZ145" s="70"/>
      <c r="SA145" s="70"/>
      <c r="SB145" s="70"/>
      <c r="SC145" s="70"/>
      <c r="SD145" s="70"/>
      <c r="SE145" s="70"/>
      <c r="SF145" s="70"/>
      <c r="SG145" s="70"/>
      <c r="SH145" s="70"/>
      <c r="SI145" s="70"/>
      <c r="SJ145" s="70"/>
      <c r="SK145" s="70"/>
      <c r="SL145" s="70"/>
      <c r="SM145" s="70"/>
      <c r="SN145" s="70"/>
      <c r="SO145" s="70"/>
      <c r="SP145" s="70"/>
      <c r="SQ145" s="70"/>
      <c r="SR145" s="70"/>
      <c r="SS145" s="70"/>
      <c r="ST145" s="70"/>
      <c r="SU145" s="70"/>
      <c r="SV145" s="70"/>
      <c r="SW145" s="70"/>
      <c r="SX145" s="70"/>
      <c r="SY145" s="70"/>
      <c r="SZ145" s="70"/>
      <c r="TA145" s="70"/>
      <c r="TB145" s="70"/>
      <c r="TC145" s="70"/>
      <c r="TD145" s="70"/>
      <c r="TE145" s="70"/>
      <c r="TF145" s="70"/>
      <c r="TG145" s="70"/>
      <c r="TH145" s="70"/>
      <c r="TI145" s="70"/>
      <c r="TJ145" s="70"/>
      <c r="TK145" s="70"/>
      <c r="TL145" s="70"/>
      <c r="TM145" s="70"/>
      <c r="TN145" s="70"/>
      <c r="TO145" s="70"/>
      <c r="TP145" s="70"/>
      <c r="TQ145" s="70"/>
      <c r="TR145" s="70"/>
      <c r="TS145" s="70"/>
      <c r="TT145" s="70"/>
      <c r="TU145" s="70"/>
      <c r="TV145" s="70"/>
      <c r="TW145" s="70"/>
      <c r="TX145" s="70"/>
      <c r="TY145" s="70"/>
      <c r="TZ145" s="70"/>
      <c r="UA145" s="70"/>
      <c r="UB145" s="70"/>
      <c r="UC145" s="70"/>
      <c r="UD145" s="70"/>
      <c r="UE145" s="70"/>
      <c r="UF145" s="70"/>
      <c r="UG145" s="70"/>
      <c r="UH145" s="70"/>
      <c r="UI145" s="70"/>
      <c r="UJ145" s="70"/>
      <c r="UK145" s="70"/>
      <c r="UL145" s="70"/>
      <c r="UM145" s="70"/>
      <c r="UN145" s="70"/>
      <c r="UO145" s="70"/>
      <c r="UP145" s="70"/>
      <c r="UQ145" s="70"/>
      <c r="UR145" s="70"/>
      <c r="US145" s="70"/>
      <c r="UT145" s="70"/>
      <c r="UU145" s="70"/>
      <c r="UV145" s="70"/>
      <c r="UW145" s="70"/>
      <c r="UX145" s="70"/>
      <c r="UY145" s="70"/>
      <c r="UZ145" s="70"/>
      <c r="VA145" s="70"/>
      <c r="VB145" s="70"/>
      <c r="VC145" s="70"/>
      <c r="VD145" s="70"/>
      <c r="VE145" s="70"/>
      <c r="VF145" s="70"/>
      <c r="VG145" s="70"/>
      <c r="VH145" s="70"/>
      <c r="VI145" s="70"/>
      <c r="VJ145" s="70"/>
      <c r="VK145" s="70"/>
      <c r="VL145" s="70"/>
      <c r="VM145" s="70"/>
      <c r="VN145" s="70"/>
      <c r="VO145" s="70"/>
      <c r="VP145" s="70"/>
      <c r="VQ145" s="70"/>
      <c r="VR145" s="70"/>
      <c r="VS145" s="70"/>
      <c r="VT145" s="70"/>
      <c r="VU145" s="70"/>
      <c r="VV145" s="70"/>
      <c r="VW145" s="70"/>
      <c r="VX145" s="70"/>
      <c r="VY145" s="70"/>
      <c r="VZ145" s="70"/>
      <c r="WA145" s="70"/>
      <c r="WB145" s="70"/>
      <c r="WC145" s="70"/>
      <c r="WD145" s="70"/>
      <c r="WE145" s="70"/>
      <c r="WF145" s="70"/>
      <c r="WG145" s="70"/>
      <c r="WH145" s="70"/>
      <c r="WI145" s="70"/>
      <c r="WJ145" s="70"/>
      <c r="WK145" s="70"/>
      <c r="WL145" s="70"/>
      <c r="WM145" s="70"/>
      <c r="WN145" s="70"/>
      <c r="WO145" s="70"/>
      <c r="WP145" s="70"/>
      <c r="WQ145" s="70"/>
      <c r="WR145" s="70"/>
      <c r="WS145" s="70"/>
      <c r="WT145" s="70"/>
      <c r="WU145" s="70"/>
      <c r="WV145" s="70"/>
      <c r="WW145" s="70"/>
      <c r="WX145" s="70"/>
      <c r="WY145" s="70"/>
      <c r="WZ145" s="70"/>
      <c r="XA145" s="70"/>
      <c r="XB145" s="70"/>
      <c r="XC145" s="70"/>
      <c r="XD145" s="70"/>
      <c r="XE145" s="70"/>
      <c r="XF145" s="70"/>
      <c r="XG145" s="70"/>
      <c r="XH145" s="70"/>
      <c r="XI145" s="70"/>
      <c r="XJ145" s="70"/>
      <c r="XK145" s="70"/>
      <c r="XL145" s="70"/>
      <c r="XM145" s="70"/>
      <c r="XN145" s="70"/>
      <c r="XO145" s="70"/>
      <c r="XP145" s="70"/>
      <c r="XQ145" s="70"/>
      <c r="XR145" s="70"/>
      <c r="XS145" s="70"/>
      <c r="XT145" s="70"/>
      <c r="XU145" s="70"/>
      <c r="XV145" s="70"/>
      <c r="XW145" s="70"/>
      <c r="XX145" s="70"/>
      <c r="XY145" s="70"/>
      <c r="XZ145" s="70"/>
      <c r="YA145" s="70"/>
      <c r="YB145" s="70"/>
      <c r="YC145" s="70"/>
      <c r="YD145" s="70"/>
      <c r="YE145" s="70"/>
      <c r="YF145" s="70"/>
      <c r="YG145" s="70"/>
      <c r="YH145" s="70"/>
      <c r="YI145" s="70"/>
      <c r="YJ145" s="70"/>
      <c r="YK145" s="70"/>
      <c r="YL145" s="70"/>
      <c r="YM145" s="70"/>
      <c r="YN145" s="70"/>
      <c r="YO145" s="70"/>
      <c r="YP145" s="70"/>
      <c r="YQ145" s="70"/>
      <c r="YR145" s="70"/>
      <c r="YS145" s="70"/>
      <c r="YT145" s="70"/>
      <c r="YU145" s="70"/>
      <c r="YV145" s="70"/>
      <c r="YW145" s="70"/>
      <c r="YX145" s="70"/>
      <c r="YY145" s="70"/>
      <c r="YZ145" s="70"/>
      <c r="ZA145" s="70"/>
      <c r="ZB145" s="70"/>
      <c r="ZC145" s="70"/>
      <c r="ZD145" s="70"/>
      <c r="ZE145" s="70"/>
      <c r="ZF145" s="70"/>
      <c r="ZG145" s="70"/>
      <c r="ZH145" s="70"/>
      <c r="ZI145" s="70"/>
      <c r="ZJ145" s="70"/>
      <c r="ZK145" s="70"/>
      <c r="ZL145" s="70"/>
      <c r="ZM145" s="70"/>
      <c r="ZN145" s="70"/>
      <c r="ZO145" s="70"/>
      <c r="ZP145" s="70"/>
      <c r="ZQ145" s="70"/>
      <c r="ZR145" s="70"/>
      <c r="ZS145" s="70"/>
      <c r="ZT145" s="70"/>
      <c r="ZU145" s="70"/>
      <c r="ZV145" s="70"/>
      <c r="ZW145" s="70"/>
      <c r="ZX145" s="70"/>
      <c r="ZY145" s="70"/>
      <c r="ZZ145" s="70"/>
      <c r="AAA145" s="70"/>
      <c r="AAB145" s="70"/>
      <c r="AAC145" s="70"/>
      <c r="AAD145" s="70"/>
      <c r="AAE145" s="70"/>
      <c r="AAF145" s="70"/>
      <c r="AAG145" s="70"/>
      <c r="AAH145" s="70"/>
      <c r="AAI145" s="70"/>
      <c r="AAJ145" s="70"/>
      <c r="AAK145" s="70"/>
      <c r="AAL145" s="70"/>
      <c r="AAM145" s="70"/>
      <c r="AAN145" s="70"/>
      <c r="AAO145" s="70"/>
      <c r="AAP145" s="70"/>
      <c r="AAQ145" s="70"/>
      <c r="AAR145" s="70"/>
      <c r="AAS145" s="70"/>
      <c r="AAT145" s="70"/>
      <c r="AAU145" s="70"/>
      <c r="AAV145" s="70"/>
      <c r="AAW145" s="70"/>
      <c r="AAX145" s="70"/>
      <c r="AAY145" s="70"/>
      <c r="AAZ145" s="70"/>
      <c r="ABA145" s="70"/>
      <c r="ABB145" s="70"/>
      <c r="ABC145" s="70"/>
      <c r="ABD145" s="70"/>
      <c r="ABE145" s="70"/>
      <c r="ABF145" s="70"/>
      <c r="ABG145" s="70"/>
      <c r="ABH145" s="70"/>
      <c r="ABI145" s="70"/>
      <c r="ABJ145" s="70"/>
      <c r="ABK145" s="70"/>
      <c r="ABL145" s="70"/>
      <c r="ABM145" s="70"/>
      <c r="ABN145" s="70"/>
      <c r="ABO145" s="70"/>
      <c r="ABP145" s="70"/>
      <c r="ABQ145" s="70"/>
      <c r="ABR145" s="70"/>
      <c r="ABS145" s="70"/>
      <c r="ABT145" s="70"/>
      <c r="ABU145" s="70"/>
      <c r="ABV145" s="70"/>
      <c r="ABW145" s="70"/>
      <c r="ABX145" s="70"/>
      <c r="ABY145" s="70"/>
      <c r="ABZ145" s="70"/>
      <c r="ACA145" s="70"/>
      <c r="ACB145" s="70"/>
      <c r="ACC145" s="70"/>
      <c r="ACD145" s="70"/>
      <c r="ACE145" s="70"/>
      <c r="ACF145" s="70"/>
      <c r="ACG145" s="70"/>
      <c r="ACH145" s="70"/>
      <c r="ACI145" s="70"/>
      <c r="ACJ145" s="70"/>
      <c r="ACK145" s="70"/>
      <c r="ACL145" s="70"/>
      <c r="ACM145" s="70"/>
      <c r="ACN145" s="70"/>
      <c r="ACO145" s="70"/>
      <c r="ACP145" s="70"/>
      <c r="ACQ145" s="70"/>
      <c r="ACR145" s="70"/>
      <c r="ACS145" s="70"/>
      <c r="ACT145" s="70"/>
      <c r="ACU145" s="70"/>
      <c r="ACV145" s="70"/>
      <c r="ACW145" s="70"/>
      <c r="ACX145" s="70"/>
      <c r="ACY145" s="70"/>
      <c r="ACZ145" s="70"/>
      <c r="ADA145" s="70"/>
      <c r="ADB145" s="70"/>
      <c r="ADC145" s="70"/>
      <c r="ADD145" s="70"/>
      <c r="ADE145" s="70"/>
      <c r="ADF145" s="70"/>
      <c r="ADG145" s="70"/>
      <c r="ADH145" s="70"/>
      <c r="ADI145" s="70"/>
      <c r="ADJ145" s="70"/>
      <c r="ADK145" s="70"/>
      <c r="ADL145" s="70"/>
      <c r="ADM145" s="70"/>
      <c r="ADN145" s="70"/>
      <c r="ADO145" s="70"/>
      <c r="ADP145" s="70"/>
      <c r="ADQ145" s="70"/>
      <c r="ADR145" s="70"/>
      <c r="ADS145" s="70"/>
      <c r="ADT145" s="70"/>
      <c r="ADU145" s="70"/>
      <c r="ADV145" s="70"/>
      <c r="ADW145" s="70"/>
      <c r="ADX145" s="70"/>
      <c r="ADY145" s="70"/>
      <c r="ADZ145" s="70"/>
      <c r="AEA145" s="70"/>
      <c r="AEB145" s="70"/>
      <c r="AEC145" s="70"/>
      <c r="AED145" s="70"/>
      <c r="AEE145" s="70"/>
      <c r="AEF145" s="70"/>
      <c r="AEG145" s="70"/>
      <c r="AEH145" s="70"/>
      <c r="AEI145" s="70"/>
      <c r="AEJ145" s="70"/>
      <c r="AEK145" s="70"/>
      <c r="AEL145" s="70"/>
      <c r="AEM145" s="70"/>
      <c r="AEN145" s="70"/>
      <c r="AEO145" s="70"/>
      <c r="AEP145" s="70"/>
      <c r="AEQ145" s="70"/>
      <c r="AER145" s="70"/>
      <c r="AES145" s="70"/>
      <c r="AET145" s="70"/>
      <c r="AEU145" s="70"/>
      <c r="AEV145" s="70"/>
      <c r="AEW145" s="70"/>
      <c r="AEX145" s="70"/>
      <c r="AEY145" s="70"/>
      <c r="AEZ145" s="70"/>
      <c r="AFA145" s="70"/>
      <c r="AFB145" s="70"/>
      <c r="AFC145" s="70"/>
      <c r="AFD145" s="70"/>
      <c r="AFE145" s="70"/>
      <c r="AFF145" s="70"/>
      <c r="AFG145" s="70"/>
      <c r="AFH145" s="70"/>
      <c r="AFI145" s="70"/>
      <c r="AFJ145" s="70"/>
      <c r="AFK145" s="70"/>
      <c r="AFL145" s="70"/>
      <c r="AFM145" s="70"/>
      <c r="AFN145" s="70"/>
      <c r="AFO145" s="70"/>
      <c r="AFP145" s="70"/>
      <c r="AFQ145" s="70"/>
      <c r="AFR145" s="70"/>
      <c r="AFS145" s="70"/>
      <c r="AFT145" s="70"/>
      <c r="AFU145" s="70"/>
      <c r="AFV145" s="70"/>
      <c r="AFW145" s="70"/>
      <c r="AFX145" s="70"/>
      <c r="AFY145" s="70"/>
      <c r="AFZ145" s="70"/>
      <c r="AGA145" s="70"/>
      <c r="AGB145" s="70"/>
      <c r="AGC145" s="70"/>
      <c r="AGD145" s="70"/>
      <c r="AGE145" s="70"/>
      <c r="AGF145" s="70"/>
      <c r="AGG145" s="70"/>
      <c r="AGH145" s="70"/>
      <c r="AGI145" s="70"/>
      <c r="AGJ145" s="70"/>
      <c r="AGK145" s="70"/>
      <c r="AGL145" s="70"/>
      <c r="AGM145" s="70"/>
      <c r="AGN145" s="70"/>
      <c r="AGO145" s="70"/>
      <c r="AGP145" s="70"/>
      <c r="AGQ145" s="70"/>
      <c r="AGR145" s="70"/>
      <c r="AGS145" s="70"/>
      <c r="AGT145" s="70"/>
      <c r="AGU145" s="70"/>
      <c r="AGV145" s="70"/>
      <c r="AGW145" s="70"/>
      <c r="AGX145" s="70"/>
      <c r="AGY145" s="70"/>
      <c r="AGZ145" s="70"/>
      <c r="AHA145" s="70"/>
      <c r="AHB145" s="70"/>
      <c r="AHC145" s="70"/>
      <c r="AHD145" s="70"/>
      <c r="AHE145" s="70"/>
      <c r="AHF145" s="70"/>
      <c r="AHG145" s="70"/>
      <c r="AHH145" s="70"/>
      <c r="AHI145" s="70"/>
      <c r="AHJ145" s="70"/>
      <c r="AHK145" s="70"/>
      <c r="AHL145" s="70"/>
      <c r="AHM145" s="70"/>
      <c r="AHN145" s="70"/>
      <c r="AHO145" s="70"/>
      <c r="AHP145" s="70"/>
      <c r="AHQ145" s="70"/>
      <c r="AHR145" s="70"/>
      <c r="AHS145" s="70"/>
      <c r="AHT145" s="70"/>
      <c r="AHU145" s="70"/>
      <c r="AHV145" s="70"/>
      <c r="AHW145" s="70"/>
      <c r="AHX145" s="70"/>
      <c r="AHY145" s="70"/>
      <c r="AHZ145" s="70"/>
      <c r="AIA145" s="70"/>
      <c r="AIB145" s="70"/>
      <c r="AIC145" s="70"/>
      <c r="AID145" s="70"/>
      <c r="AIE145" s="70"/>
      <c r="AIF145" s="70"/>
      <c r="AIG145" s="70"/>
      <c r="AIH145" s="70"/>
      <c r="AII145" s="70"/>
      <c r="AIJ145" s="70"/>
      <c r="AIK145" s="70"/>
      <c r="AIL145" s="70"/>
      <c r="AIM145" s="70"/>
      <c r="AIN145" s="70"/>
      <c r="AIO145" s="70"/>
      <c r="AIP145" s="70"/>
      <c r="AIQ145" s="70"/>
      <c r="AIR145" s="70"/>
      <c r="AIS145" s="70"/>
      <c r="AIT145" s="70"/>
      <c r="AIU145" s="70"/>
      <c r="AIV145" s="70"/>
      <c r="AIW145" s="70"/>
      <c r="AIX145" s="70"/>
      <c r="AIY145" s="70"/>
      <c r="AIZ145" s="70"/>
      <c r="AJA145" s="70"/>
      <c r="AJB145" s="70"/>
      <c r="AJC145" s="70"/>
      <c r="AJD145" s="70"/>
      <c r="AJE145" s="70"/>
      <c r="AJF145" s="70"/>
      <c r="AJG145" s="70"/>
      <c r="AJH145" s="70"/>
      <c r="AJI145" s="70"/>
      <c r="AJJ145" s="70"/>
      <c r="AJK145" s="70"/>
      <c r="AJL145" s="70"/>
      <c r="AJM145" s="70"/>
      <c r="AJN145" s="70"/>
      <c r="AJO145" s="70"/>
      <c r="AJP145" s="70"/>
      <c r="AJQ145" s="70"/>
      <c r="AJR145" s="70"/>
      <c r="AJS145" s="70"/>
      <c r="AJT145" s="70"/>
      <c r="AJU145" s="70"/>
      <c r="AJV145" s="70"/>
      <c r="AJW145" s="70"/>
      <c r="AJX145" s="70"/>
      <c r="AJY145" s="70"/>
      <c r="AJZ145" s="70"/>
      <c r="AKA145" s="70"/>
      <c r="AKB145" s="70"/>
      <c r="AKC145" s="70"/>
      <c r="AKD145" s="70"/>
      <c r="AKE145" s="70"/>
      <c r="AKF145" s="70"/>
      <c r="AKG145" s="70"/>
      <c r="AKH145" s="70"/>
      <c r="AKI145" s="70"/>
      <c r="AKJ145" s="70"/>
      <c r="AKK145" s="70"/>
      <c r="AKL145" s="70"/>
      <c r="AKM145" s="70"/>
      <c r="AKN145" s="70"/>
      <c r="AKO145" s="70"/>
      <c r="AKP145" s="70"/>
      <c r="AKQ145" s="70"/>
      <c r="AKR145" s="70"/>
      <c r="AKS145" s="70"/>
      <c r="AKT145" s="70"/>
      <c r="AKU145" s="70"/>
      <c r="AKV145" s="70"/>
      <c r="AKW145" s="70"/>
      <c r="AKX145" s="70"/>
      <c r="AKY145" s="70"/>
      <c r="AKZ145" s="70"/>
      <c r="ALA145" s="70"/>
      <c r="ALB145" s="70"/>
      <c r="ALC145" s="70"/>
      <c r="ALD145" s="70"/>
      <c r="ALE145" s="70"/>
      <c r="ALF145" s="70"/>
      <c r="ALG145" s="70"/>
      <c r="ALH145" s="70"/>
      <c r="ALI145" s="70"/>
      <c r="ALJ145" s="70"/>
      <c r="ALK145" s="70"/>
      <c r="ALL145" s="70"/>
      <c r="ALM145" s="70"/>
      <c r="ALN145" s="70"/>
      <c r="ALO145" s="70"/>
      <c r="ALP145" s="70"/>
      <c r="ALQ145" s="70"/>
      <c r="ALR145" s="70"/>
      <c r="ALS145" s="70"/>
      <c r="ALT145" s="70"/>
      <c r="ALU145" s="70"/>
      <c r="ALV145" s="70"/>
      <c r="ALW145" s="70"/>
      <c r="ALX145" s="70"/>
      <c r="ALY145" s="70"/>
      <c r="ALZ145" s="70"/>
      <c r="AMA145" s="70"/>
      <c r="AMB145" s="70"/>
      <c r="AMC145" s="70"/>
      <c r="AMD145" s="70"/>
      <c r="AME145" s="70"/>
      <c r="AMF145" s="70"/>
      <c r="AMG145" s="70"/>
      <c r="AMH145" s="70"/>
      <c r="AMI145" s="70"/>
      <c r="AMJ145" s="70"/>
      <c r="AMK145" s="70"/>
      <c r="AML145" s="70"/>
      <c r="AMM145" s="70"/>
      <c r="AMN145" s="70"/>
      <c r="AMO145" s="70"/>
      <c r="AMP145" s="70"/>
      <c r="AMQ145" s="70"/>
      <c r="AMR145" s="70"/>
      <c r="AMS145" s="70"/>
      <c r="AMT145" s="70"/>
      <c r="AMU145" s="70"/>
      <c r="AMV145" s="70"/>
      <c r="AMW145" s="70"/>
      <c r="AMX145" s="70"/>
      <c r="AMY145" s="70"/>
      <c r="AMZ145" s="70"/>
      <c r="ANA145" s="70"/>
      <c r="ANB145" s="70"/>
      <c r="ANC145" s="70"/>
      <c r="AND145" s="70"/>
      <c r="ANE145" s="70"/>
      <c r="ANF145" s="70"/>
      <c r="ANG145" s="70"/>
      <c r="ANH145" s="70"/>
      <c r="ANI145" s="70"/>
      <c r="ANJ145" s="70"/>
      <c r="ANK145" s="70"/>
      <c r="ANL145" s="70"/>
      <c r="ANM145" s="70"/>
      <c r="ANN145" s="70"/>
      <c r="ANO145" s="70"/>
      <c r="ANP145" s="70"/>
      <c r="ANQ145" s="70"/>
      <c r="ANR145" s="70"/>
      <c r="ANS145" s="70"/>
      <c r="ANT145" s="70"/>
      <c r="ANU145" s="70"/>
      <c r="ANV145" s="70"/>
      <c r="ANW145" s="70"/>
      <c r="ANX145" s="70"/>
      <c r="ANY145" s="70"/>
      <c r="ANZ145" s="70"/>
      <c r="AOA145" s="70"/>
      <c r="AOB145" s="70"/>
      <c r="AOC145" s="70"/>
      <c r="AOD145" s="70"/>
      <c r="AOE145" s="70"/>
      <c r="AOF145" s="70"/>
      <c r="AOG145" s="70"/>
      <c r="AOH145" s="70"/>
      <c r="AOI145" s="70"/>
      <c r="AOJ145" s="70"/>
      <c r="AOK145" s="70"/>
      <c r="AOL145" s="70"/>
      <c r="AOM145" s="70"/>
      <c r="AON145" s="70"/>
      <c r="AOO145" s="70"/>
      <c r="AOP145" s="70"/>
      <c r="AOQ145" s="70"/>
      <c r="AOR145" s="70"/>
      <c r="AOS145" s="70"/>
      <c r="AOT145" s="70"/>
      <c r="AOU145" s="70"/>
      <c r="AOV145" s="70"/>
      <c r="AOW145" s="70"/>
      <c r="AOX145" s="70"/>
      <c r="AOY145" s="70"/>
      <c r="AOZ145" s="70"/>
      <c r="APA145" s="70"/>
      <c r="APB145" s="70"/>
      <c r="APC145" s="70"/>
      <c r="APD145" s="70"/>
      <c r="APE145" s="70"/>
      <c r="APF145" s="70"/>
      <c r="APG145" s="70"/>
      <c r="APH145" s="70"/>
      <c r="API145" s="70"/>
      <c r="APJ145" s="70"/>
      <c r="APK145" s="70"/>
      <c r="APL145" s="70"/>
      <c r="APM145" s="70"/>
      <c r="APN145" s="70"/>
      <c r="APO145" s="70"/>
      <c r="APP145" s="70"/>
      <c r="APQ145" s="70"/>
      <c r="APR145" s="70"/>
      <c r="APS145" s="70"/>
      <c r="APT145" s="70"/>
      <c r="APU145" s="70"/>
      <c r="APV145" s="70"/>
      <c r="APW145" s="70"/>
      <c r="APX145" s="70"/>
      <c r="APY145" s="70"/>
      <c r="APZ145" s="70"/>
      <c r="AQA145" s="70"/>
      <c r="AQB145" s="70"/>
      <c r="AQC145" s="70"/>
      <c r="AQD145" s="70"/>
      <c r="AQE145" s="70"/>
      <c r="AQF145" s="70"/>
      <c r="AQG145" s="70"/>
      <c r="AQH145" s="70"/>
      <c r="AQI145" s="70"/>
      <c r="AQJ145" s="70"/>
      <c r="AQK145" s="70"/>
      <c r="AQL145" s="70"/>
      <c r="AQM145" s="70"/>
      <c r="AQN145" s="70"/>
      <c r="AQO145" s="70"/>
      <c r="AQP145" s="70"/>
      <c r="AQQ145" s="70"/>
      <c r="AQR145" s="70"/>
      <c r="AQS145" s="70"/>
      <c r="AQT145" s="70"/>
      <c r="AQU145" s="70"/>
      <c r="AQV145" s="70"/>
      <c r="AQW145" s="70"/>
      <c r="AQX145" s="70"/>
      <c r="AQY145" s="70"/>
      <c r="AQZ145" s="70"/>
      <c r="ARA145" s="70"/>
      <c r="ARB145" s="70"/>
      <c r="ARC145" s="70"/>
      <c r="ARD145" s="70"/>
      <c r="ARE145" s="70"/>
      <c r="ARF145" s="70"/>
      <c r="ARG145" s="70"/>
      <c r="ARH145" s="70"/>
      <c r="ARI145" s="70"/>
      <c r="ARJ145" s="70"/>
      <c r="ARK145" s="70"/>
      <c r="ARL145" s="70"/>
      <c r="ARM145" s="70"/>
      <c r="ARN145" s="70"/>
      <c r="ARO145" s="70"/>
      <c r="ARP145" s="70"/>
      <c r="ARQ145" s="70"/>
      <c r="ARR145" s="70"/>
      <c r="ARS145" s="70"/>
      <c r="ART145" s="70"/>
      <c r="ARU145" s="70"/>
      <c r="ARV145" s="70"/>
      <c r="ARW145" s="70"/>
      <c r="ARX145" s="70"/>
      <c r="ARY145" s="70"/>
      <c r="ARZ145" s="70"/>
      <c r="ASA145" s="70"/>
      <c r="ASB145" s="70"/>
      <c r="ASC145" s="70"/>
      <c r="ASD145" s="70"/>
      <c r="ASE145" s="70"/>
      <c r="ASF145" s="70"/>
      <c r="ASG145" s="70"/>
      <c r="ASH145" s="70"/>
      <c r="ASI145" s="70"/>
      <c r="ASJ145" s="70"/>
      <c r="ASK145" s="70"/>
      <c r="ASL145" s="70"/>
      <c r="ASM145" s="70"/>
      <c r="ASN145" s="70"/>
      <c r="ASO145" s="70"/>
      <c r="ASP145" s="70"/>
      <c r="ASQ145" s="70"/>
      <c r="ASR145" s="70"/>
      <c r="ASS145" s="70"/>
      <c r="AST145" s="70"/>
      <c r="ASU145" s="70"/>
      <c r="ASV145" s="70"/>
      <c r="ASW145" s="70"/>
      <c r="ASX145" s="70"/>
      <c r="ASY145" s="70"/>
      <c r="ASZ145" s="70"/>
      <c r="ATA145" s="70"/>
      <c r="ATB145" s="70"/>
      <c r="ATC145" s="70"/>
      <c r="ATD145" s="70"/>
      <c r="ATE145" s="70"/>
      <c r="ATF145" s="70"/>
      <c r="ATG145" s="70"/>
      <c r="ATH145" s="70"/>
      <c r="ATI145" s="70"/>
      <c r="ATJ145" s="70"/>
      <c r="ATK145" s="70"/>
      <c r="ATL145" s="70"/>
      <c r="ATM145" s="70"/>
      <c r="ATN145" s="70"/>
      <c r="ATO145" s="70"/>
      <c r="ATP145" s="70"/>
      <c r="ATQ145" s="70"/>
      <c r="ATR145" s="70"/>
      <c r="ATS145" s="70"/>
      <c r="ATT145" s="70"/>
      <c r="ATU145" s="70"/>
      <c r="ATV145" s="70"/>
      <c r="ATW145" s="70"/>
      <c r="ATX145" s="70"/>
      <c r="ATY145" s="70"/>
      <c r="ATZ145" s="70"/>
      <c r="AUA145" s="70"/>
      <c r="AUB145" s="70"/>
      <c r="AUC145" s="70"/>
      <c r="AUD145" s="70"/>
      <c r="AUE145" s="70"/>
      <c r="AUF145" s="70"/>
      <c r="AUG145" s="70"/>
      <c r="AUH145" s="70"/>
      <c r="AUI145" s="70"/>
      <c r="AUJ145" s="70"/>
      <c r="AUK145" s="70"/>
      <c r="AUL145" s="70"/>
      <c r="AUM145" s="70"/>
      <c r="AUN145" s="70"/>
      <c r="AUO145" s="70"/>
      <c r="AUP145" s="70"/>
      <c r="AUQ145" s="70"/>
      <c r="AUR145" s="70"/>
      <c r="AUS145" s="70"/>
      <c r="AUT145" s="70"/>
      <c r="AUU145" s="70"/>
      <c r="AUV145" s="70"/>
      <c r="AUW145" s="70"/>
      <c r="AUX145" s="70"/>
      <c r="AUY145" s="70"/>
      <c r="AUZ145" s="70"/>
      <c r="AVA145" s="70"/>
      <c r="AVB145" s="70"/>
      <c r="AVC145" s="70"/>
      <c r="AVD145" s="70"/>
      <c r="AVE145" s="70"/>
      <c r="AVF145" s="70"/>
      <c r="AVG145" s="70"/>
      <c r="AVH145" s="70"/>
      <c r="AVI145" s="70"/>
      <c r="AVJ145" s="70"/>
      <c r="AVK145" s="70"/>
      <c r="AVL145" s="70"/>
      <c r="AVM145" s="70"/>
      <c r="AVN145" s="70"/>
      <c r="AVO145" s="70"/>
      <c r="AVP145" s="70"/>
      <c r="AVQ145" s="70"/>
      <c r="AVR145" s="70"/>
      <c r="AVS145" s="70"/>
      <c r="AVT145" s="70"/>
      <c r="AVU145" s="70"/>
      <c r="AVV145" s="70"/>
      <c r="AVW145" s="70"/>
      <c r="AVX145" s="70"/>
      <c r="AVY145" s="70"/>
      <c r="AVZ145" s="70"/>
      <c r="AWA145" s="70"/>
      <c r="AWB145" s="70"/>
      <c r="AWC145" s="70"/>
      <c r="AWD145" s="70"/>
      <c r="AWE145" s="70"/>
      <c r="AWF145" s="70"/>
      <c r="AWG145" s="70"/>
      <c r="AWH145" s="70"/>
      <c r="AWI145" s="70"/>
      <c r="AWJ145" s="70"/>
      <c r="AWK145" s="70"/>
      <c r="AWL145" s="70"/>
      <c r="AWM145" s="70"/>
      <c r="AWN145" s="70"/>
      <c r="AWO145" s="70"/>
      <c r="AWP145" s="70"/>
      <c r="AWQ145" s="70"/>
      <c r="AWR145" s="70"/>
      <c r="AWS145" s="70"/>
      <c r="AWT145" s="70"/>
      <c r="AWU145" s="70"/>
      <c r="AWV145" s="70"/>
      <c r="AWW145" s="70"/>
      <c r="AWX145" s="70"/>
      <c r="AWY145" s="70"/>
      <c r="AWZ145" s="70"/>
      <c r="AXA145" s="70"/>
      <c r="AXB145" s="70"/>
      <c r="AXC145" s="70"/>
      <c r="AXD145" s="70"/>
      <c r="AXE145" s="70"/>
      <c r="AXF145" s="70"/>
      <c r="AXG145" s="70"/>
      <c r="AXH145" s="70"/>
      <c r="AXI145" s="70"/>
      <c r="AXJ145" s="70"/>
      <c r="AXK145" s="70"/>
      <c r="AXL145" s="70"/>
      <c r="AXM145" s="70"/>
      <c r="AXN145" s="70"/>
      <c r="AXO145" s="70"/>
      <c r="AXP145" s="70"/>
      <c r="AXQ145" s="70"/>
      <c r="AXR145" s="70"/>
      <c r="AXS145" s="70"/>
      <c r="AXT145" s="70"/>
      <c r="AXU145" s="70"/>
      <c r="AXV145" s="70"/>
      <c r="AXW145" s="70"/>
      <c r="AXX145" s="70"/>
      <c r="AXY145" s="70"/>
      <c r="AXZ145" s="70"/>
      <c r="AYA145" s="70"/>
      <c r="AYB145" s="70"/>
      <c r="AYC145" s="70"/>
      <c r="AYD145" s="70"/>
      <c r="AYE145" s="70"/>
      <c r="AYF145" s="70"/>
      <c r="AYG145" s="70"/>
      <c r="AYH145" s="70"/>
      <c r="AYI145" s="70"/>
      <c r="AYJ145" s="70"/>
      <c r="AYK145" s="70"/>
      <c r="AYL145" s="70"/>
      <c r="AYM145" s="70"/>
      <c r="AYN145" s="70"/>
      <c r="AYO145" s="70"/>
      <c r="AYP145" s="70"/>
      <c r="AYQ145" s="70"/>
      <c r="AYR145" s="70"/>
      <c r="AYS145" s="70"/>
      <c r="AYT145" s="70"/>
      <c r="AYU145" s="70"/>
      <c r="AYV145" s="70"/>
      <c r="AYW145" s="70"/>
      <c r="AYX145" s="70"/>
      <c r="AYY145" s="70"/>
      <c r="AYZ145" s="70"/>
      <c r="AZA145" s="70"/>
      <c r="AZB145" s="70"/>
      <c r="AZC145" s="70"/>
      <c r="AZD145" s="70"/>
      <c r="AZE145" s="70"/>
      <c r="AZF145" s="70"/>
      <c r="AZG145" s="70"/>
      <c r="AZH145" s="70"/>
      <c r="AZI145" s="70"/>
      <c r="AZJ145" s="70"/>
      <c r="AZK145" s="70"/>
      <c r="AZL145" s="70"/>
      <c r="AZM145" s="70"/>
      <c r="AZN145" s="70"/>
      <c r="AZO145" s="70"/>
      <c r="AZP145" s="70"/>
      <c r="AZQ145" s="70"/>
      <c r="AZR145" s="70"/>
      <c r="AZS145" s="70"/>
      <c r="AZT145" s="70"/>
      <c r="AZU145" s="70"/>
      <c r="AZV145" s="70"/>
      <c r="AZW145" s="70"/>
      <c r="AZX145" s="70"/>
      <c r="AZY145" s="70"/>
      <c r="AZZ145" s="70"/>
      <c r="BAA145" s="70"/>
      <c r="BAB145" s="70"/>
      <c r="BAC145" s="70"/>
      <c r="BAD145" s="70"/>
      <c r="BAE145" s="70"/>
      <c r="BAF145" s="70"/>
      <c r="BAG145" s="70"/>
      <c r="BAH145" s="70"/>
      <c r="BAI145" s="70"/>
      <c r="BAJ145" s="70"/>
      <c r="BAK145" s="70"/>
      <c r="BAL145" s="70"/>
      <c r="BAM145" s="70"/>
      <c r="BAN145" s="70"/>
      <c r="BAO145" s="70"/>
      <c r="BAP145" s="70"/>
      <c r="BAQ145" s="70"/>
      <c r="BAR145" s="70"/>
      <c r="BAS145" s="70"/>
      <c r="BAT145" s="70"/>
      <c r="BAU145" s="70"/>
      <c r="BAV145" s="70"/>
      <c r="BAW145" s="70"/>
      <c r="BAX145" s="70"/>
      <c r="BAY145" s="70"/>
      <c r="BAZ145" s="70"/>
      <c r="BBA145" s="70"/>
      <c r="BBB145" s="70"/>
      <c r="BBC145" s="70"/>
      <c r="BBD145" s="70"/>
      <c r="BBE145" s="70"/>
      <c r="BBF145" s="70"/>
      <c r="BBG145" s="70"/>
      <c r="BBH145" s="70"/>
      <c r="BBI145" s="70"/>
      <c r="BBJ145" s="70"/>
      <c r="BBK145" s="70"/>
      <c r="BBL145" s="70"/>
      <c r="BBM145" s="70"/>
      <c r="BBN145" s="70"/>
      <c r="BBO145" s="70"/>
      <c r="BBP145" s="70"/>
      <c r="BBQ145" s="70"/>
      <c r="BBR145" s="70"/>
      <c r="BBS145" s="70"/>
      <c r="BBT145" s="70"/>
      <c r="BBU145" s="70"/>
      <c r="BBV145" s="70"/>
      <c r="BBW145" s="70"/>
      <c r="BBX145" s="70"/>
      <c r="BBY145" s="70"/>
      <c r="BBZ145" s="70"/>
      <c r="BCA145" s="70"/>
      <c r="BCB145" s="70"/>
      <c r="BCC145" s="70"/>
      <c r="BCD145" s="70"/>
      <c r="BCE145" s="70"/>
      <c r="BCF145" s="70"/>
      <c r="BCG145" s="70"/>
      <c r="BCH145" s="70"/>
      <c r="BCI145" s="70"/>
      <c r="BCJ145" s="70"/>
      <c r="BCK145" s="70"/>
      <c r="BCL145" s="70"/>
      <c r="BCM145" s="70"/>
      <c r="BCN145" s="70"/>
      <c r="BCO145" s="70"/>
      <c r="BCP145" s="70"/>
      <c r="BCQ145" s="70"/>
      <c r="BCR145" s="70"/>
      <c r="BCS145" s="70"/>
      <c r="BCT145" s="70"/>
      <c r="BCU145" s="70"/>
      <c r="BCV145" s="70"/>
      <c r="BCW145" s="70"/>
    </row>
    <row r="146" spans="1:1453" s="69" customFormat="1" ht="24.75" customHeight="1" x14ac:dyDescent="0.25">
      <c r="A146" s="50">
        <v>23</v>
      </c>
      <c r="B146" s="73" t="s">
        <v>470</v>
      </c>
      <c r="C146" s="73" t="s">
        <v>471</v>
      </c>
      <c r="D146" s="52">
        <v>65321</v>
      </c>
      <c r="E146" s="72" t="s">
        <v>472</v>
      </c>
      <c r="F146" s="73" t="s">
        <v>68</v>
      </c>
      <c r="G146" s="71"/>
      <c r="H146" s="71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  <c r="IX146" s="70"/>
      <c r="IY146" s="70"/>
      <c r="IZ146" s="70"/>
      <c r="JA146" s="70"/>
      <c r="JB146" s="70"/>
      <c r="JC146" s="70"/>
      <c r="JD146" s="70"/>
      <c r="JE146" s="70"/>
      <c r="JF146" s="70"/>
      <c r="JG146" s="70"/>
      <c r="JH146" s="70"/>
      <c r="JI146" s="70"/>
      <c r="JJ146" s="70"/>
      <c r="JK146" s="70"/>
      <c r="JL146" s="70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70"/>
      <c r="JZ146" s="70"/>
      <c r="KA146" s="70"/>
      <c r="KB146" s="70"/>
      <c r="KC146" s="70"/>
      <c r="KD146" s="70"/>
      <c r="KE146" s="70"/>
      <c r="KF146" s="70"/>
      <c r="KG146" s="70"/>
      <c r="KH146" s="70"/>
      <c r="KI146" s="70"/>
      <c r="KJ146" s="70"/>
      <c r="KK146" s="70"/>
      <c r="KL146" s="70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70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70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70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70"/>
      <c r="MM146" s="70"/>
      <c r="MN146" s="70"/>
      <c r="MO146" s="70"/>
      <c r="MP146" s="70"/>
      <c r="MQ146" s="70"/>
      <c r="MR146" s="70"/>
      <c r="MS146" s="70"/>
      <c r="MT146" s="70"/>
      <c r="MU146" s="70"/>
      <c r="MV146" s="70"/>
      <c r="MW146" s="70"/>
      <c r="MX146" s="70"/>
      <c r="MY146" s="70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  <c r="NN146" s="70"/>
      <c r="NO146" s="70"/>
      <c r="NP146" s="70"/>
      <c r="NQ146" s="70"/>
      <c r="NR146" s="70"/>
      <c r="NS146" s="70"/>
      <c r="NT146" s="70"/>
      <c r="NU146" s="70"/>
      <c r="NV146" s="70"/>
      <c r="NW146" s="70"/>
      <c r="NX146" s="70"/>
      <c r="NY146" s="70"/>
      <c r="NZ146" s="70"/>
      <c r="OA146" s="70"/>
      <c r="OB146" s="70"/>
      <c r="OC146" s="70"/>
      <c r="OD146" s="70"/>
      <c r="OE146" s="70"/>
      <c r="OF146" s="70"/>
      <c r="OG146" s="70"/>
      <c r="OH146" s="70"/>
      <c r="OI146" s="70"/>
      <c r="OJ146" s="70"/>
      <c r="OK146" s="70"/>
      <c r="OL146" s="70"/>
      <c r="OM146" s="70"/>
      <c r="ON146" s="70"/>
      <c r="OO146" s="70"/>
      <c r="OP146" s="70"/>
      <c r="OQ146" s="70"/>
      <c r="OR146" s="70"/>
      <c r="OS146" s="70"/>
      <c r="OT146" s="70"/>
      <c r="OU146" s="70"/>
      <c r="OV146" s="70"/>
      <c r="OW146" s="70"/>
      <c r="OX146" s="70"/>
      <c r="OY146" s="70"/>
      <c r="OZ146" s="70"/>
      <c r="PA146" s="70"/>
      <c r="PB146" s="70"/>
      <c r="PC146" s="70"/>
      <c r="PD146" s="70"/>
      <c r="PE146" s="70"/>
      <c r="PF146" s="70"/>
      <c r="PG146" s="70"/>
      <c r="PH146" s="70"/>
      <c r="PI146" s="70"/>
      <c r="PJ146" s="70"/>
      <c r="PK146" s="70"/>
      <c r="PL146" s="70"/>
      <c r="PM146" s="70"/>
      <c r="PN146" s="70"/>
      <c r="PO146" s="70"/>
      <c r="PP146" s="70"/>
      <c r="PQ146" s="70"/>
      <c r="PR146" s="70"/>
      <c r="PS146" s="70"/>
      <c r="PT146" s="70"/>
      <c r="PU146" s="70"/>
      <c r="PV146" s="70"/>
      <c r="PW146" s="70"/>
      <c r="PX146" s="70"/>
      <c r="PY146" s="70"/>
      <c r="PZ146" s="70"/>
      <c r="QA146" s="70"/>
      <c r="QB146" s="70"/>
      <c r="QC146" s="70"/>
      <c r="QD146" s="70"/>
      <c r="QE146" s="70"/>
      <c r="QF146" s="70"/>
      <c r="QG146" s="70"/>
      <c r="QH146" s="70"/>
      <c r="QI146" s="70"/>
      <c r="QJ146" s="70"/>
      <c r="QK146" s="70"/>
      <c r="QL146" s="70"/>
      <c r="QM146" s="70"/>
      <c r="QN146" s="70"/>
      <c r="QO146" s="70"/>
      <c r="QP146" s="70"/>
      <c r="QQ146" s="70"/>
      <c r="QR146" s="70"/>
      <c r="QS146" s="70"/>
      <c r="QT146" s="70"/>
      <c r="QU146" s="70"/>
      <c r="QV146" s="70"/>
      <c r="QW146" s="70"/>
      <c r="QX146" s="70"/>
      <c r="QY146" s="70"/>
      <c r="QZ146" s="70"/>
      <c r="RA146" s="70"/>
      <c r="RB146" s="70"/>
      <c r="RC146" s="70"/>
      <c r="RD146" s="70"/>
      <c r="RE146" s="70"/>
      <c r="RF146" s="70"/>
      <c r="RG146" s="70"/>
      <c r="RH146" s="70"/>
      <c r="RI146" s="70"/>
      <c r="RJ146" s="70"/>
      <c r="RK146" s="70"/>
      <c r="RL146" s="70"/>
      <c r="RM146" s="70"/>
      <c r="RN146" s="70"/>
      <c r="RO146" s="70"/>
      <c r="RP146" s="70"/>
      <c r="RQ146" s="70"/>
      <c r="RR146" s="70"/>
      <c r="RS146" s="70"/>
      <c r="RT146" s="70"/>
      <c r="RU146" s="70"/>
      <c r="RV146" s="70"/>
      <c r="RW146" s="70"/>
      <c r="RX146" s="70"/>
      <c r="RY146" s="70"/>
      <c r="RZ146" s="70"/>
      <c r="SA146" s="70"/>
      <c r="SB146" s="70"/>
      <c r="SC146" s="70"/>
      <c r="SD146" s="70"/>
      <c r="SE146" s="70"/>
      <c r="SF146" s="70"/>
      <c r="SG146" s="70"/>
      <c r="SH146" s="70"/>
      <c r="SI146" s="70"/>
      <c r="SJ146" s="70"/>
      <c r="SK146" s="70"/>
      <c r="SL146" s="70"/>
      <c r="SM146" s="70"/>
      <c r="SN146" s="70"/>
      <c r="SO146" s="70"/>
      <c r="SP146" s="70"/>
      <c r="SQ146" s="70"/>
      <c r="SR146" s="70"/>
      <c r="SS146" s="70"/>
      <c r="ST146" s="70"/>
      <c r="SU146" s="70"/>
      <c r="SV146" s="70"/>
      <c r="SW146" s="70"/>
      <c r="SX146" s="70"/>
      <c r="SY146" s="70"/>
      <c r="SZ146" s="70"/>
      <c r="TA146" s="70"/>
      <c r="TB146" s="70"/>
      <c r="TC146" s="70"/>
      <c r="TD146" s="70"/>
      <c r="TE146" s="70"/>
      <c r="TF146" s="70"/>
      <c r="TG146" s="70"/>
      <c r="TH146" s="70"/>
      <c r="TI146" s="70"/>
      <c r="TJ146" s="70"/>
      <c r="TK146" s="70"/>
      <c r="TL146" s="70"/>
      <c r="TM146" s="70"/>
      <c r="TN146" s="70"/>
      <c r="TO146" s="70"/>
      <c r="TP146" s="70"/>
      <c r="TQ146" s="70"/>
      <c r="TR146" s="70"/>
      <c r="TS146" s="70"/>
      <c r="TT146" s="70"/>
      <c r="TU146" s="70"/>
      <c r="TV146" s="70"/>
      <c r="TW146" s="70"/>
      <c r="TX146" s="70"/>
      <c r="TY146" s="70"/>
      <c r="TZ146" s="70"/>
      <c r="UA146" s="70"/>
      <c r="UB146" s="70"/>
      <c r="UC146" s="70"/>
      <c r="UD146" s="70"/>
      <c r="UE146" s="70"/>
      <c r="UF146" s="70"/>
      <c r="UG146" s="70"/>
      <c r="UH146" s="70"/>
      <c r="UI146" s="70"/>
      <c r="UJ146" s="70"/>
      <c r="UK146" s="70"/>
      <c r="UL146" s="70"/>
      <c r="UM146" s="70"/>
      <c r="UN146" s="70"/>
      <c r="UO146" s="70"/>
      <c r="UP146" s="70"/>
      <c r="UQ146" s="70"/>
      <c r="UR146" s="70"/>
      <c r="US146" s="70"/>
      <c r="UT146" s="70"/>
      <c r="UU146" s="70"/>
      <c r="UV146" s="70"/>
      <c r="UW146" s="70"/>
      <c r="UX146" s="70"/>
      <c r="UY146" s="70"/>
      <c r="UZ146" s="70"/>
      <c r="VA146" s="70"/>
      <c r="VB146" s="70"/>
      <c r="VC146" s="70"/>
      <c r="VD146" s="70"/>
      <c r="VE146" s="70"/>
      <c r="VF146" s="70"/>
      <c r="VG146" s="70"/>
      <c r="VH146" s="70"/>
      <c r="VI146" s="70"/>
      <c r="VJ146" s="70"/>
      <c r="VK146" s="70"/>
      <c r="VL146" s="70"/>
      <c r="VM146" s="70"/>
      <c r="VN146" s="70"/>
      <c r="VO146" s="70"/>
      <c r="VP146" s="70"/>
      <c r="VQ146" s="70"/>
      <c r="VR146" s="70"/>
      <c r="VS146" s="70"/>
      <c r="VT146" s="70"/>
      <c r="VU146" s="70"/>
      <c r="VV146" s="70"/>
      <c r="VW146" s="70"/>
      <c r="VX146" s="70"/>
      <c r="VY146" s="70"/>
      <c r="VZ146" s="70"/>
      <c r="WA146" s="70"/>
      <c r="WB146" s="70"/>
      <c r="WC146" s="70"/>
      <c r="WD146" s="70"/>
      <c r="WE146" s="70"/>
      <c r="WF146" s="70"/>
      <c r="WG146" s="70"/>
      <c r="WH146" s="70"/>
      <c r="WI146" s="70"/>
      <c r="WJ146" s="70"/>
      <c r="WK146" s="70"/>
      <c r="WL146" s="70"/>
      <c r="WM146" s="70"/>
      <c r="WN146" s="70"/>
      <c r="WO146" s="70"/>
      <c r="WP146" s="70"/>
      <c r="WQ146" s="70"/>
      <c r="WR146" s="70"/>
      <c r="WS146" s="70"/>
      <c r="WT146" s="70"/>
      <c r="WU146" s="70"/>
      <c r="WV146" s="70"/>
      <c r="WW146" s="70"/>
      <c r="WX146" s="70"/>
      <c r="WY146" s="70"/>
      <c r="WZ146" s="70"/>
      <c r="XA146" s="70"/>
      <c r="XB146" s="70"/>
      <c r="XC146" s="70"/>
      <c r="XD146" s="70"/>
      <c r="XE146" s="70"/>
      <c r="XF146" s="70"/>
      <c r="XG146" s="70"/>
      <c r="XH146" s="70"/>
      <c r="XI146" s="70"/>
      <c r="XJ146" s="70"/>
      <c r="XK146" s="70"/>
      <c r="XL146" s="70"/>
      <c r="XM146" s="70"/>
      <c r="XN146" s="70"/>
      <c r="XO146" s="70"/>
      <c r="XP146" s="70"/>
      <c r="XQ146" s="70"/>
      <c r="XR146" s="70"/>
      <c r="XS146" s="70"/>
      <c r="XT146" s="70"/>
      <c r="XU146" s="70"/>
      <c r="XV146" s="70"/>
      <c r="XW146" s="70"/>
      <c r="XX146" s="70"/>
      <c r="XY146" s="70"/>
      <c r="XZ146" s="70"/>
      <c r="YA146" s="70"/>
      <c r="YB146" s="70"/>
      <c r="YC146" s="70"/>
      <c r="YD146" s="70"/>
      <c r="YE146" s="70"/>
      <c r="YF146" s="70"/>
      <c r="YG146" s="70"/>
      <c r="YH146" s="70"/>
      <c r="YI146" s="70"/>
      <c r="YJ146" s="70"/>
      <c r="YK146" s="70"/>
      <c r="YL146" s="70"/>
      <c r="YM146" s="70"/>
      <c r="YN146" s="70"/>
      <c r="YO146" s="70"/>
      <c r="YP146" s="70"/>
      <c r="YQ146" s="70"/>
      <c r="YR146" s="70"/>
      <c r="YS146" s="70"/>
      <c r="YT146" s="70"/>
      <c r="YU146" s="70"/>
      <c r="YV146" s="70"/>
      <c r="YW146" s="70"/>
      <c r="YX146" s="70"/>
      <c r="YY146" s="70"/>
      <c r="YZ146" s="70"/>
      <c r="ZA146" s="70"/>
      <c r="ZB146" s="70"/>
      <c r="ZC146" s="70"/>
      <c r="ZD146" s="70"/>
      <c r="ZE146" s="70"/>
      <c r="ZF146" s="70"/>
      <c r="ZG146" s="70"/>
      <c r="ZH146" s="70"/>
      <c r="ZI146" s="70"/>
      <c r="ZJ146" s="70"/>
      <c r="ZK146" s="70"/>
      <c r="ZL146" s="70"/>
      <c r="ZM146" s="70"/>
      <c r="ZN146" s="70"/>
      <c r="ZO146" s="70"/>
      <c r="ZP146" s="70"/>
      <c r="ZQ146" s="70"/>
      <c r="ZR146" s="70"/>
      <c r="ZS146" s="70"/>
      <c r="ZT146" s="70"/>
      <c r="ZU146" s="70"/>
      <c r="ZV146" s="70"/>
      <c r="ZW146" s="70"/>
      <c r="ZX146" s="70"/>
      <c r="ZY146" s="70"/>
      <c r="ZZ146" s="70"/>
      <c r="AAA146" s="70"/>
      <c r="AAB146" s="70"/>
      <c r="AAC146" s="70"/>
      <c r="AAD146" s="70"/>
      <c r="AAE146" s="70"/>
      <c r="AAF146" s="70"/>
      <c r="AAG146" s="70"/>
      <c r="AAH146" s="70"/>
      <c r="AAI146" s="70"/>
      <c r="AAJ146" s="70"/>
      <c r="AAK146" s="70"/>
      <c r="AAL146" s="70"/>
      <c r="AAM146" s="70"/>
      <c r="AAN146" s="70"/>
      <c r="AAO146" s="70"/>
      <c r="AAP146" s="70"/>
      <c r="AAQ146" s="70"/>
      <c r="AAR146" s="70"/>
      <c r="AAS146" s="70"/>
      <c r="AAT146" s="70"/>
      <c r="AAU146" s="70"/>
      <c r="AAV146" s="70"/>
      <c r="AAW146" s="70"/>
      <c r="AAX146" s="70"/>
      <c r="AAY146" s="70"/>
      <c r="AAZ146" s="70"/>
      <c r="ABA146" s="70"/>
      <c r="ABB146" s="70"/>
      <c r="ABC146" s="70"/>
      <c r="ABD146" s="70"/>
      <c r="ABE146" s="70"/>
      <c r="ABF146" s="70"/>
      <c r="ABG146" s="70"/>
      <c r="ABH146" s="70"/>
      <c r="ABI146" s="70"/>
      <c r="ABJ146" s="70"/>
      <c r="ABK146" s="70"/>
      <c r="ABL146" s="70"/>
      <c r="ABM146" s="70"/>
      <c r="ABN146" s="70"/>
      <c r="ABO146" s="70"/>
      <c r="ABP146" s="70"/>
      <c r="ABQ146" s="70"/>
      <c r="ABR146" s="70"/>
      <c r="ABS146" s="70"/>
      <c r="ABT146" s="70"/>
      <c r="ABU146" s="70"/>
      <c r="ABV146" s="70"/>
      <c r="ABW146" s="70"/>
      <c r="ABX146" s="70"/>
      <c r="ABY146" s="70"/>
      <c r="ABZ146" s="70"/>
      <c r="ACA146" s="70"/>
      <c r="ACB146" s="70"/>
      <c r="ACC146" s="70"/>
      <c r="ACD146" s="70"/>
      <c r="ACE146" s="70"/>
      <c r="ACF146" s="70"/>
      <c r="ACG146" s="70"/>
      <c r="ACH146" s="70"/>
      <c r="ACI146" s="70"/>
      <c r="ACJ146" s="70"/>
      <c r="ACK146" s="70"/>
      <c r="ACL146" s="70"/>
      <c r="ACM146" s="70"/>
      <c r="ACN146" s="70"/>
      <c r="ACO146" s="70"/>
      <c r="ACP146" s="70"/>
      <c r="ACQ146" s="70"/>
      <c r="ACR146" s="70"/>
      <c r="ACS146" s="70"/>
      <c r="ACT146" s="70"/>
      <c r="ACU146" s="70"/>
      <c r="ACV146" s="70"/>
      <c r="ACW146" s="70"/>
      <c r="ACX146" s="70"/>
      <c r="ACY146" s="70"/>
      <c r="ACZ146" s="70"/>
      <c r="ADA146" s="70"/>
      <c r="ADB146" s="70"/>
      <c r="ADC146" s="70"/>
      <c r="ADD146" s="70"/>
      <c r="ADE146" s="70"/>
      <c r="ADF146" s="70"/>
      <c r="ADG146" s="70"/>
      <c r="ADH146" s="70"/>
      <c r="ADI146" s="70"/>
      <c r="ADJ146" s="70"/>
      <c r="ADK146" s="70"/>
      <c r="ADL146" s="70"/>
      <c r="ADM146" s="70"/>
      <c r="ADN146" s="70"/>
      <c r="ADO146" s="70"/>
      <c r="ADP146" s="70"/>
      <c r="ADQ146" s="70"/>
      <c r="ADR146" s="70"/>
      <c r="ADS146" s="70"/>
      <c r="ADT146" s="70"/>
      <c r="ADU146" s="70"/>
      <c r="ADV146" s="70"/>
      <c r="ADW146" s="70"/>
      <c r="ADX146" s="70"/>
      <c r="ADY146" s="70"/>
      <c r="ADZ146" s="70"/>
      <c r="AEA146" s="70"/>
      <c r="AEB146" s="70"/>
      <c r="AEC146" s="70"/>
      <c r="AED146" s="70"/>
      <c r="AEE146" s="70"/>
      <c r="AEF146" s="70"/>
      <c r="AEG146" s="70"/>
      <c r="AEH146" s="70"/>
      <c r="AEI146" s="70"/>
      <c r="AEJ146" s="70"/>
      <c r="AEK146" s="70"/>
      <c r="AEL146" s="70"/>
      <c r="AEM146" s="70"/>
      <c r="AEN146" s="70"/>
      <c r="AEO146" s="70"/>
      <c r="AEP146" s="70"/>
      <c r="AEQ146" s="70"/>
      <c r="AER146" s="70"/>
      <c r="AES146" s="70"/>
      <c r="AET146" s="70"/>
      <c r="AEU146" s="70"/>
      <c r="AEV146" s="70"/>
      <c r="AEW146" s="70"/>
      <c r="AEX146" s="70"/>
      <c r="AEY146" s="70"/>
      <c r="AEZ146" s="70"/>
      <c r="AFA146" s="70"/>
      <c r="AFB146" s="70"/>
      <c r="AFC146" s="70"/>
      <c r="AFD146" s="70"/>
      <c r="AFE146" s="70"/>
      <c r="AFF146" s="70"/>
      <c r="AFG146" s="70"/>
      <c r="AFH146" s="70"/>
      <c r="AFI146" s="70"/>
      <c r="AFJ146" s="70"/>
      <c r="AFK146" s="70"/>
      <c r="AFL146" s="70"/>
      <c r="AFM146" s="70"/>
      <c r="AFN146" s="70"/>
      <c r="AFO146" s="70"/>
      <c r="AFP146" s="70"/>
      <c r="AFQ146" s="70"/>
      <c r="AFR146" s="70"/>
      <c r="AFS146" s="70"/>
      <c r="AFT146" s="70"/>
      <c r="AFU146" s="70"/>
      <c r="AFV146" s="70"/>
      <c r="AFW146" s="70"/>
      <c r="AFX146" s="70"/>
      <c r="AFY146" s="70"/>
      <c r="AFZ146" s="70"/>
      <c r="AGA146" s="70"/>
      <c r="AGB146" s="70"/>
      <c r="AGC146" s="70"/>
      <c r="AGD146" s="70"/>
      <c r="AGE146" s="70"/>
      <c r="AGF146" s="70"/>
      <c r="AGG146" s="70"/>
      <c r="AGH146" s="70"/>
      <c r="AGI146" s="70"/>
      <c r="AGJ146" s="70"/>
      <c r="AGK146" s="70"/>
      <c r="AGL146" s="70"/>
      <c r="AGM146" s="70"/>
      <c r="AGN146" s="70"/>
      <c r="AGO146" s="70"/>
      <c r="AGP146" s="70"/>
      <c r="AGQ146" s="70"/>
      <c r="AGR146" s="70"/>
      <c r="AGS146" s="70"/>
      <c r="AGT146" s="70"/>
      <c r="AGU146" s="70"/>
      <c r="AGV146" s="70"/>
      <c r="AGW146" s="70"/>
      <c r="AGX146" s="70"/>
      <c r="AGY146" s="70"/>
      <c r="AGZ146" s="70"/>
      <c r="AHA146" s="70"/>
      <c r="AHB146" s="70"/>
      <c r="AHC146" s="70"/>
      <c r="AHD146" s="70"/>
      <c r="AHE146" s="70"/>
      <c r="AHF146" s="70"/>
      <c r="AHG146" s="70"/>
      <c r="AHH146" s="70"/>
      <c r="AHI146" s="70"/>
      <c r="AHJ146" s="70"/>
      <c r="AHK146" s="70"/>
      <c r="AHL146" s="70"/>
      <c r="AHM146" s="70"/>
      <c r="AHN146" s="70"/>
      <c r="AHO146" s="70"/>
      <c r="AHP146" s="70"/>
      <c r="AHQ146" s="70"/>
      <c r="AHR146" s="70"/>
      <c r="AHS146" s="70"/>
      <c r="AHT146" s="70"/>
      <c r="AHU146" s="70"/>
      <c r="AHV146" s="70"/>
      <c r="AHW146" s="70"/>
      <c r="AHX146" s="70"/>
      <c r="AHY146" s="70"/>
      <c r="AHZ146" s="70"/>
      <c r="AIA146" s="70"/>
      <c r="AIB146" s="70"/>
      <c r="AIC146" s="70"/>
      <c r="AID146" s="70"/>
      <c r="AIE146" s="70"/>
      <c r="AIF146" s="70"/>
      <c r="AIG146" s="70"/>
      <c r="AIH146" s="70"/>
      <c r="AII146" s="70"/>
      <c r="AIJ146" s="70"/>
      <c r="AIK146" s="70"/>
      <c r="AIL146" s="70"/>
      <c r="AIM146" s="70"/>
      <c r="AIN146" s="70"/>
      <c r="AIO146" s="70"/>
      <c r="AIP146" s="70"/>
      <c r="AIQ146" s="70"/>
      <c r="AIR146" s="70"/>
      <c r="AIS146" s="70"/>
      <c r="AIT146" s="70"/>
      <c r="AIU146" s="70"/>
      <c r="AIV146" s="70"/>
      <c r="AIW146" s="70"/>
      <c r="AIX146" s="70"/>
      <c r="AIY146" s="70"/>
      <c r="AIZ146" s="70"/>
      <c r="AJA146" s="70"/>
      <c r="AJB146" s="70"/>
      <c r="AJC146" s="70"/>
      <c r="AJD146" s="70"/>
      <c r="AJE146" s="70"/>
      <c r="AJF146" s="70"/>
      <c r="AJG146" s="70"/>
      <c r="AJH146" s="70"/>
      <c r="AJI146" s="70"/>
      <c r="AJJ146" s="70"/>
      <c r="AJK146" s="70"/>
      <c r="AJL146" s="70"/>
      <c r="AJM146" s="70"/>
      <c r="AJN146" s="70"/>
      <c r="AJO146" s="70"/>
      <c r="AJP146" s="70"/>
      <c r="AJQ146" s="70"/>
      <c r="AJR146" s="70"/>
      <c r="AJS146" s="70"/>
      <c r="AJT146" s="70"/>
      <c r="AJU146" s="70"/>
      <c r="AJV146" s="70"/>
      <c r="AJW146" s="70"/>
      <c r="AJX146" s="70"/>
      <c r="AJY146" s="70"/>
      <c r="AJZ146" s="70"/>
      <c r="AKA146" s="70"/>
      <c r="AKB146" s="70"/>
      <c r="AKC146" s="70"/>
      <c r="AKD146" s="70"/>
      <c r="AKE146" s="70"/>
      <c r="AKF146" s="70"/>
      <c r="AKG146" s="70"/>
      <c r="AKH146" s="70"/>
      <c r="AKI146" s="70"/>
      <c r="AKJ146" s="70"/>
      <c r="AKK146" s="70"/>
      <c r="AKL146" s="70"/>
      <c r="AKM146" s="70"/>
      <c r="AKN146" s="70"/>
      <c r="AKO146" s="70"/>
      <c r="AKP146" s="70"/>
      <c r="AKQ146" s="70"/>
      <c r="AKR146" s="70"/>
      <c r="AKS146" s="70"/>
      <c r="AKT146" s="70"/>
      <c r="AKU146" s="70"/>
      <c r="AKV146" s="70"/>
      <c r="AKW146" s="70"/>
      <c r="AKX146" s="70"/>
      <c r="AKY146" s="70"/>
      <c r="AKZ146" s="70"/>
      <c r="ALA146" s="70"/>
      <c r="ALB146" s="70"/>
      <c r="ALC146" s="70"/>
      <c r="ALD146" s="70"/>
      <c r="ALE146" s="70"/>
      <c r="ALF146" s="70"/>
      <c r="ALG146" s="70"/>
      <c r="ALH146" s="70"/>
      <c r="ALI146" s="70"/>
      <c r="ALJ146" s="70"/>
      <c r="ALK146" s="70"/>
      <c r="ALL146" s="70"/>
      <c r="ALM146" s="70"/>
      <c r="ALN146" s="70"/>
      <c r="ALO146" s="70"/>
      <c r="ALP146" s="70"/>
      <c r="ALQ146" s="70"/>
      <c r="ALR146" s="70"/>
      <c r="ALS146" s="70"/>
      <c r="ALT146" s="70"/>
      <c r="ALU146" s="70"/>
      <c r="ALV146" s="70"/>
      <c r="ALW146" s="70"/>
      <c r="ALX146" s="70"/>
      <c r="ALY146" s="70"/>
      <c r="ALZ146" s="70"/>
      <c r="AMA146" s="70"/>
      <c r="AMB146" s="70"/>
      <c r="AMC146" s="70"/>
      <c r="AMD146" s="70"/>
      <c r="AME146" s="70"/>
      <c r="AMF146" s="70"/>
      <c r="AMG146" s="70"/>
      <c r="AMH146" s="70"/>
      <c r="AMI146" s="70"/>
      <c r="AMJ146" s="70"/>
      <c r="AMK146" s="70"/>
      <c r="AML146" s="70"/>
      <c r="AMM146" s="70"/>
      <c r="AMN146" s="70"/>
      <c r="AMO146" s="70"/>
      <c r="AMP146" s="70"/>
      <c r="AMQ146" s="70"/>
      <c r="AMR146" s="70"/>
      <c r="AMS146" s="70"/>
      <c r="AMT146" s="70"/>
      <c r="AMU146" s="70"/>
      <c r="AMV146" s="70"/>
      <c r="AMW146" s="70"/>
      <c r="AMX146" s="70"/>
      <c r="AMY146" s="70"/>
      <c r="AMZ146" s="70"/>
      <c r="ANA146" s="70"/>
      <c r="ANB146" s="70"/>
      <c r="ANC146" s="70"/>
      <c r="AND146" s="70"/>
      <c r="ANE146" s="70"/>
      <c r="ANF146" s="70"/>
      <c r="ANG146" s="70"/>
      <c r="ANH146" s="70"/>
      <c r="ANI146" s="70"/>
      <c r="ANJ146" s="70"/>
      <c r="ANK146" s="70"/>
      <c r="ANL146" s="70"/>
      <c r="ANM146" s="70"/>
      <c r="ANN146" s="70"/>
      <c r="ANO146" s="70"/>
      <c r="ANP146" s="70"/>
      <c r="ANQ146" s="70"/>
      <c r="ANR146" s="70"/>
      <c r="ANS146" s="70"/>
      <c r="ANT146" s="70"/>
      <c r="ANU146" s="70"/>
      <c r="ANV146" s="70"/>
      <c r="ANW146" s="70"/>
      <c r="ANX146" s="70"/>
      <c r="ANY146" s="70"/>
      <c r="ANZ146" s="70"/>
      <c r="AOA146" s="70"/>
      <c r="AOB146" s="70"/>
      <c r="AOC146" s="70"/>
      <c r="AOD146" s="70"/>
      <c r="AOE146" s="70"/>
      <c r="AOF146" s="70"/>
      <c r="AOG146" s="70"/>
      <c r="AOH146" s="70"/>
      <c r="AOI146" s="70"/>
      <c r="AOJ146" s="70"/>
      <c r="AOK146" s="70"/>
      <c r="AOL146" s="70"/>
      <c r="AOM146" s="70"/>
      <c r="AON146" s="70"/>
      <c r="AOO146" s="70"/>
      <c r="AOP146" s="70"/>
      <c r="AOQ146" s="70"/>
      <c r="AOR146" s="70"/>
      <c r="AOS146" s="70"/>
      <c r="AOT146" s="70"/>
      <c r="AOU146" s="70"/>
      <c r="AOV146" s="70"/>
      <c r="AOW146" s="70"/>
      <c r="AOX146" s="70"/>
      <c r="AOY146" s="70"/>
      <c r="AOZ146" s="70"/>
      <c r="APA146" s="70"/>
      <c r="APB146" s="70"/>
      <c r="APC146" s="70"/>
      <c r="APD146" s="70"/>
      <c r="APE146" s="70"/>
      <c r="APF146" s="70"/>
      <c r="APG146" s="70"/>
      <c r="APH146" s="70"/>
      <c r="API146" s="70"/>
      <c r="APJ146" s="70"/>
      <c r="APK146" s="70"/>
      <c r="APL146" s="70"/>
      <c r="APM146" s="70"/>
      <c r="APN146" s="70"/>
      <c r="APO146" s="70"/>
      <c r="APP146" s="70"/>
      <c r="APQ146" s="70"/>
      <c r="APR146" s="70"/>
      <c r="APS146" s="70"/>
      <c r="APT146" s="70"/>
      <c r="APU146" s="70"/>
      <c r="APV146" s="70"/>
      <c r="APW146" s="70"/>
      <c r="APX146" s="70"/>
      <c r="APY146" s="70"/>
      <c r="APZ146" s="70"/>
      <c r="AQA146" s="70"/>
      <c r="AQB146" s="70"/>
      <c r="AQC146" s="70"/>
      <c r="AQD146" s="70"/>
      <c r="AQE146" s="70"/>
      <c r="AQF146" s="70"/>
      <c r="AQG146" s="70"/>
      <c r="AQH146" s="70"/>
      <c r="AQI146" s="70"/>
      <c r="AQJ146" s="70"/>
      <c r="AQK146" s="70"/>
      <c r="AQL146" s="70"/>
      <c r="AQM146" s="70"/>
      <c r="AQN146" s="70"/>
      <c r="AQO146" s="70"/>
      <c r="AQP146" s="70"/>
      <c r="AQQ146" s="70"/>
      <c r="AQR146" s="70"/>
      <c r="AQS146" s="70"/>
      <c r="AQT146" s="70"/>
      <c r="AQU146" s="70"/>
      <c r="AQV146" s="70"/>
      <c r="AQW146" s="70"/>
      <c r="AQX146" s="70"/>
      <c r="AQY146" s="70"/>
      <c r="AQZ146" s="70"/>
      <c r="ARA146" s="70"/>
      <c r="ARB146" s="70"/>
      <c r="ARC146" s="70"/>
      <c r="ARD146" s="70"/>
      <c r="ARE146" s="70"/>
      <c r="ARF146" s="70"/>
      <c r="ARG146" s="70"/>
      <c r="ARH146" s="70"/>
      <c r="ARI146" s="70"/>
      <c r="ARJ146" s="70"/>
      <c r="ARK146" s="70"/>
      <c r="ARL146" s="70"/>
      <c r="ARM146" s="70"/>
      <c r="ARN146" s="70"/>
      <c r="ARO146" s="70"/>
      <c r="ARP146" s="70"/>
      <c r="ARQ146" s="70"/>
      <c r="ARR146" s="70"/>
      <c r="ARS146" s="70"/>
      <c r="ART146" s="70"/>
      <c r="ARU146" s="70"/>
      <c r="ARV146" s="70"/>
      <c r="ARW146" s="70"/>
      <c r="ARX146" s="70"/>
      <c r="ARY146" s="70"/>
      <c r="ARZ146" s="70"/>
      <c r="ASA146" s="70"/>
      <c r="ASB146" s="70"/>
      <c r="ASC146" s="70"/>
      <c r="ASD146" s="70"/>
      <c r="ASE146" s="70"/>
      <c r="ASF146" s="70"/>
      <c r="ASG146" s="70"/>
      <c r="ASH146" s="70"/>
      <c r="ASI146" s="70"/>
      <c r="ASJ146" s="70"/>
      <c r="ASK146" s="70"/>
      <c r="ASL146" s="70"/>
      <c r="ASM146" s="70"/>
      <c r="ASN146" s="70"/>
      <c r="ASO146" s="70"/>
      <c r="ASP146" s="70"/>
      <c r="ASQ146" s="70"/>
      <c r="ASR146" s="70"/>
      <c r="ASS146" s="70"/>
      <c r="AST146" s="70"/>
      <c r="ASU146" s="70"/>
      <c r="ASV146" s="70"/>
      <c r="ASW146" s="70"/>
      <c r="ASX146" s="70"/>
      <c r="ASY146" s="70"/>
      <c r="ASZ146" s="70"/>
      <c r="ATA146" s="70"/>
      <c r="ATB146" s="70"/>
      <c r="ATC146" s="70"/>
      <c r="ATD146" s="70"/>
      <c r="ATE146" s="70"/>
      <c r="ATF146" s="70"/>
      <c r="ATG146" s="70"/>
      <c r="ATH146" s="70"/>
      <c r="ATI146" s="70"/>
      <c r="ATJ146" s="70"/>
      <c r="ATK146" s="70"/>
      <c r="ATL146" s="70"/>
      <c r="ATM146" s="70"/>
      <c r="ATN146" s="70"/>
      <c r="ATO146" s="70"/>
      <c r="ATP146" s="70"/>
      <c r="ATQ146" s="70"/>
      <c r="ATR146" s="70"/>
      <c r="ATS146" s="70"/>
      <c r="ATT146" s="70"/>
      <c r="ATU146" s="70"/>
      <c r="ATV146" s="70"/>
      <c r="ATW146" s="70"/>
      <c r="ATX146" s="70"/>
      <c r="ATY146" s="70"/>
      <c r="ATZ146" s="70"/>
      <c r="AUA146" s="70"/>
      <c r="AUB146" s="70"/>
      <c r="AUC146" s="70"/>
      <c r="AUD146" s="70"/>
      <c r="AUE146" s="70"/>
      <c r="AUF146" s="70"/>
      <c r="AUG146" s="70"/>
      <c r="AUH146" s="70"/>
      <c r="AUI146" s="70"/>
      <c r="AUJ146" s="70"/>
      <c r="AUK146" s="70"/>
      <c r="AUL146" s="70"/>
      <c r="AUM146" s="70"/>
      <c r="AUN146" s="70"/>
      <c r="AUO146" s="70"/>
      <c r="AUP146" s="70"/>
      <c r="AUQ146" s="70"/>
      <c r="AUR146" s="70"/>
      <c r="AUS146" s="70"/>
      <c r="AUT146" s="70"/>
      <c r="AUU146" s="70"/>
      <c r="AUV146" s="70"/>
      <c r="AUW146" s="70"/>
      <c r="AUX146" s="70"/>
      <c r="AUY146" s="70"/>
      <c r="AUZ146" s="70"/>
      <c r="AVA146" s="70"/>
      <c r="AVB146" s="70"/>
      <c r="AVC146" s="70"/>
      <c r="AVD146" s="70"/>
      <c r="AVE146" s="70"/>
      <c r="AVF146" s="70"/>
      <c r="AVG146" s="70"/>
      <c r="AVH146" s="70"/>
      <c r="AVI146" s="70"/>
      <c r="AVJ146" s="70"/>
      <c r="AVK146" s="70"/>
      <c r="AVL146" s="70"/>
      <c r="AVM146" s="70"/>
      <c r="AVN146" s="70"/>
      <c r="AVO146" s="70"/>
      <c r="AVP146" s="70"/>
      <c r="AVQ146" s="70"/>
      <c r="AVR146" s="70"/>
      <c r="AVS146" s="70"/>
      <c r="AVT146" s="70"/>
      <c r="AVU146" s="70"/>
      <c r="AVV146" s="70"/>
      <c r="AVW146" s="70"/>
      <c r="AVX146" s="70"/>
      <c r="AVY146" s="70"/>
      <c r="AVZ146" s="70"/>
      <c r="AWA146" s="70"/>
      <c r="AWB146" s="70"/>
      <c r="AWC146" s="70"/>
      <c r="AWD146" s="70"/>
      <c r="AWE146" s="70"/>
      <c r="AWF146" s="70"/>
      <c r="AWG146" s="70"/>
      <c r="AWH146" s="70"/>
      <c r="AWI146" s="70"/>
      <c r="AWJ146" s="70"/>
      <c r="AWK146" s="70"/>
      <c r="AWL146" s="70"/>
      <c r="AWM146" s="70"/>
      <c r="AWN146" s="70"/>
      <c r="AWO146" s="70"/>
      <c r="AWP146" s="70"/>
      <c r="AWQ146" s="70"/>
      <c r="AWR146" s="70"/>
      <c r="AWS146" s="70"/>
      <c r="AWT146" s="70"/>
      <c r="AWU146" s="70"/>
      <c r="AWV146" s="70"/>
      <c r="AWW146" s="70"/>
      <c r="AWX146" s="70"/>
      <c r="AWY146" s="70"/>
      <c r="AWZ146" s="70"/>
      <c r="AXA146" s="70"/>
      <c r="AXB146" s="70"/>
      <c r="AXC146" s="70"/>
      <c r="AXD146" s="70"/>
      <c r="AXE146" s="70"/>
      <c r="AXF146" s="70"/>
      <c r="AXG146" s="70"/>
      <c r="AXH146" s="70"/>
      <c r="AXI146" s="70"/>
      <c r="AXJ146" s="70"/>
      <c r="AXK146" s="70"/>
      <c r="AXL146" s="70"/>
      <c r="AXM146" s="70"/>
      <c r="AXN146" s="70"/>
      <c r="AXO146" s="70"/>
      <c r="AXP146" s="70"/>
      <c r="AXQ146" s="70"/>
      <c r="AXR146" s="70"/>
      <c r="AXS146" s="70"/>
      <c r="AXT146" s="70"/>
      <c r="AXU146" s="70"/>
      <c r="AXV146" s="70"/>
      <c r="AXW146" s="70"/>
      <c r="AXX146" s="70"/>
      <c r="AXY146" s="70"/>
      <c r="AXZ146" s="70"/>
      <c r="AYA146" s="70"/>
      <c r="AYB146" s="70"/>
      <c r="AYC146" s="70"/>
      <c r="AYD146" s="70"/>
      <c r="AYE146" s="70"/>
      <c r="AYF146" s="70"/>
      <c r="AYG146" s="70"/>
      <c r="AYH146" s="70"/>
      <c r="AYI146" s="70"/>
      <c r="AYJ146" s="70"/>
      <c r="AYK146" s="70"/>
      <c r="AYL146" s="70"/>
      <c r="AYM146" s="70"/>
      <c r="AYN146" s="70"/>
      <c r="AYO146" s="70"/>
      <c r="AYP146" s="70"/>
      <c r="AYQ146" s="70"/>
      <c r="AYR146" s="70"/>
      <c r="AYS146" s="70"/>
      <c r="AYT146" s="70"/>
      <c r="AYU146" s="70"/>
      <c r="AYV146" s="70"/>
      <c r="AYW146" s="70"/>
      <c r="AYX146" s="70"/>
      <c r="AYY146" s="70"/>
      <c r="AYZ146" s="70"/>
      <c r="AZA146" s="70"/>
      <c r="AZB146" s="70"/>
      <c r="AZC146" s="70"/>
      <c r="AZD146" s="70"/>
      <c r="AZE146" s="70"/>
      <c r="AZF146" s="70"/>
      <c r="AZG146" s="70"/>
      <c r="AZH146" s="70"/>
      <c r="AZI146" s="70"/>
      <c r="AZJ146" s="70"/>
      <c r="AZK146" s="70"/>
      <c r="AZL146" s="70"/>
      <c r="AZM146" s="70"/>
      <c r="AZN146" s="70"/>
      <c r="AZO146" s="70"/>
      <c r="AZP146" s="70"/>
      <c r="AZQ146" s="70"/>
      <c r="AZR146" s="70"/>
      <c r="AZS146" s="70"/>
      <c r="AZT146" s="70"/>
      <c r="AZU146" s="70"/>
      <c r="AZV146" s="70"/>
      <c r="AZW146" s="70"/>
      <c r="AZX146" s="70"/>
      <c r="AZY146" s="70"/>
      <c r="AZZ146" s="70"/>
      <c r="BAA146" s="70"/>
      <c r="BAB146" s="70"/>
      <c r="BAC146" s="70"/>
      <c r="BAD146" s="70"/>
      <c r="BAE146" s="70"/>
      <c r="BAF146" s="70"/>
      <c r="BAG146" s="70"/>
      <c r="BAH146" s="70"/>
      <c r="BAI146" s="70"/>
      <c r="BAJ146" s="70"/>
      <c r="BAK146" s="70"/>
      <c r="BAL146" s="70"/>
      <c r="BAM146" s="70"/>
      <c r="BAN146" s="70"/>
      <c r="BAO146" s="70"/>
      <c r="BAP146" s="70"/>
      <c r="BAQ146" s="70"/>
      <c r="BAR146" s="70"/>
      <c r="BAS146" s="70"/>
      <c r="BAT146" s="70"/>
      <c r="BAU146" s="70"/>
      <c r="BAV146" s="70"/>
      <c r="BAW146" s="70"/>
      <c r="BAX146" s="70"/>
      <c r="BAY146" s="70"/>
      <c r="BAZ146" s="70"/>
      <c r="BBA146" s="70"/>
      <c r="BBB146" s="70"/>
      <c r="BBC146" s="70"/>
      <c r="BBD146" s="70"/>
      <c r="BBE146" s="70"/>
      <c r="BBF146" s="70"/>
      <c r="BBG146" s="70"/>
      <c r="BBH146" s="70"/>
      <c r="BBI146" s="70"/>
      <c r="BBJ146" s="70"/>
      <c r="BBK146" s="70"/>
      <c r="BBL146" s="70"/>
      <c r="BBM146" s="70"/>
      <c r="BBN146" s="70"/>
      <c r="BBO146" s="70"/>
      <c r="BBP146" s="70"/>
      <c r="BBQ146" s="70"/>
      <c r="BBR146" s="70"/>
      <c r="BBS146" s="70"/>
      <c r="BBT146" s="70"/>
      <c r="BBU146" s="70"/>
      <c r="BBV146" s="70"/>
      <c r="BBW146" s="70"/>
      <c r="BBX146" s="70"/>
      <c r="BBY146" s="70"/>
      <c r="BBZ146" s="70"/>
      <c r="BCA146" s="70"/>
      <c r="BCB146" s="70"/>
      <c r="BCC146" s="70"/>
      <c r="BCD146" s="70"/>
      <c r="BCE146" s="70"/>
      <c r="BCF146" s="70"/>
      <c r="BCG146" s="70"/>
      <c r="BCH146" s="70"/>
      <c r="BCI146" s="70"/>
      <c r="BCJ146" s="70"/>
      <c r="BCK146" s="70"/>
      <c r="BCL146" s="70"/>
      <c r="BCM146" s="70"/>
      <c r="BCN146" s="70"/>
      <c r="BCO146" s="70"/>
      <c r="BCP146" s="70"/>
      <c r="BCQ146" s="70"/>
      <c r="BCR146" s="70"/>
      <c r="BCS146" s="70"/>
      <c r="BCT146" s="70"/>
      <c r="BCU146" s="70"/>
      <c r="BCV146" s="70"/>
      <c r="BCW146" s="70"/>
    </row>
    <row r="147" spans="1:1453" s="69" customFormat="1" ht="41.25" customHeight="1" x14ac:dyDescent="0.25">
      <c r="A147" s="50">
        <v>24</v>
      </c>
      <c r="B147" s="73" t="s">
        <v>489</v>
      </c>
      <c r="C147" s="73" t="s">
        <v>490</v>
      </c>
      <c r="D147" s="52">
        <v>198379.95</v>
      </c>
      <c r="E147" s="72" t="s">
        <v>491</v>
      </c>
      <c r="F147" s="73" t="s">
        <v>646</v>
      </c>
      <c r="G147" s="71"/>
      <c r="H147" s="71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G147" s="70"/>
      <c r="CH147" s="70"/>
      <c r="CI147" s="70"/>
      <c r="CJ147" s="70"/>
      <c r="CK147" s="70"/>
      <c r="CL147" s="70"/>
      <c r="CM147" s="70"/>
      <c r="CN147" s="70"/>
      <c r="CO147" s="70"/>
      <c r="CP147" s="70"/>
      <c r="CQ147" s="70"/>
      <c r="CR147" s="70"/>
      <c r="CS147" s="70"/>
      <c r="CT147" s="70"/>
      <c r="CU147" s="70"/>
      <c r="CV147" s="70"/>
      <c r="CW147" s="70"/>
      <c r="CX147" s="70"/>
      <c r="CY147" s="70"/>
      <c r="CZ147" s="70"/>
      <c r="DA147" s="70"/>
      <c r="DB147" s="70"/>
      <c r="DC147" s="70"/>
      <c r="DD147" s="70"/>
      <c r="DE147" s="70"/>
      <c r="DF147" s="70"/>
      <c r="DG147" s="70"/>
      <c r="DH147" s="70"/>
      <c r="DI147" s="70"/>
      <c r="DJ147" s="70"/>
      <c r="DK147" s="70"/>
      <c r="DL147" s="70"/>
      <c r="DM147" s="70"/>
      <c r="DN147" s="70"/>
      <c r="DO147" s="70"/>
      <c r="DP147" s="70"/>
      <c r="DQ147" s="70"/>
      <c r="DR147" s="70"/>
      <c r="DS147" s="70"/>
      <c r="DT147" s="70"/>
      <c r="DU147" s="70"/>
      <c r="DV147" s="70"/>
      <c r="DW147" s="70"/>
      <c r="DX147" s="70"/>
      <c r="DY147" s="70"/>
      <c r="DZ147" s="70"/>
      <c r="EA147" s="70"/>
      <c r="EB147" s="70"/>
      <c r="EC147" s="70"/>
      <c r="ED147" s="70"/>
      <c r="EE147" s="70"/>
      <c r="EF147" s="70"/>
      <c r="EG147" s="70"/>
      <c r="EH147" s="70"/>
      <c r="EI147" s="70"/>
      <c r="EJ147" s="70"/>
      <c r="EK147" s="70"/>
      <c r="EL147" s="70"/>
      <c r="EM147" s="70"/>
      <c r="EN147" s="70"/>
      <c r="EO147" s="70"/>
      <c r="EP147" s="70"/>
      <c r="EQ147" s="70"/>
      <c r="ER147" s="70"/>
      <c r="ES147" s="70"/>
      <c r="ET147" s="70"/>
      <c r="EU147" s="70"/>
      <c r="EV147" s="70"/>
      <c r="EW147" s="70"/>
      <c r="EX147" s="70"/>
      <c r="EY147" s="70"/>
      <c r="EZ147" s="70"/>
      <c r="FA147" s="70"/>
      <c r="FB147" s="70"/>
      <c r="FC147" s="70"/>
      <c r="FD147" s="70"/>
      <c r="FE147" s="70"/>
      <c r="FF147" s="70"/>
      <c r="FG147" s="70"/>
      <c r="FH147" s="70"/>
      <c r="FI147" s="70"/>
      <c r="FJ147" s="70"/>
      <c r="FK147" s="70"/>
      <c r="FL147" s="70"/>
      <c r="FM147" s="70"/>
      <c r="FN147" s="70"/>
      <c r="FO147" s="70"/>
      <c r="FP147" s="70"/>
      <c r="FQ147" s="70"/>
      <c r="FR147" s="70"/>
      <c r="FS147" s="70"/>
      <c r="FT147" s="70"/>
      <c r="FU147" s="70"/>
      <c r="FV147" s="70"/>
      <c r="FW147" s="70"/>
      <c r="FX147" s="70"/>
      <c r="FY147" s="70"/>
      <c r="FZ147" s="70"/>
      <c r="GA147" s="70"/>
      <c r="GB147" s="70"/>
      <c r="GC147" s="70"/>
      <c r="GD147" s="70"/>
      <c r="GE147" s="70"/>
      <c r="GF147" s="70"/>
      <c r="GG147" s="70"/>
      <c r="GH147" s="70"/>
      <c r="GI147" s="70"/>
      <c r="GJ147" s="70"/>
      <c r="GK147" s="70"/>
      <c r="GL147" s="70"/>
      <c r="GM147" s="70"/>
      <c r="GN147" s="70"/>
      <c r="GO147" s="70"/>
      <c r="GP147" s="70"/>
      <c r="GQ147" s="70"/>
      <c r="GR147" s="70"/>
      <c r="GS147" s="70"/>
      <c r="GT147" s="70"/>
      <c r="GU147" s="70"/>
      <c r="GV147" s="70"/>
      <c r="GW147" s="70"/>
      <c r="GX147" s="70"/>
      <c r="GY147" s="70"/>
      <c r="GZ147" s="70"/>
      <c r="HA147" s="70"/>
      <c r="HB147" s="70"/>
      <c r="HC147" s="70"/>
      <c r="HD147" s="70"/>
      <c r="HE147" s="70"/>
      <c r="HF147" s="70"/>
      <c r="HG147" s="70"/>
      <c r="HH147" s="70"/>
      <c r="HI147" s="70"/>
      <c r="HJ147" s="70"/>
      <c r="HK147" s="70"/>
      <c r="HL147" s="70"/>
      <c r="HM147" s="70"/>
      <c r="HN147" s="70"/>
      <c r="HO147" s="70"/>
      <c r="HP147" s="70"/>
      <c r="HQ147" s="70"/>
      <c r="HR147" s="70"/>
      <c r="HS147" s="70"/>
      <c r="HT147" s="70"/>
      <c r="HU147" s="70"/>
      <c r="HV147" s="70"/>
      <c r="HW147" s="70"/>
      <c r="HX147" s="70"/>
      <c r="HY147" s="70"/>
      <c r="HZ147" s="70"/>
      <c r="IA147" s="70"/>
      <c r="IB147" s="70"/>
      <c r="IC147" s="70"/>
      <c r="ID147" s="70"/>
      <c r="IE147" s="70"/>
      <c r="IF147" s="70"/>
      <c r="IG147" s="70"/>
      <c r="IH147" s="70"/>
      <c r="II147" s="70"/>
      <c r="IJ147" s="70"/>
      <c r="IK147" s="70"/>
      <c r="IL147" s="70"/>
      <c r="IM147" s="70"/>
      <c r="IN147" s="70"/>
      <c r="IO147" s="70"/>
      <c r="IP147" s="70"/>
      <c r="IQ147" s="70"/>
      <c r="IR147" s="70"/>
      <c r="IS147" s="70"/>
      <c r="IT147" s="70"/>
      <c r="IU147" s="70"/>
      <c r="IV147" s="70"/>
      <c r="IW147" s="70"/>
      <c r="IX147" s="70"/>
      <c r="IY147" s="70"/>
      <c r="IZ147" s="70"/>
      <c r="JA147" s="70"/>
      <c r="JB147" s="70"/>
      <c r="JC147" s="70"/>
      <c r="JD147" s="70"/>
      <c r="JE147" s="70"/>
      <c r="JF147" s="70"/>
      <c r="JG147" s="70"/>
      <c r="JH147" s="70"/>
      <c r="JI147" s="70"/>
      <c r="JJ147" s="70"/>
      <c r="JK147" s="70"/>
      <c r="JL147" s="70"/>
      <c r="JM147" s="70"/>
      <c r="JN147" s="70"/>
      <c r="JO147" s="70"/>
      <c r="JP147" s="70"/>
      <c r="JQ147" s="70"/>
      <c r="JR147" s="70"/>
      <c r="JS147" s="70"/>
      <c r="JT147" s="70"/>
      <c r="JU147" s="70"/>
      <c r="JV147" s="70"/>
      <c r="JW147" s="70"/>
      <c r="JX147" s="70"/>
      <c r="JY147" s="70"/>
      <c r="JZ147" s="70"/>
      <c r="KA147" s="70"/>
      <c r="KB147" s="70"/>
      <c r="KC147" s="70"/>
      <c r="KD147" s="70"/>
      <c r="KE147" s="70"/>
      <c r="KF147" s="70"/>
      <c r="KG147" s="70"/>
      <c r="KH147" s="70"/>
      <c r="KI147" s="70"/>
      <c r="KJ147" s="70"/>
      <c r="KK147" s="70"/>
      <c r="KL147" s="70"/>
      <c r="KM147" s="70"/>
      <c r="KN147" s="70"/>
      <c r="KO147" s="70"/>
      <c r="KP147" s="70"/>
      <c r="KQ147" s="70"/>
      <c r="KR147" s="70"/>
      <c r="KS147" s="70"/>
      <c r="KT147" s="70"/>
      <c r="KU147" s="70"/>
      <c r="KV147" s="70"/>
      <c r="KW147" s="70"/>
      <c r="KX147" s="70"/>
      <c r="KY147" s="70"/>
      <c r="KZ147" s="70"/>
      <c r="LA147" s="70"/>
      <c r="LB147" s="70"/>
      <c r="LC147" s="70"/>
      <c r="LD147" s="70"/>
      <c r="LE147" s="70"/>
      <c r="LF147" s="70"/>
      <c r="LG147" s="70"/>
      <c r="LH147" s="70"/>
      <c r="LI147" s="70"/>
      <c r="LJ147" s="70"/>
      <c r="LK147" s="70"/>
      <c r="LL147" s="70"/>
      <c r="LM147" s="70"/>
      <c r="LN147" s="70"/>
      <c r="LO147" s="70"/>
      <c r="LP147" s="70"/>
      <c r="LQ147" s="70"/>
      <c r="LR147" s="70"/>
      <c r="LS147" s="70"/>
      <c r="LT147" s="70"/>
      <c r="LU147" s="70"/>
      <c r="LV147" s="70"/>
      <c r="LW147" s="70"/>
      <c r="LX147" s="70"/>
      <c r="LY147" s="70"/>
      <c r="LZ147" s="70"/>
      <c r="MA147" s="70"/>
      <c r="MB147" s="70"/>
      <c r="MC147" s="70"/>
      <c r="MD147" s="70"/>
      <c r="ME147" s="70"/>
      <c r="MF147" s="70"/>
      <c r="MG147" s="70"/>
      <c r="MH147" s="70"/>
      <c r="MI147" s="70"/>
      <c r="MJ147" s="70"/>
      <c r="MK147" s="70"/>
      <c r="ML147" s="70"/>
      <c r="MM147" s="70"/>
      <c r="MN147" s="70"/>
      <c r="MO147" s="70"/>
      <c r="MP147" s="70"/>
      <c r="MQ147" s="70"/>
      <c r="MR147" s="70"/>
      <c r="MS147" s="70"/>
      <c r="MT147" s="70"/>
      <c r="MU147" s="70"/>
      <c r="MV147" s="70"/>
      <c r="MW147" s="70"/>
      <c r="MX147" s="70"/>
      <c r="MY147" s="70"/>
      <c r="MZ147" s="70"/>
      <c r="NA147" s="70"/>
      <c r="NB147" s="70"/>
      <c r="NC147" s="70"/>
      <c r="ND147" s="70"/>
      <c r="NE147" s="70"/>
      <c r="NF147" s="70"/>
      <c r="NG147" s="70"/>
      <c r="NH147" s="70"/>
      <c r="NI147" s="70"/>
      <c r="NJ147" s="70"/>
      <c r="NK147" s="70"/>
      <c r="NL147" s="70"/>
      <c r="NM147" s="70"/>
      <c r="NN147" s="70"/>
      <c r="NO147" s="70"/>
      <c r="NP147" s="70"/>
      <c r="NQ147" s="70"/>
      <c r="NR147" s="70"/>
      <c r="NS147" s="70"/>
      <c r="NT147" s="70"/>
      <c r="NU147" s="70"/>
      <c r="NV147" s="70"/>
      <c r="NW147" s="70"/>
      <c r="NX147" s="70"/>
      <c r="NY147" s="70"/>
      <c r="NZ147" s="70"/>
      <c r="OA147" s="70"/>
      <c r="OB147" s="70"/>
      <c r="OC147" s="70"/>
      <c r="OD147" s="70"/>
      <c r="OE147" s="70"/>
      <c r="OF147" s="70"/>
      <c r="OG147" s="70"/>
      <c r="OH147" s="70"/>
      <c r="OI147" s="70"/>
      <c r="OJ147" s="70"/>
      <c r="OK147" s="70"/>
      <c r="OL147" s="70"/>
      <c r="OM147" s="70"/>
      <c r="ON147" s="70"/>
      <c r="OO147" s="70"/>
      <c r="OP147" s="70"/>
      <c r="OQ147" s="70"/>
      <c r="OR147" s="70"/>
      <c r="OS147" s="70"/>
      <c r="OT147" s="70"/>
      <c r="OU147" s="70"/>
      <c r="OV147" s="70"/>
      <c r="OW147" s="70"/>
      <c r="OX147" s="70"/>
      <c r="OY147" s="70"/>
      <c r="OZ147" s="70"/>
      <c r="PA147" s="70"/>
      <c r="PB147" s="70"/>
      <c r="PC147" s="70"/>
      <c r="PD147" s="70"/>
      <c r="PE147" s="70"/>
      <c r="PF147" s="70"/>
      <c r="PG147" s="70"/>
      <c r="PH147" s="70"/>
      <c r="PI147" s="70"/>
      <c r="PJ147" s="70"/>
      <c r="PK147" s="70"/>
      <c r="PL147" s="70"/>
      <c r="PM147" s="70"/>
      <c r="PN147" s="70"/>
      <c r="PO147" s="70"/>
      <c r="PP147" s="70"/>
      <c r="PQ147" s="70"/>
      <c r="PR147" s="70"/>
      <c r="PS147" s="70"/>
      <c r="PT147" s="70"/>
      <c r="PU147" s="70"/>
      <c r="PV147" s="70"/>
      <c r="PW147" s="70"/>
      <c r="PX147" s="70"/>
      <c r="PY147" s="70"/>
      <c r="PZ147" s="70"/>
      <c r="QA147" s="70"/>
      <c r="QB147" s="70"/>
      <c r="QC147" s="70"/>
      <c r="QD147" s="70"/>
      <c r="QE147" s="70"/>
      <c r="QF147" s="70"/>
      <c r="QG147" s="70"/>
      <c r="QH147" s="70"/>
      <c r="QI147" s="70"/>
      <c r="QJ147" s="70"/>
      <c r="QK147" s="70"/>
      <c r="QL147" s="70"/>
      <c r="QM147" s="70"/>
      <c r="QN147" s="70"/>
      <c r="QO147" s="70"/>
      <c r="QP147" s="70"/>
      <c r="QQ147" s="70"/>
      <c r="QR147" s="70"/>
      <c r="QS147" s="70"/>
      <c r="QT147" s="70"/>
      <c r="QU147" s="70"/>
      <c r="QV147" s="70"/>
      <c r="QW147" s="70"/>
      <c r="QX147" s="70"/>
      <c r="QY147" s="70"/>
      <c r="QZ147" s="70"/>
      <c r="RA147" s="70"/>
      <c r="RB147" s="70"/>
      <c r="RC147" s="70"/>
      <c r="RD147" s="70"/>
      <c r="RE147" s="70"/>
      <c r="RF147" s="70"/>
      <c r="RG147" s="70"/>
      <c r="RH147" s="70"/>
      <c r="RI147" s="70"/>
      <c r="RJ147" s="70"/>
      <c r="RK147" s="70"/>
      <c r="RL147" s="70"/>
      <c r="RM147" s="70"/>
      <c r="RN147" s="70"/>
      <c r="RO147" s="70"/>
      <c r="RP147" s="70"/>
      <c r="RQ147" s="70"/>
      <c r="RR147" s="70"/>
      <c r="RS147" s="70"/>
      <c r="RT147" s="70"/>
      <c r="RU147" s="70"/>
      <c r="RV147" s="70"/>
      <c r="RW147" s="70"/>
      <c r="RX147" s="70"/>
      <c r="RY147" s="70"/>
      <c r="RZ147" s="70"/>
      <c r="SA147" s="70"/>
      <c r="SB147" s="70"/>
      <c r="SC147" s="70"/>
      <c r="SD147" s="70"/>
      <c r="SE147" s="70"/>
      <c r="SF147" s="70"/>
      <c r="SG147" s="70"/>
      <c r="SH147" s="70"/>
      <c r="SI147" s="70"/>
      <c r="SJ147" s="70"/>
      <c r="SK147" s="70"/>
      <c r="SL147" s="70"/>
      <c r="SM147" s="70"/>
      <c r="SN147" s="70"/>
      <c r="SO147" s="70"/>
      <c r="SP147" s="70"/>
      <c r="SQ147" s="70"/>
      <c r="SR147" s="70"/>
      <c r="SS147" s="70"/>
      <c r="ST147" s="70"/>
      <c r="SU147" s="70"/>
      <c r="SV147" s="70"/>
      <c r="SW147" s="70"/>
      <c r="SX147" s="70"/>
      <c r="SY147" s="70"/>
      <c r="SZ147" s="70"/>
      <c r="TA147" s="70"/>
      <c r="TB147" s="70"/>
      <c r="TC147" s="70"/>
      <c r="TD147" s="70"/>
      <c r="TE147" s="70"/>
      <c r="TF147" s="70"/>
      <c r="TG147" s="70"/>
      <c r="TH147" s="70"/>
      <c r="TI147" s="70"/>
      <c r="TJ147" s="70"/>
      <c r="TK147" s="70"/>
      <c r="TL147" s="70"/>
      <c r="TM147" s="70"/>
      <c r="TN147" s="70"/>
      <c r="TO147" s="70"/>
      <c r="TP147" s="70"/>
      <c r="TQ147" s="70"/>
      <c r="TR147" s="70"/>
      <c r="TS147" s="70"/>
      <c r="TT147" s="70"/>
      <c r="TU147" s="70"/>
      <c r="TV147" s="70"/>
      <c r="TW147" s="70"/>
      <c r="TX147" s="70"/>
      <c r="TY147" s="70"/>
      <c r="TZ147" s="70"/>
      <c r="UA147" s="70"/>
      <c r="UB147" s="70"/>
      <c r="UC147" s="70"/>
      <c r="UD147" s="70"/>
      <c r="UE147" s="70"/>
      <c r="UF147" s="70"/>
      <c r="UG147" s="70"/>
      <c r="UH147" s="70"/>
      <c r="UI147" s="70"/>
      <c r="UJ147" s="70"/>
      <c r="UK147" s="70"/>
      <c r="UL147" s="70"/>
      <c r="UM147" s="70"/>
      <c r="UN147" s="70"/>
      <c r="UO147" s="70"/>
      <c r="UP147" s="70"/>
      <c r="UQ147" s="70"/>
      <c r="UR147" s="70"/>
      <c r="US147" s="70"/>
      <c r="UT147" s="70"/>
      <c r="UU147" s="70"/>
      <c r="UV147" s="70"/>
      <c r="UW147" s="70"/>
      <c r="UX147" s="70"/>
      <c r="UY147" s="70"/>
      <c r="UZ147" s="70"/>
      <c r="VA147" s="70"/>
      <c r="VB147" s="70"/>
      <c r="VC147" s="70"/>
      <c r="VD147" s="70"/>
      <c r="VE147" s="70"/>
      <c r="VF147" s="70"/>
      <c r="VG147" s="70"/>
      <c r="VH147" s="70"/>
      <c r="VI147" s="70"/>
      <c r="VJ147" s="70"/>
      <c r="VK147" s="70"/>
      <c r="VL147" s="70"/>
      <c r="VM147" s="70"/>
      <c r="VN147" s="70"/>
      <c r="VO147" s="70"/>
      <c r="VP147" s="70"/>
      <c r="VQ147" s="70"/>
      <c r="VR147" s="70"/>
      <c r="VS147" s="70"/>
      <c r="VT147" s="70"/>
      <c r="VU147" s="70"/>
      <c r="VV147" s="70"/>
      <c r="VW147" s="70"/>
      <c r="VX147" s="70"/>
      <c r="VY147" s="70"/>
      <c r="VZ147" s="70"/>
      <c r="WA147" s="70"/>
      <c r="WB147" s="70"/>
      <c r="WC147" s="70"/>
      <c r="WD147" s="70"/>
      <c r="WE147" s="70"/>
      <c r="WF147" s="70"/>
      <c r="WG147" s="70"/>
      <c r="WH147" s="70"/>
      <c r="WI147" s="70"/>
      <c r="WJ147" s="70"/>
      <c r="WK147" s="70"/>
      <c r="WL147" s="70"/>
      <c r="WM147" s="70"/>
      <c r="WN147" s="70"/>
      <c r="WO147" s="70"/>
      <c r="WP147" s="70"/>
      <c r="WQ147" s="70"/>
      <c r="WR147" s="70"/>
      <c r="WS147" s="70"/>
      <c r="WT147" s="70"/>
      <c r="WU147" s="70"/>
      <c r="WV147" s="70"/>
      <c r="WW147" s="70"/>
      <c r="WX147" s="70"/>
      <c r="WY147" s="70"/>
      <c r="WZ147" s="70"/>
      <c r="XA147" s="70"/>
      <c r="XB147" s="70"/>
      <c r="XC147" s="70"/>
      <c r="XD147" s="70"/>
      <c r="XE147" s="70"/>
      <c r="XF147" s="70"/>
      <c r="XG147" s="70"/>
      <c r="XH147" s="70"/>
      <c r="XI147" s="70"/>
      <c r="XJ147" s="70"/>
      <c r="XK147" s="70"/>
      <c r="XL147" s="70"/>
      <c r="XM147" s="70"/>
      <c r="XN147" s="70"/>
      <c r="XO147" s="70"/>
      <c r="XP147" s="70"/>
      <c r="XQ147" s="70"/>
      <c r="XR147" s="70"/>
      <c r="XS147" s="70"/>
      <c r="XT147" s="70"/>
      <c r="XU147" s="70"/>
      <c r="XV147" s="70"/>
      <c r="XW147" s="70"/>
      <c r="XX147" s="70"/>
      <c r="XY147" s="70"/>
      <c r="XZ147" s="70"/>
      <c r="YA147" s="70"/>
      <c r="YB147" s="70"/>
      <c r="YC147" s="70"/>
      <c r="YD147" s="70"/>
      <c r="YE147" s="70"/>
      <c r="YF147" s="70"/>
      <c r="YG147" s="70"/>
      <c r="YH147" s="70"/>
      <c r="YI147" s="70"/>
      <c r="YJ147" s="70"/>
      <c r="YK147" s="70"/>
      <c r="YL147" s="70"/>
      <c r="YM147" s="70"/>
      <c r="YN147" s="70"/>
      <c r="YO147" s="70"/>
      <c r="YP147" s="70"/>
      <c r="YQ147" s="70"/>
      <c r="YR147" s="70"/>
      <c r="YS147" s="70"/>
      <c r="YT147" s="70"/>
      <c r="YU147" s="70"/>
      <c r="YV147" s="70"/>
      <c r="YW147" s="70"/>
      <c r="YX147" s="70"/>
      <c r="YY147" s="70"/>
      <c r="YZ147" s="70"/>
      <c r="ZA147" s="70"/>
      <c r="ZB147" s="70"/>
      <c r="ZC147" s="70"/>
      <c r="ZD147" s="70"/>
      <c r="ZE147" s="70"/>
      <c r="ZF147" s="70"/>
      <c r="ZG147" s="70"/>
      <c r="ZH147" s="70"/>
      <c r="ZI147" s="70"/>
      <c r="ZJ147" s="70"/>
      <c r="ZK147" s="70"/>
      <c r="ZL147" s="70"/>
      <c r="ZM147" s="70"/>
      <c r="ZN147" s="70"/>
      <c r="ZO147" s="70"/>
      <c r="ZP147" s="70"/>
      <c r="ZQ147" s="70"/>
      <c r="ZR147" s="70"/>
      <c r="ZS147" s="70"/>
      <c r="ZT147" s="70"/>
      <c r="ZU147" s="70"/>
      <c r="ZV147" s="70"/>
      <c r="ZW147" s="70"/>
      <c r="ZX147" s="70"/>
      <c r="ZY147" s="70"/>
      <c r="ZZ147" s="70"/>
      <c r="AAA147" s="70"/>
      <c r="AAB147" s="70"/>
      <c r="AAC147" s="70"/>
      <c r="AAD147" s="70"/>
      <c r="AAE147" s="70"/>
      <c r="AAF147" s="70"/>
      <c r="AAG147" s="70"/>
      <c r="AAH147" s="70"/>
      <c r="AAI147" s="70"/>
      <c r="AAJ147" s="70"/>
      <c r="AAK147" s="70"/>
      <c r="AAL147" s="70"/>
      <c r="AAM147" s="70"/>
      <c r="AAN147" s="70"/>
      <c r="AAO147" s="70"/>
      <c r="AAP147" s="70"/>
      <c r="AAQ147" s="70"/>
      <c r="AAR147" s="70"/>
      <c r="AAS147" s="70"/>
      <c r="AAT147" s="70"/>
      <c r="AAU147" s="70"/>
      <c r="AAV147" s="70"/>
      <c r="AAW147" s="70"/>
      <c r="AAX147" s="70"/>
      <c r="AAY147" s="70"/>
      <c r="AAZ147" s="70"/>
      <c r="ABA147" s="70"/>
      <c r="ABB147" s="70"/>
      <c r="ABC147" s="70"/>
      <c r="ABD147" s="70"/>
      <c r="ABE147" s="70"/>
      <c r="ABF147" s="70"/>
      <c r="ABG147" s="70"/>
      <c r="ABH147" s="70"/>
      <c r="ABI147" s="70"/>
      <c r="ABJ147" s="70"/>
      <c r="ABK147" s="70"/>
      <c r="ABL147" s="70"/>
      <c r="ABM147" s="70"/>
      <c r="ABN147" s="70"/>
      <c r="ABO147" s="70"/>
      <c r="ABP147" s="70"/>
      <c r="ABQ147" s="70"/>
      <c r="ABR147" s="70"/>
      <c r="ABS147" s="70"/>
      <c r="ABT147" s="70"/>
      <c r="ABU147" s="70"/>
      <c r="ABV147" s="70"/>
      <c r="ABW147" s="70"/>
      <c r="ABX147" s="70"/>
      <c r="ABY147" s="70"/>
      <c r="ABZ147" s="70"/>
      <c r="ACA147" s="70"/>
      <c r="ACB147" s="70"/>
      <c r="ACC147" s="70"/>
      <c r="ACD147" s="70"/>
      <c r="ACE147" s="70"/>
      <c r="ACF147" s="70"/>
      <c r="ACG147" s="70"/>
      <c r="ACH147" s="70"/>
      <c r="ACI147" s="70"/>
      <c r="ACJ147" s="70"/>
      <c r="ACK147" s="70"/>
      <c r="ACL147" s="70"/>
      <c r="ACM147" s="70"/>
      <c r="ACN147" s="70"/>
      <c r="ACO147" s="70"/>
      <c r="ACP147" s="70"/>
      <c r="ACQ147" s="70"/>
      <c r="ACR147" s="70"/>
      <c r="ACS147" s="70"/>
      <c r="ACT147" s="70"/>
      <c r="ACU147" s="70"/>
      <c r="ACV147" s="70"/>
      <c r="ACW147" s="70"/>
      <c r="ACX147" s="70"/>
      <c r="ACY147" s="70"/>
      <c r="ACZ147" s="70"/>
      <c r="ADA147" s="70"/>
      <c r="ADB147" s="70"/>
      <c r="ADC147" s="70"/>
      <c r="ADD147" s="70"/>
      <c r="ADE147" s="70"/>
      <c r="ADF147" s="70"/>
      <c r="ADG147" s="70"/>
      <c r="ADH147" s="70"/>
      <c r="ADI147" s="70"/>
      <c r="ADJ147" s="70"/>
      <c r="ADK147" s="70"/>
      <c r="ADL147" s="70"/>
      <c r="ADM147" s="70"/>
      <c r="ADN147" s="70"/>
      <c r="ADO147" s="70"/>
      <c r="ADP147" s="70"/>
      <c r="ADQ147" s="70"/>
      <c r="ADR147" s="70"/>
      <c r="ADS147" s="70"/>
      <c r="ADT147" s="70"/>
      <c r="ADU147" s="70"/>
      <c r="ADV147" s="70"/>
      <c r="ADW147" s="70"/>
      <c r="ADX147" s="70"/>
      <c r="ADY147" s="70"/>
      <c r="ADZ147" s="70"/>
      <c r="AEA147" s="70"/>
      <c r="AEB147" s="70"/>
      <c r="AEC147" s="70"/>
      <c r="AED147" s="70"/>
      <c r="AEE147" s="70"/>
      <c r="AEF147" s="70"/>
      <c r="AEG147" s="70"/>
      <c r="AEH147" s="70"/>
      <c r="AEI147" s="70"/>
      <c r="AEJ147" s="70"/>
      <c r="AEK147" s="70"/>
      <c r="AEL147" s="70"/>
      <c r="AEM147" s="70"/>
      <c r="AEN147" s="70"/>
      <c r="AEO147" s="70"/>
      <c r="AEP147" s="70"/>
      <c r="AEQ147" s="70"/>
      <c r="AER147" s="70"/>
      <c r="AES147" s="70"/>
      <c r="AET147" s="70"/>
      <c r="AEU147" s="70"/>
      <c r="AEV147" s="70"/>
      <c r="AEW147" s="70"/>
      <c r="AEX147" s="70"/>
      <c r="AEY147" s="70"/>
      <c r="AEZ147" s="70"/>
      <c r="AFA147" s="70"/>
      <c r="AFB147" s="70"/>
      <c r="AFC147" s="70"/>
      <c r="AFD147" s="70"/>
      <c r="AFE147" s="70"/>
      <c r="AFF147" s="70"/>
      <c r="AFG147" s="70"/>
      <c r="AFH147" s="70"/>
      <c r="AFI147" s="70"/>
      <c r="AFJ147" s="70"/>
      <c r="AFK147" s="70"/>
      <c r="AFL147" s="70"/>
      <c r="AFM147" s="70"/>
      <c r="AFN147" s="70"/>
      <c r="AFO147" s="70"/>
      <c r="AFP147" s="70"/>
      <c r="AFQ147" s="70"/>
      <c r="AFR147" s="70"/>
      <c r="AFS147" s="70"/>
      <c r="AFT147" s="70"/>
      <c r="AFU147" s="70"/>
      <c r="AFV147" s="70"/>
      <c r="AFW147" s="70"/>
      <c r="AFX147" s="70"/>
      <c r="AFY147" s="70"/>
      <c r="AFZ147" s="70"/>
      <c r="AGA147" s="70"/>
      <c r="AGB147" s="70"/>
      <c r="AGC147" s="70"/>
      <c r="AGD147" s="70"/>
      <c r="AGE147" s="70"/>
      <c r="AGF147" s="70"/>
      <c r="AGG147" s="70"/>
      <c r="AGH147" s="70"/>
      <c r="AGI147" s="70"/>
      <c r="AGJ147" s="70"/>
      <c r="AGK147" s="70"/>
      <c r="AGL147" s="70"/>
      <c r="AGM147" s="70"/>
      <c r="AGN147" s="70"/>
      <c r="AGO147" s="70"/>
      <c r="AGP147" s="70"/>
      <c r="AGQ147" s="70"/>
      <c r="AGR147" s="70"/>
      <c r="AGS147" s="70"/>
      <c r="AGT147" s="70"/>
      <c r="AGU147" s="70"/>
      <c r="AGV147" s="70"/>
      <c r="AGW147" s="70"/>
      <c r="AGX147" s="70"/>
      <c r="AGY147" s="70"/>
      <c r="AGZ147" s="70"/>
      <c r="AHA147" s="70"/>
      <c r="AHB147" s="70"/>
      <c r="AHC147" s="70"/>
      <c r="AHD147" s="70"/>
      <c r="AHE147" s="70"/>
      <c r="AHF147" s="70"/>
      <c r="AHG147" s="70"/>
      <c r="AHH147" s="70"/>
      <c r="AHI147" s="70"/>
      <c r="AHJ147" s="70"/>
      <c r="AHK147" s="70"/>
      <c r="AHL147" s="70"/>
      <c r="AHM147" s="70"/>
      <c r="AHN147" s="70"/>
      <c r="AHO147" s="70"/>
      <c r="AHP147" s="70"/>
      <c r="AHQ147" s="70"/>
      <c r="AHR147" s="70"/>
      <c r="AHS147" s="70"/>
      <c r="AHT147" s="70"/>
      <c r="AHU147" s="70"/>
      <c r="AHV147" s="70"/>
      <c r="AHW147" s="70"/>
      <c r="AHX147" s="70"/>
      <c r="AHY147" s="70"/>
      <c r="AHZ147" s="70"/>
      <c r="AIA147" s="70"/>
      <c r="AIB147" s="70"/>
      <c r="AIC147" s="70"/>
      <c r="AID147" s="70"/>
      <c r="AIE147" s="70"/>
      <c r="AIF147" s="70"/>
      <c r="AIG147" s="70"/>
      <c r="AIH147" s="70"/>
      <c r="AII147" s="70"/>
      <c r="AIJ147" s="70"/>
      <c r="AIK147" s="70"/>
      <c r="AIL147" s="70"/>
      <c r="AIM147" s="70"/>
      <c r="AIN147" s="70"/>
      <c r="AIO147" s="70"/>
      <c r="AIP147" s="70"/>
      <c r="AIQ147" s="70"/>
      <c r="AIR147" s="70"/>
      <c r="AIS147" s="70"/>
      <c r="AIT147" s="70"/>
      <c r="AIU147" s="70"/>
      <c r="AIV147" s="70"/>
      <c r="AIW147" s="70"/>
      <c r="AIX147" s="70"/>
      <c r="AIY147" s="70"/>
      <c r="AIZ147" s="70"/>
      <c r="AJA147" s="70"/>
      <c r="AJB147" s="70"/>
      <c r="AJC147" s="70"/>
      <c r="AJD147" s="70"/>
      <c r="AJE147" s="70"/>
      <c r="AJF147" s="70"/>
      <c r="AJG147" s="70"/>
      <c r="AJH147" s="70"/>
      <c r="AJI147" s="70"/>
      <c r="AJJ147" s="70"/>
      <c r="AJK147" s="70"/>
      <c r="AJL147" s="70"/>
      <c r="AJM147" s="70"/>
      <c r="AJN147" s="70"/>
      <c r="AJO147" s="70"/>
      <c r="AJP147" s="70"/>
      <c r="AJQ147" s="70"/>
      <c r="AJR147" s="70"/>
      <c r="AJS147" s="70"/>
      <c r="AJT147" s="70"/>
      <c r="AJU147" s="70"/>
      <c r="AJV147" s="70"/>
      <c r="AJW147" s="70"/>
      <c r="AJX147" s="70"/>
      <c r="AJY147" s="70"/>
      <c r="AJZ147" s="70"/>
      <c r="AKA147" s="70"/>
      <c r="AKB147" s="70"/>
      <c r="AKC147" s="70"/>
      <c r="AKD147" s="70"/>
      <c r="AKE147" s="70"/>
      <c r="AKF147" s="70"/>
      <c r="AKG147" s="70"/>
      <c r="AKH147" s="70"/>
      <c r="AKI147" s="70"/>
      <c r="AKJ147" s="70"/>
      <c r="AKK147" s="70"/>
      <c r="AKL147" s="70"/>
      <c r="AKM147" s="70"/>
      <c r="AKN147" s="70"/>
      <c r="AKO147" s="70"/>
      <c r="AKP147" s="70"/>
      <c r="AKQ147" s="70"/>
      <c r="AKR147" s="70"/>
      <c r="AKS147" s="70"/>
      <c r="AKT147" s="70"/>
      <c r="AKU147" s="70"/>
      <c r="AKV147" s="70"/>
      <c r="AKW147" s="70"/>
      <c r="AKX147" s="70"/>
      <c r="AKY147" s="70"/>
      <c r="AKZ147" s="70"/>
      <c r="ALA147" s="70"/>
      <c r="ALB147" s="70"/>
      <c r="ALC147" s="70"/>
      <c r="ALD147" s="70"/>
      <c r="ALE147" s="70"/>
      <c r="ALF147" s="70"/>
      <c r="ALG147" s="70"/>
      <c r="ALH147" s="70"/>
      <c r="ALI147" s="70"/>
      <c r="ALJ147" s="70"/>
      <c r="ALK147" s="70"/>
      <c r="ALL147" s="70"/>
      <c r="ALM147" s="70"/>
      <c r="ALN147" s="70"/>
      <c r="ALO147" s="70"/>
      <c r="ALP147" s="70"/>
      <c r="ALQ147" s="70"/>
      <c r="ALR147" s="70"/>
      <c r="ALS147" s="70"/>
      <c r="ALT147" s="70"/>
      <c r="ALU147" s="70"/>
      <c r="ALV147" s="70"/>
      <c r="ALW147" s="70"/>
      <c r="ALX147" s="70"/>
      <c r="ALY147" s="70"/>
      <c r="ALZ147" s="70"/>
      <c r="AMA147" s="70"/>
      <c r="AMB147" s="70"/>
      <c r="AMC147" s="70"/>
      <c r="AMD147" s="70"/>
      <c r="AME147" s="70"/>
      <c r="AMF147" s="70"/>
      <c r="AMG147" s="70"/>
      <c r="AMH147" s="70"/>
      <c r="AMI147" s="70"/>
      <c r="AMJ147" s="70"/>
      <c r="AMK147" s="70"/>
      <c r="AML147" s="70"/>
      <c r="AMM147" s="70"/>
      <c r="AMN147" s="70"/>
      <c r="AMO147" s="70"/>
      <c r="AMP147" s="70"/>
      <c r="AMQ147" s="70"/>
      <c r="AMR147" s="70"/>
      <c r="AMS147" s="70"/>
      <c r="AMT147" s="70"/>
      <c r="AMU147" s="70"/>
      <c r="AMV147" s="70"/>
      <c r="AMW147" s="70"/>
      <c r="AMX147" s="70"/>
      <c r="AMY147" s="70"/>
      <c r="AMZ147" s="70"/>
      <c r="ANA147" s="70"/>
      <c r="ANB147" s="70"/>
      <c r="ANC147" s="70"/>
      <c r="AND147" s="70"/>
      <c r="ANE147" s="70"/>
      <c r="ANF147" s="70"/>
      <c r="ANG147" s="70"/>
      <c r="ANH147" s="70"/>
      <c r="ANI147" s="70"/>
      <c r="ANJ147" s="70"/>
      <c r="ANK147" s="70"/>
      <c r="ANL147" s="70"/>
      <c r="ANM147" s="70"/>
      <c r="ANN147" s="70"/>
      <c r="ANO147" s="70"/>
      <c r="ANP147" s="70"/>
      <c r="ANQ147" s="70"/>
      <c r="ANR147" s="70"/>
      <c r="ANS147" s="70"/>
      <c r="ANT147" s="70"/>
      <c r="ANU147" s="70"/>
      <c r="ANV147" s="70"/>
      <c r="ANW147" s="70"/>
      <c r="ANX147" s="70"/>
      <c r="ANY147" s="70"/>
      <c r="ANZ147" s="70"/>
      <c r="AOA147" s="70"/>
      <c r="AOB147" s="70"/>
      <c r="AOC147" s="70"/>
      <c r="AOD147" s="70"/>
      <c r="AOE147" s="70"/>
      <c r="AOF147" s="70"/>
      <c r="AOG147" s="70"/>
      <c r="AOH147" s="70"/>
      <c r="AOI147" s="70"/>
      <c r="AOJ147" s="70"/>
      <c r="AOK147" s="70"/>
      <c r="AOL147" s="70"/>
      <c r="AOM147" s="70"/>
      <c r="AON147" s="70"/>
      <c r="AOO147" s="70"/>
      <c r="AOP147" s="70"/>
      <c r="AOQ147" s="70"/>
      <c r="AOR147" s="70"/>
      <c r="AOS147" s="70"/>
      <c r="AOT147" s="70"/>
      <c r="AOU147" s="70"/>
      <c r="AOV147" s="70"/>
      <c r="AOW147" s="70"/>
      <c r="AOX147" s="70"/>
      <c r="AOY147" s="70"/>
      <c r="AOZ147" s="70"/>
      <c r="APA147" s="70"/>
      <c r="APB147" s="70"/>
      <c r="APC147" s="70"/>
      <c r="APD147" s="70"/>
      <c r="APE147" s="70"/>
      <c r="APF147" s="70"/>
      <c r="APG147" s="70"/>
      <c r="APH147" s="70"/>
      <c r="API147" s="70"/>
      <c r="APJ147" s="70"/>
      <c r="APK147" s="70"/>
      <c r="APL147" s="70"/>
      <c r="APM147" s="70"/>
      <c r="APN147" s="70"/>
      <c r="APO147" s="70"/>
      <c r="APP147" s="70"/>
      <c r="APQ147" s="70"/>
      <c r="APR147" s="70"/>
      <c r="APS147" s="70"/>
      <c r="APT147" s="70"/>
      <c r="APU147" s="70"/>
      <c r="APV147" s="70"/>
      <c r="APW147" s="70"/>
      <c r="APX147" s="70"/>
      <c r="APY147" s="70"/>
      <c r="APZ147" s="70"/>
      <c r="AQA147" s="70"/>
      <c r="AQB147" s="70"/>
      <c r="AQC147" s="70"/>
      <c r="AQD147" s="70"/>
      <c r="AQE147" s="70"/>
      <c r="AQF147" s="70"/>
      <c r="AQG147" s="70"/>
      <c r="AQH147" s="70"/>
      <c r="AQI147" s="70"/>
      <c r="AQJ147" s="70"/>
      <c r="AQK147" s="70"/>
      <c r="AQL147" s="70"/>
      <c r="AQM147" s="70"/>
      <c r="AQN147" s="70"/>
      <c r="AQO147" s="70"/>
      <c r="AQP147" s="70"/>
      <c r="AQQ147" s="70"/>
      <c r="AQR147" s="70"/>
      <c r="AQS147" s="70"/>
      <c r="AQT147" s="70"/>
      <c r="AQU147" s="70"/>
      <c r="AQV147" s="70"/>
      <c r="AQW147" s="70"/>
      <c r="AQX147" s="70"/>
      <c r="AQY147" s="70"/>
      <c r="AQZ147" s="70"/>
      <c r="ARA147" s="70"/>
      <c r="ARB147" s="70"/>
      <c r="ARC147" s="70"/>
      <c r="ARD147" s="70"/>
      <c r="ARE147" s="70"/>
      <c r="ARF147" s="70"/>
      <c r="ARG147" s="70"/>
      <c r="ARH147" s="70"/>
      <c r="ARI147" s="70"/>
      <c r="ARJ147" s="70"/>
      <c r="ARK147" s="70"/>
      <c r="ARL147" s="70"/>
      <c r="ARM147" s="70"/>
      <c r="ARN147" s="70"/>
      <c r="ARO147" s="70"/>
      <c r="ARP147" s="70"/>
      <c r="ARQ147" s="70"/>
      <c r="ARR147" s="70"/>
      <c r="ARS147" s="70"/>
      <c r="ART147" s="70"/>
      <c r="ARU147" s="70"/>
      <c r="ARV147" s="70"/>
      <c r="ARW147" s="70"/>
      <c r="ARX147" s="70"/>
      <c r="ARY147" s="70"/>
      <c r="ARZ147" s="70"/>
      <c r="ASA147" s="70"/>
      <c r="ASB147" s="70"/>
      <c r="ASC147" s="70"/>
      <c r="ASD147" s="70"/>
      <c r="ASE147" s="70"/>
      <c r="ASF147" s="70"/>
      <c r="ASG147" s="70"/>
      <c r="ASH147" s="70"/>
      <c r="ASI147" s="70"/>
      <c r="ASJ147" s="70"/>
      <c r="ASK147" s="70"/>
      <c r="ASL147" s="70"/>
      <c r="ASM147" s="70"/>
      <c r="ASN147" s="70"/>
      <c r="ASO147" s="70"/>
      <c r="ASP147" s="70"/>
      <c r="ASQ147" s="70"/>
      <c r="ASR147" s="70"/>
      <c r="ASS147" s="70"/>
      <c r="AST147" s="70"/>
      <c r="ASU147" s="70"/>
      <c r="ASV147" s="70"/>
      <c r="ASW147" s="70"/>
      <c r="ASX147" s="70"/>
      <c r="ASY147" s="70"/>
      <c r="ASZ147" s="70"/>
      <c r="ATA147" s="70"/>
      <c r="ATB147" s="70"/>
      <c r="ATC147" s="70"/>
      <c r="ATD147" s="70"/>
      <c r="ATE147" s="70"/>
      <c r="ATF147" s="70"/>
      <c r="ATG147" s="70"/>
      <c r="ATH147" s="70"/>
      <c r="ATI147" s="70"/>
      <c r="ATJ147" s="70"/>
      <c r="ATK147" s="70"/>
      <c r="ATL147" s="70"/>
      <c r="ATM147" s="70"/>
      <c r="ATN147" s="70"/>
      <c r="ATO147" s="70"/>
      <c r="ATP147" s="70"/>
      <c r="ATQ147" s="70"/>
      <c r="ATR147" s="70"/>
      <c r="ATS147" s="70"/>
      <c r="ATT147" s="70"/>
      <c r="ATU147" s="70"/>
      <c r="ATV147" s="70"/>
      <c r="ATW147" s="70"/>
      <c r="ATX147" s="70"/>
      <c r="ATY147" s="70"/>
      <c r="ATZ147" s="70"/>
      <c r="AUA147" s="70"/>
      <c r="AUB147" s="70"/>
      <c r="AUC147" s="70"/>
      <c r="AUD147" s="70"/>
      <c r="AUE147" s="70"/>
      <c r="AUF147" s="70"/>
      <c r="AUG147" s="70"/>
      <c r="AUH147" s="70"/>
      <c r="AUI147" s="70"/>
      <c r="AUJ147" s="70"/>
      <c r="AUK147" s="70"/>
      <c r="AUL147" s="70"/>
      <c r="AUM147" s="70"/>
      <c r="AUN147" s="70"/>
      <c r="AUO147" s="70"/>
      <c r="AUP147" s="70"/>
      <c r="AUQ147" s="70"/>
      <c r="AUR147" s="70"/>
      <c r="AUS147" s="70"/>
      <c r="AUT147" s="70"/>
      <c r="AUU147" s="70"/>
      <c r="AUV147" s="70"/>
      <c r="AUW147" s="70"/>
      <c r="AUX147" s="70"/>
      <c r="AUY147" s="70"/>
      <c r="AUZ147" s="70"/>
      <c r="AVA147" s="70"/>
      <c r="AVB147" s="70"/>
      <c r="AVC147" s="70"/>
      <c r="AVD147" s="70"/>
      <c r="AVE147" s="70"/>
      <c r="AVF147" s="70"/>
      <c r="AVG147" s="70"/>
      <c r="AVH147" s="70"/>
      <c r="AVI147" s="70"/>
      <c r="AVJ147" s="70"/>
      <c r="AVK147" s="70"/>
      <c r="AVL147" s="70"/>
      <c r="AVM147" s="70"/>
      <c r="AVN147" s="70"/>
      <c r="AVO147" s="70"/>
      <c r="AVP147" s="70"/>
      <c r="AVQ147" s="70"/>
      <c r="AVR147" s="70"/>
      <c r="AVS147" s="70"/>
      <c r="AVT147" s="70"/>
      <c r="AVU147" s="70"/>
      <c r="AVV147" s="70"/>
      <c r="AVW147" s="70"/>
      <c r="AVX147" s="70"/>
      <c r="AVY147" s="70"/>
      <c r="AVZ147" s="70"/>
      <c r="AWA147" s="70"/>
      <c r="AWB147" s="70"/>
      <c r="AWC147" s="70"/>
      <c r="AWD147" s="70"/>
      <c r="AWE147" s="70"/>
      <c r="AWF147" s="70"/>
      <c r="AWG147" s="70"/>
      <c r="AWH147" s="70"/>
      <c r="AWI147" s="70"/>
      <c r="AWJ147" s="70"/>
      <c r="AWK147" s="70"/>
      <c r="AWL147" s="70"/>
      <c r="AWM147" s="70"/>
      <c r="AWN147" s="70"/>
      <c r="AWO147" s="70"/>
      <c r="AWP147" s="70"/>
      <c r="AWQ147" s="70"/>
      <c r="AWR147" s="70"/>
      <c r="AWS147" s="70"/>
      <c r="AWT147" s="70"/>
      <c r="AWU147" s="70"/>
      <c r="AWV147" s="70"/>
      <c r="AWW147" s="70"/>
      <c r="AWX147" s="70"/>
      <c r="AWY147" s="70"/>
      <c r="AWZ147" s="70"/>
      <c r="AXA147" s="70"/>
      <c r="AXB147" s="70"/>
      <c r="AXC147" s="70"/>
      <c r="AXD147" s="70"/>
      <c r="AXE147" s="70"/>
      <c r="AXF147" s="70"/>
      <c r="AXG147" s="70"/>
      <c r="AXH147" s="70"/>
      <c r="AXI147" s="70"/>
      <c r="AXJ147" s="70"/>
      <c r="AXK147" s="70"/>
      <c r="AXL147" s="70"/>
      <c r="AXM147" s="70"/>
      <c r="AXN147" s="70"/>
      <c r="AXO147" s="70"/>
      <c r="AXP147" s="70"/>
      <c r="AXQ147" s="70"/>
      <c r="AXR147" s="70"/>
      <c r="AXS147" s="70"/>
      <c r="AXT147" s="70"/>
      <c r="AXU147" s="70"/>
      <c r="AXV147" s="70"/>
      <c r="AXW147" s="70"/>
      <c r="AXX147" s="70"/>
      <c r="AXY147" s="70"/>
      <c r="AXZ147" s="70"/>
      <c r="AYA147" s="70"/>
      <c r="AYB147" s="70"/>
      <c r="AYC147" s="70"/>
      <c r="AYD147" s="70"/>
      <c r="AYE147" s="70"/>
      <c r="AYF147" s="70"/>
      <c r="AYG147" s="70"/>
      <c r="AYH147" s="70"/>
      <c r="AYI147" s="70"/>
      <c r="AYJ147" s="70"/>
      <c r="AYK147" s="70"/>
      <c r="AYL147" s="70"/>
      <c r="AYM147" s="70"/>
      <c r="AYN147" s="70"/>
      <c r="AYO147" s="70"/>
      <c r="AYP147" s="70"/>
      <c r="AYQ147" s="70"/>
      <c r="AYR147" s="70"/>
      <c r="AYS147" s="70"/>
      <c r="AYT147" s="70"/>
      <c r="AYU147" s="70"/>
      <c r="AYV147" s="70"/>
      <c r="AYW147" s="70"/>
      <c r="AYX147" s="70"/>
      <c r="AYY147" s="70"/>
      <c r="AYZ147" s="70"/>
      <c r="AZA147" s="70"/>
      <c r="AZB147" s="70"/>
      <c r="AZC147" s="70"/>
      <c r="AZD147" s="70"/>
      <c r="AZE147" s="70"/>
      <c r="AZF147" s="70"/>
      <c r="AZG147" s="70"/>
      <c r="AZH147" s="70"/>
      <c r="AZI147" s="70"/>
      <c r="AZJ147" s="70"/>
      <c r="AZK147" s="70"/>
      <c r="AZL147" s="70"/>
      <c r="AZM147" s="70"/>
      <c r="AZN147" s="70"/>
      <c r="AZO147" s="70"/>
      <c r="AZP147" s="70"/>
      <c r="AZQ147" s="70"/>
      <c r="AZR147" s="70"/>
      <c r="AZS147" s="70"/>
      <c r="AZT147" s="70"/>
      <c r="AZU147" s="70"/>
      <c r="AZV147" s="70"/>
      <c r="AZW147" s="70"/>
      <c r="AZX147" s="70"/>
      <c r="AZY147" s="70"/>
      <c r="AZZ147" s="70"/>
      <c r="BAA147" s="70"/>
      <c r="BAB147" s="70"/>
      <c r="BAC147" s="70"/>
      <c r="BAD147" s="70"/>
      <c r="BAE147" s="70"/>
      <c r="BAF147" s="70"/>
      <c r="BAG147" s="70"/>
      <c r="BAH147" s="70"/>
      <c r="BAI147" s="70"/>
      <c r="BAJ147" s="70"/>
      <c r="BAK147" s="70"/>
      <c r="BAL147" s="70"/>
      <c r="BAM147" s="70"/>
      <c r="BAN147" s="70"/>
      <c r="BAO147" s="70"/>
      <c r="BAP147" s="70"/>
      <c r="BAQ147" s="70"/>
      <c r="BAR147" s="70"/>
      <c r="BAS147" s="70"/>
      <c r="BAT147" s="70"/>
      <c r="BAU147" s="70"/>
      <c r="BAV147" s="70"/>
      <c r="BAW147" s="70"/>
      <c r="BAX147" s="70"/>
      <c r="BAY147" s="70"/>
      <c r="BAZ147" s="70"/>
      <c r="BBA147" s="70"/>
      <c r="BBB147" s="70"/>
      <c r="BBC147" s="70"/>
      <c r="BBD147" s="70"/>
      <c r="BBE147" s="70"/>
      <c r="BBF147" s="70"/>
      <c r="BBG147" s="70"/>
      <c r="BBH147" s="70"/>
      <c r="BBI147" s="70"/>
      <c r="BBJ147" s="70"/>
      <c r="BBK147" s="70"/>
      <c r="BBL147" s="70"/>
      <c r="BBM147" s="70"/>
      <c r="BBN147" s="70"/>
      <c r="BBO147" s="70"/>
      <c r="BBP147" s="70"/>
      <c r="BBQ147" s="70"/>
      <c r="BBR147" s="70"/>
      <c r="BBS147" s="70"/>
      <c r="BBT147" s="70"/>
      <c r="BBU147" s="70"/>
      <c r="BBV147" s="70"/>
      <c r="BBW147" s="70"/>
      <c r="BBX147" s="70"/>
      <c r="BBY147" s="70"/>
      <c r="BBZ147" s="70"/>
      <c r="BCA147" s="70"/>
      <c r="BCB147" s="70"/>
      <c r="BCC147" s="70"/>
      <c r="BCD147" s="70"/>
      <c r="BCE147" s="70"/>
      <c r="BCF147" s="70"/>
      <c r="BCG147" s="70"/>
      <c r="BCH147" s="70"/>
      <c r="BCI147" s="70"/>
      <c r="BCJ147" s="70"/>
      <c r="BCK147" s="70"/>
      <c r="BCL147" s="70"/>
      <c r="BCM147" s="70"/>
      <c r="BCN147" s="70"/>
      <c r="BCO147" s="70"/>
      <c r="BCP147" s="70"/>
      <c r="BCQ147" s="70"/>
      <c r="BCR147" s="70"/>
      <c r="BCS147" s="70"/>
      <c r="BCT147" s="70"/>
      <c r="BCU147" s="70"/>
      <c r="BCV147" s="70"/>
      <c r="BCW147" s="70"/>
    </row>
    <row r="148" spans="1:1453" s="69" customFormat="1" ht="39" customHeight="1" x14ac:dyDescent="0.25">
      <c r="A148" s="50">
        <v>25</v>
      </c>
      <c r="B148" s="73" t="s">
        <v>492</v>
      </c>
      <c r="C148" s="73" t="s">
        <v>493</v>
      </c>
      <c r="D148" s="52">
        <v>159976.69</v>
      </c>
      <c r="E148" s="72" t="s">
        <v>494</v>
      </c>
      <c r="F148" s="73" t="s">
        <v>645</v>
      </c>
      <c r="G148" s="71"/>
      <c r="H148" s="71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  <c r="IX148" s="70"/>
      <c r="IY148" s="70"/>
      <c r="IZ148" s="70"/>
      <c r="JA148" s="70"/>
      <c r="JB148" s="70"/>
      <c r="JC148" s="70"/>
      <c r="JD148" s="70"/>
      <c r="JE148" s="70"/>
      <c r="JF148" s="70"/>
      <c r="JG148" s="70"/>
      <c r="JH148" s="70"/>
      <c r="JI148" s="70"/>
      <c r="JJ148" s="70"/>
      <c r="JK148" s="70"/>
      <c r="JL148" s="70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70"/>
      <c r="JZ148" s="70"/>
      <c r="KA148" s="70"/>
      <c r="KB148" s="70"/>
      <c r="KC148" s="70"/>
      <c r="KD148" s="70"/>
      <c r="KE148" s="70"/>
      <c r="KF148" s="70"/>
      <c r="KG148" s="70"/>
      <c r="KH148" s="70"/>
      <c r="KI148" s="70"/>
      <c r="KJ148" s="70"/>
      <c r="KK148" s="70"/>
      <c r="KL148" s="70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70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70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70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70"/>
      <c r="MM148" s="70"/>
      <c r="MN148" s="70"/>
      <c r="MO148" s="70"/>
      <c r="MP148" s="70"/>
      <c r="MQ148" s="70"/>
      <c r="MR148" s="70"/>
      <c r="MS148" s="70"/>
      <c r="MT148" s="70"/>
      <c r="MU148" s="70"/>
      <c r="MV148" s="70"/>
      <c r="MW148" s="70"/>
      <c r="MX148" s="70"/>
      <c r="MY148" s="70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  <c r="NN148" s="70"/>
      <c r="NO148" s="70"/>
      <c r="NP148" s="70"/>
      <c r="NQ148" s="70"/>
      <c r="NR148" s="70"/>
      <c r="NS148" s="70"/>
      <c r="NT148" s="70"/>
      <c r="NU148" s="70"/>
      <c r="NV148" s="70"/>
      <c r="NW148" s="70"/>
      <c r="NX148" s="70"/>
      <c r="NY148" s="70"/>
      <c r="NZ148" s="70"/>
      <c r="OA148" s="70"/>
      <c r="OB148" s="70"/>
      <c r="OC148" s="70"/>
      <c r="OD148" s="70"/>
      <c r="OE148" s="70"/>
      <c r="OF148" s="70"/>
      <c r="OG148" s="70"/>
      <c r="OH148" s="70"/>
      <c r="OI148" s="70"/>
      <c r="OJ148" s="70"/>
      <c r="OK148" s="70"/>
      <c r="OL148" s="70"/>
      <c r="OM148" s="70"/>
      <c r="ON148" s="70"/>
      <c r="OO148" s="70"/>
      <c r="OP148" s="70"/>
      <c r="OQ148" s="70"/>
      <c r="OR148" s="70"/>
      <c r="OS148" s="70"/>
      <c r="OT148" s="70"/>
      <c r="OU148" s="70"/>
      <c r="OV148" s="70"/>
      <c r="OW148" s="70"/>
      <c r="OX148" s="70"/>
      <c r="OY148" s="70"/>
      <c r="OZ148" s="70"/>
      <c r="PA148" s="70"/>
      <c r="PB148" s="70"/>
      <c r="PC148" s="70"/>
      <c r="PD148" s="70"/>
      <c r="PE148" s="70"/>
      <c r="PF148" s="70"/>
      <c r="PG148" s="70"/>
      <c r="PH148" s="70"/>
      <c r="PI148" s="70"/>
      <c r="PJ148" s="70"/>
      <c r="PK148" s="70"/>
      <c r="PL148" s="70"/>
      <c r="PM148" s="70"/>
      <c r="PN148" s="70"/>
      <c r="PO148" s="70"/>
      <c r="PP148" s="70"/>
      <c r="PQ148" s="70"/>
      <c r="PR148" s="70"/>
      <c r="PS148" s="70"/>
      <c r="PT148" s="70"/>
      <c r="PU148" s="70"/>
      <c r="PV148" s="70"/>
      <c r="PW148" s="70"/>
      <c r="PX148" s="70"/>
      <c r="PY148" s="70"/>
      <c r="PZ148" s="70"/>
      <c r="QA148" s="70"/>
      <c r="QB148" s="70"/>
      <c r="QC148" s="70"/>
      <c r="QD148" s="70"/>
      <c r="QE148" s="70"/>
      <c r="QF148" s="70"/>
      <c r="QG148" s="70"/>
      <c r="QH148" s="70"/>
      <c r="QI148" s="70"/>
      <c r="QJ148" s="70"/>
      <c r="QK148" s="70"/>
      <c r="QL148" s="70"/>
      <c r="QM148" s="70"/>
      <c r="QN148" s="70"/>
      <c r="QO148" s="70"/>
      <c r="QP148" s="70"/>
      <c r="QQ148" s="70"/>
      <c r="QR148" s="70"/>
      <c r="QS148" s="70"/>
      <c r="QT148" s="70"/>
      <c r="QU148" s="70"/>
      <c r="QV148" s="70"/>
      <c r="QW148" s="70"/>
      <c r="QX148" s="70"/>
      <c r="QY148" s="70"/>
      <c r="QZ148" s="70"/>
      <c r="RA148" s="70"/>
      <c r="RB148" s="70"/>
      <c r="RC148" s="70"/>
      <c r="RD148" s="70"/>
      <c r="RE148" s="70"/>
      <c r="RF148" s="70"/>
      <c r="RG148" s="70"/>
      <c r="RH148" s="70"/>
      <c r="RI148" s="70"/>
      <c r="RJ148" s="70"/>
      <c r="RK148" s="70"/>
      <c r="RL148" s="70"/>
      <c r="RM148" s="70"/>
      <c r="RN148" s="70"/>
      <c r="RO148" s="70"/>
      <c r="RP148" s="70"/>
      <c r="RQ148" s="70"/>
      <c r="RR148" s="70"/>
      <c r="RS148" s="70"/>
      <c r="RT148" s="70"/>
      <c r="RU148" s="70"/>
      <c r="RV148" s="70"/>
      <c r="RW148" s="70"/>
      <c r="RX148" s="70"/>
      <c r="RY148" s="70"/>
      <c r="RZ148" s="70"/>
      <c r="SA148" s="70"/>
      <c r="SB148" s="70"/>
      <c r="SC148" s="70"/>
      <c r="SD148" s="70"/>
      <c r="SE148" s="70"/>
      <c r="SF148" s="70"/>
      <c r="SG148" s="70"/>
      <c r="SH148" s="70"/>
      <c r="SI148" s="70"/>
      <c r="SJ148" s="70"/>
      <c r="SK148" s="70"/>
      <c r="SL148" s="70"/>
      <c r="SM148" s="70"/>
      <c r="SN148" s="70"/>
      <c r="SO148" s="70"/>
      <c r="SP148" s="70"/>
      <c r="SQ148" s="70"/>
      <c r="SR148" s="70"/>
      <c r="SS148" s="70"/>
      <c r="ST148" s="70"/>
      <c r="SU148" s="70"/>
      <c r="SV148" s="70"/>
      <c r="SW148" s="70"/>
      <c r="SX148" s="70"/>
      <c r="SY148" s="70"/>
      <c r="SZ148" s="70"/>
      <c r="TA148" s="70"/>
      <c r="TB148" s="70"/>
      <c r="TC148" s="70"/>
      <c r="TD148" s="70"/>
      <c r="TE148" s="70"/>
      <c r="TF148" s="70"/>
      <c r="TG148" s="70"/>
      <c r="TH148" s="70"/>
      <c r="TI148" s="70"/>
      <c r="TJ148" s="70"/>
      <c r="TK148" s="70"/>
      <c r="TL148" s="70"/>
      <c r="TM148" s="70"/>
      <c r="TN148" s="70"/>
      <c r="TO148" s="70"/>
      <c r="TP148" s="70"/>
      <c r="TQ148" s="70"/>
      <c r="TR148" s="70"/>
      <c r="TS148" s="70"/>
      <c r="TT148" s="70"/>
      <c r="TU148" s="70"/>
      <c r="TV148" s="70"/>
      <c r="TW148" s="70"/>
      <c r="TX148" s="70"/>
      <c r="TY148" s="70"/>
      <c r="TZ148" s="70"/>
      <c r="UA148" s="70"/>
      <c r="UB148" s="70"/>
      <c r="UC148" s="70"/>
      <c r="UD148" s="70"/>
      <c r="UE148" s="70"/>
      <c r="UF148" s="70"/>
      <c r="UG148" s="70"/>
      <c r="UH148" s="70"/>
      <c r="UI148" s="70"/>
      <c r="UJ148" s="70"/>
      <c r="UK148" s="70"/>
      <c r="UL148" s="70"/>
      <c r="UM148" s="70"/>
      <c r="UN148" s="70"/>
      <c r="UO148" s="70"/>
      <c r="UP148" s="70"/>
      <c r="UQ148" s="70"/>
      <c r="UR148" s="70"/>
      <c r="US148" s="70"/>
      <c r="UT148" s="70"/>
      <c r="UU148" s="70"/>
      <c r="UV148" s="70"/>
      <c r="UW148" s="70"/>
      <c r="UX148" s="70"/>
      <c r="UY148" s="70"/>
      <c r="UZ148" s="70"/>
      <c r="VA148" s="70"/>
      <c r="VB148" s="70"/>
      <c r="VC148" s="70"/>
      <c r="VD148" s="70"/>
      <c r="VE148" s="70"/>
      <c r="VF148" s="70"/>
      <c r="VG148" s="70"/>
      <c r="VH148" s="70"/>
      <c r="VI148" s="70"/>
      <c r="VJ148" s="70"/>
      <c r="VK148" s="70"/>
      <c r="VL148" s="70"/>
      <c r="VM148" s="70"/>
      <c r="VN148" s="70"/>
      <c r="VO148" s="70"/>
      <c r="VP148" s="70"/>
      <c r="VQ148" s="70"/>
      <c r="VR148" s="70"/>
      <c r="VS148" s="70"/>
      <c r="VT148" s="70"/>
      <c r="VU148" s="70"/>
      <c r="VV148" s="70"/>
      <c r="VW148" s="70"/>
      <c r="VX148" s="70"/>
      <c r="VY148" s="70"/>
      <c r="VZ148" s="70"/>
      <c r="WA148" s="70"/>
      <c r="WB148" s="70"/>
      <c r="WC148" s="70"/>
      <c r="WD148" s="70"/>
      <c r="WE148" s="70"/>
      <c r="WF148" s="70"/>
      <c r="WG148" s="70"/>
      <c r="WH148" s="70"/>
      <c r="WI148" s="70"/>
      <c r="WJ148" s="70"/>
      <c r="WK148" s="70"/>
      <c r="WL148" s="70"/>
      <c r="WM148" s="70"/>
      <c r="WN148" s="70"/>
      <c r="WO148" s="70"/>
      <c r="WP148" s="70"/>
      <c r="WQ148" s="70"/>
      <c r="WR148" s="70"/>
      <c r="WS148" s="70"/>
      <c r="WT148" s="70"/>
      <c r="WU148" s="70"/>
      <c r="WV148" s="70"/>
      <c r="WW148" s="70"/>
      <c r="WX148" s="70"/>
      <c r="WY148" s="70"/>
      <c r="WZ148" s="70"/>
      <c r="XA148" s="70"/>
      <c r="XB148" s="70"/>
      <c r="XC148" s="70"/>
      <c r="XD148" s="70"/>
      <c r="XE148" s="70"/>
      <c r="XF148" s="70"/>
      <c r="XG148" s="70"/>
      <c r="XH148" s="70"/>
      <c r="XI148" s="70"/>
      <c r="XJ148" s="70"/>
      <c r="XK148" s="70"/>
      <c r="XL148" s="70"/>
      <c r="XM148" s="70"/>
      <c r="XN148" s="70"/>
      <c r="XO148" s="70"/>
      <c r="XP148" s="70"/>
      <c r="XQ148" s="70"/>
      <c r="XR148" s="70"/>
      <c r="XS148" s="70"/>
      <c r="XT148" s="70"/>
      <c r="XU148" s="70"/>
      <c r="XV148" s="70"/>
      <c r="XW148" s="70"/>
      <c r="XX148" s="70"/>
      <c r="XY148" s="70"/>
      <c r="XZ148" s="70"/>
      <c r="YA148" s="70"/>
      <c r="YB148" s="70"/>
      <c r="YC148" s="70"/>
      <c r="YD148" s="70"/>
      <c r="YE148" s="70"/>
      <c r="YF148" s="70"/>
      <c r="YG148" s="70"/>
      <c r="YH148" s="70"/>
      <c r="YI148" s="70"/>
      <c r="YJ148" s="70"/>
      <c r="YK148" s="70"/>
      <c r="YL148" s="70"/>
      <c r="YM148" s="70"/>
      <c r="YN148" s="70"/>
      <c r="YO148" s="70"/>
      <c r="YP148" s="70"/>
      <c r="YQ148" s="70"/>
      <c r="YR148" s="70"/>
      <c r="YS148" s="70"/>
      <c r="YT148" s="70"/>
      <c r="YU148" s="70"/>
      <c r="YV148" s="70"/>
      <c r="YW148" s="70"/>
      <c r="YX148" s="70"/>
      <c r="YY148" s="70"/>
      <c r="YZ148" s="70"/>
      <c r="ZA148" s="70"/>
      <c r="ZB148" s="70"/>
      <c r="ZC148" s="70"/>
      <c r="ZD148" s="70"/>
      <c r="ZE148" s="70"/>
      <c r="ZF148" s="70"/>
      <c r="ZG148" s="70"/>
      <c r="ZH148" s="70"/>
      <c r="ZI148" s="70"/>
      <c r="ZJ148" s="70"/>
      <c r="ZK148" s="70"/>
      <c r="ZL148" s="70"/>
      <c r="ZM148" s="70"/>
      <c r="ZN148" s="70"/>
      <c r="ZO148" s="70"/>
      <c r="ZP148" s="70"/>
      <c r="ZQ148" s="70"/>
      <c r="ZR148" s="70"/>
      <c r="ZS148" s="70"/>
      <c r="ZT148" s="70"/>
      <c r="ZU148" s="70"/>
      <c r="ZV148" s="70"/>
      <c r="ZW148" s="70"/>
      <c r="ZX148" s="70"/>
      <c r="ZY148" s="70"/>
      <c r="ZZ148" s="70"/>
      <c r="AAA148" s="70"/>
      <c r="AAB148" s="70"/>
      <c r="AAC148" s="70"/>
      <c r="AAD148" s="70"/>
      <c r="AAE148" s="70"/>
      <c r="AAF148" s="70"/>
      <c r="AAG148" s="70"/>
      <c r="AAH148" s="70"/>
      <c r="AAI148" s="70"/>
      <c r="AAJ148" s="70"/>
      <c r="AAK148" s="70"/>
      <c r="AAL148" s="70"/>
      <c r="AAM148" s="70"/>
      <c r="AAN148" s="70"/>
      <c r="AAO148" s="70"/>
      <c r="AAP148" s="70"/>
      <c r="AAQ148" s="70"/>
      <c r="AAR148" s="70"/>
      <c r="AAS148" s="70"/>
      <c r="AAT148" s="70"/>
      <c r="AAU148" s="70"/>
      <c r="AAV148" s="70"/>
      <c r="AAW148" s="70"/>
      <c r="AAX148" s="70"/>
      <c r="AAY148" s="70"/>
      <c r="AAZ148" s="70"/>
      <c r="ABA148" s="70"/>
      <c r="ABB148" s="70"/>
      <c r="ABC148" s="70"/>
      <c r="ABD148" s="70"/>
      <c r="ABE148" s="70"/>
      <c r="ABF148" s="70"/>
      <c r="ABG148" s="70"/>
      <c r="ABH148" s="70"/>
      <c r="ABI148" s="70"/>
      <c r="ABJ148" s="70"/>
      <c r="ABK148" s="70"/>
      <c r="ABL148" s="70"/>
      <c r="ABM148" s="70"/>
      <c r="ABN148" s="70"/>
      <c r="ABO148" s="70"/>
      <c r="ABP148" s="70"/>
      <c r="ABQ148" s="70"/>
      <c r="ABR148" s="70"/>
      <c r="ABS148" s="70"/>
      <c r="ABT148" s="70"/>
      <c r="ABU148" s="70"/>
      <c r="ABV148" s="70"/>
      <c r="ABW148" s="70"/>
      <c r="ABX148" s="70"/>
      <c r="ABY148" s="70"/>
      <c r="ABZ148" s="70"/>
      <c r="ACA148" s="70"/>
      <c r="ACB148" s="70"/>
      <c r="ACC148" s="70"/>
      <c r="ACD148" s="70"/>
      <c r="ACE148" s="70"/>
      <c r="ACF148" s="70"/>
      <c r="ACG148" s="70"/>
      <c r="ACH148" s="70"/>
      <c r="ACI148" s="70"/>
      <c r="ACJ148" s="70"/>
      <c r="ACK148" s="70"/>
      <c r="ACL148" s="70"/>
      <c r="ACM148" s="70"/>
      <c r="ACN148" s="70"/>
      <c r="ACO148" s="70"/>
      <c r="ACP148" s="70"/>
      <c r="ACQ148" s="70"/>
      <c r="ACR148" s="70"/>
      <c r="ACS148" s="70"/>
      <c r="ACT148" s="70"/>
      <c r="ACU148" s="70"/>
      <c r="ACV148" s="70"/>
      <c r="ACW148" s="70"/>
      <c r="ACX148" s="70"/>
      <c r="ACY148" s="70"/>
      <c r="ACZ148" s="70"/>
      <c r="ADA148" s="70"/>
      <c r="ADB148" s="70"/>
      <c r="ADC148" s="70"/>
      <c r="ADD148" s="70"/>
      <c r="ADE148" s="70"/>
      <c r="ADF148" s="70"/>
      <c r="ADG148" s="70"/>
      <c r="ADH148" s="70"/>
      <c r="ADI148" s="70"/>
      <c r="ADJ148" s="70"/>
      <c r="ADK148" s="70"/>
      <c r="ADL148" s="70"/>
      <c r="ADM148" s="70"/>
      <c r="ADN148" s="70"/>
      <c r="ADO148" s="70"/>
      <c r="ADP148" s="70"/>
      <c r="ADQ148" s="70"/>
      <c r="ADR148" s="70"/>
      <c r="ADS148" s="70"/>
      <c r="ADT148" s="70"/>
      <c r="ADU148" s="70"/>
      <c r="ADV148" s="70"/>
      <c r="ADW148" s="70"/>
      <c r="ADX148" s="70"/>
      <c r="ADY148" s="70"/>
      <c r="ADZ148" s="70"/>
      <c r="AEA148" s="70"/>
      <c r="AEB148" s="70"/>
      <c r="AEC148" s="70"/>
      <c r="AED148" s="70"/>
      <c r="AEE148" s="70"/>
      <c r="AEF148" s="70"/>
      <c r="AEG148" s="70"/>
      <c r="AEH148" s="70"/>
      <c r="AEI148" s="70"/>
      <c r="AEJ148" s="70"/>
      <c r="AEK148" s="70"/>
      <c r="AEL148" s="70"/>
      <c r="AEM148" s="70"/>
      <c r="AEN148" s="70"/>
      <c r="AEO148" s="70"/>
      <c r="AEP148" s="70"/>
      <c r="AEQ148" s="70"/>
      <c r="AER148" s="70"/>
      <c r="AES148" s="70"/>
      <c r="AET148" s="70"/>
      <c r="AEU148" s="70"/>
      <c r="AEV148" s="70"/>
      <c r="AEW148" s="70"/>
      <c r="AEX148" s="70"/>
      <c r="AEY148" s="70"/>
      <c r="AEZ148" s="70"/>
      <c r="AFA148" s="70"/>
      <c r="AFB148" s="70"/>
      <c r="AFC148" s="70"/>
      <c r="AFD148" s="70"/>
      <c r="AFE148" s="70"/>
      <c r="AFF148" s="70"/>
      <c r="AFG148" s="70"/>
      <c r="AFH148" s="70"/>
      <c r="AFI148" s="70"/>
      <c r="AFJ148" s="70"/>
      <c r="AFK148" s="70"/>
      <c r="AFL148" s="70"/>
      <c r="AFM148" s="70"/>
      <c r="AFN148" s="70"/>
      <c r="AFO148" s="70"/>
      <c r="AFP148" s="70"/>
      <c r="AFQ148" s="70"/>
      <c r="AFR148" s="70"/>
      <c r="AFS148" s="70"/>
      <c r="AFT148" s="70"/>
      <c r="AFU148" s="70"/>
      <c r="AFV148" s="70"/>
      <c r="AFW148" s="70"/>
      <c r="AFX148" s="70"/>
      <c r="AFY148" s="70"/>
      <c r="AFZ148" s="70"/>
      <c r="AGA148" s="70"/>
      <c r="AGB148" s="70"/>
      <c r="AGC148" s="70"/>
      <c r="AGD148" s="70"/>
      <c r="AGE148" s="70"/>
      <c r="AGF148" s="70"/>
      <c r="AGG148" s="70"/>
      <c r="AGH148" s="70"/>
      <c r="AGI148" s="70"/>
      <c r="AGJ148" s="70"/>
      <c r="AGK148" s="70"/>
      <c r="AGL148" s="70"/>
      <c r="AGM148" s="70"/>
      <c r="AGN148" s="70"/>
      <c r="AGO148" s="70"/>
      <c r="AGP148" s="70"/>
      <c r="AGQ148" s="70"/>
      <c r="AGR148" s="70"/>
      <c r="AGS148" s="70"/>
      <c r="AGT148" s="70"/>
      <c r="AGU148" s="70"/>
      <c r="AGV148" s="70"/>
      <c r="AGW148" s="70"/>
      <c r="AGX148" s="70"/>
      <c r="AGY148" s="70"/>
      <c r="AGZ148" s="70"/>
      <c r="AHA148" s="70"/>
      <c r="AHB148" s="70"/>
      <c r="AHC148" s="70"/>
      <c r="AHD148" s="70"/>
      <c r="AHE148" s="70"/>
      <c r="AHF148" s="70"/>
      <c r="AHG148" s="70"/>
      <c r="AHH148" s="70"/>
      <c r="AHI148" s="70"/>
      <c r="AHJ148" s="70"/>
      <c r="AHK148" s="70"/>
      <c r="AHL148" s="70"/>
      <c r="AHM148" s="70"/>
      <c r="AHN148" s="70"/>
      <c r="AHO148" s="70"/>
      <c r="AHP148" s="70"/>
      <c r="AHQ148" s="70"/>
      <c r="AHR148" s="70"/>
      <c r="AHS148" s="70"/>
      <c r="AHT148" s="70"/>
      <c r="AHU148" s="70"/>
      <c r="AHV148" s="70"/>
      <c r="AHW148" s="70"/>
      <c r="AHX148" s="70"/>
      <c r="AHY148" s="70"/>
      <c r="AHZ148" s="70"/>
      <c r="AIA148" s="70"/>
      <c r="AIB148" s="70"/>
      <c r="AIC148" s="70"/>
      <c r="AID148" s="70"/>
      <c r="AIE148" s="70"/>
      <c r="AIF148" s="70"/>
      <c r="AIG148" s="70"/>
      <c r="AIH148" s="70"/>
      <c r="AII148" s="70"/>
      <c r="AIJ148" s="70"/>
      <c r="AIK148" s="70"/>
      <c r="AIL148" s="70"/>
      <c r="AIM148" s="70"/>
      <c r="AIN148" s="70"/>
      <c r="AIO148" s="70"/>
      <c r="AIP148" s="70"/>
      <c r="AIQ148" s="70"/>
      <c r="AIR148" s="70"/>
      <c r="AIS148" s="70"/>
      <c r="AIT148" s="70"/>
      <c r="AIU148" s="70"/>
      <c r="AIV148" s="70"/>
      <c r="AIW148" s="70"/>
      <c r="AIX148" s="70"/>
      <c r="AIY148" s="70"/>
      <c r="AIZ148" s="70"/>
      <c r="AJA148" s="70"/>
      <c r="AJB148" s="70"/>
      <c r="AJC148" s="70"/>
      <c r="AJD148" s="70"/>
      <c r="AJE148" s="70"/>
      <c r="AJF148" s="70"/>
      <c r="AJG148" s="70"/>
      <c r="AJH148" s="70"/>
      <c r="AJI148" s="70"/>
      <c r="AJJ148" s="70"/>
      <c r="AJK148" s="70"/>
      <c r="AJL148" s="70"/>
      <c r="AJM148" s="70"/>
      <c r="AJN148" s="70"/>
      <c r="AJO148" s="70"/>
      <c r="AJP148" s="70"/>
      <c r="AJQ148" s="70"/>
      <c r="AJR148" s="70"/>
      <c r="AJS148" s="70"/>
      <c r="AJT148" s="70"/>
      <c r="AJU148" s="70"/>
      <c r="AJV148" s="70"/>
      <c r="AJW148" s="70"/>
      <c r="AJX148" s="70"/>
      <c r="AJY148" s="70"/>
      <c r="AJZ148" s="70"/>
      <c r="AKA148" s="70"/>
      <c r="AKB148" s="70"/>
      <c r="AKC148" s="70"/>
      <c r="AKD148" s="70"/>
      <c r="AKE148" s="70"/>
      <c r="AKF148" s="70"/>
      <c r="AKG148" s="70"/>
      <c r="AKH148" s="70"/>
      <c r="AKI148" s="70"/>
      <c r="AKJ148" s="70"/>
      <c r="AKK148" s="70"/>
      <c r="AKL148" s="70"/>
      <c r="AKM148" s="70"/>
      <c r="AKN148" s="70"/>
      <c r="AKO148" s="70"/>
      <c r="AKP148" s="70"/>
      <c r="AKQ148" s="70"/>
      <c r="AKR148" s="70"/>
      <c r="AKS148" s="70"/>
      <c r="AKT148" s="70"/>
      <c r="AKU148" s="70"/>
      <c r="AKV148" s="70"/>
      <c r="AKW148" s="70"/>
      <c r="AKX148" s="70"/>
      <c r="AKY148" s="70"/>
      <c r="AKZ148" s="70"/>
      <c r="ALA148" s="70"/>
      <c r="ALB148" s="70"/>
      <c r="ALC148" s="70"/>
      <c r="ALD148" s="70"/>
      <c r="ALE148" s="70"/>
      <c r="ALF148" s="70"/>
      <c r="ALG148" s="70"/>
      <c r="ALH148" s="70"/>
      <c r="ALI148" s="70"/>
      <c r="ALJ148" s="70"/>
      <c r="ALK148" s="70"/>
      <c r="ALL148" s="70"/>
      <c r="ALM148" s="70"/>
      <c r="ALN148" s="70"/>
      <c r="ALO148" s="70"/>
      <c r="ALP148" s="70"/>
      <c r="ALQ148" s="70"/>
      <c r="ALR148" s="70"/>
      <c r="ALS148" s="70"/>
      <c r="ALT148" s="70"/>
      <c r="ALU148" s="70"/>
      <c r="ALV148" s="70"/>
      <c r="ALW148" s="70"/>
      <c r="ALX148" s="70"/>
      <c r="ALY148" s="70"/>
      <c r="ALZ148" s="70"/>
      <c r="AMA148" s="70"/>
      <c r="AMB148" s="70"/>
      <c r="AMC148" s="70"/>
      <c r="AMD148" s="70"/>
      <c r="AME148" s="70"/>
      <c r="AMF148" s="70"/>
      <c r="AMG148" s="70"/>
      <c r="AMH148" s="70"/>
      <c r="AMI148" s="70"/>
      <c r="AMJ148" s="70"/>
      <c r="AMK148" s="70"/>
      <c r="AML148" s="70"/>
      <c r="AMM148" s="70"/>
      <c r="AMN148" s="70"/>
      <c r="AMO148" s="70"/>
      <c r="AMP148" s="70"/>
      <c r="AMQ148" s="70"/>
      <c r="AMR148" s="70"/>
      <c r="AMS148" s="70"/>
      <c r="AMT148" s="70"/>
      <c r="AMU148" s="70"/>
      <c r="AMV148" s="70"/>
      <c r="AMW148" s="70"/>
      <c r="AMX148" s="70"/>
      <c r="AMY148" s="70"/>
      <c r="AMZ148" s="70"/>
      <c r="ANA148" s="70"/>
      <c r="ANB148" s="70"/>
      <c r="ANC148" s="70"/>
      <c r="AND148" s="70"/>
      <c r="ANE148" s="70"/>
      <c r="ANF148" s="70"/>
      <c r="ANG148" s="70"/>
      <c r="ANH148" s="70"/>
      <c r="ANI148" s="70"/>
      <c r="ANJ148" s="70"/>
      <c r="ANK148" s="70"/>
      <c r="ANL148" s="70"/>
      <c r="ANM148" s="70"/>
      <c r="ANN148" s="70"/>
      <c r="ANO148" s="70"/>
      <c r="ANP148" s="70"/>
      <c r="ANQ148" s="70"/>
      <c r="ANR148" s="70"/>
      <c r="ANS148" s="70"/>
      <c r="ANT148" s="70"/>
      <c r="ANU148" s="70"/>
      <c r="ANV148" s="70"/>
      <c r="ANW148" s="70"/>
      <c r="ANX148" s="70"/>
      <c r="ANY148" s="70"/>
      <c r="ANZ148" s="70"/>
      <c r="AOA148" s="70"/>
      <c r="AOB148" s="70"/>
      <c r="AOC148" s="70"/>
      <c r="AOD148" s="70"/>
      <c r="AOE148" s="70"/>
      <c r="AOF148" s="70"/>
      <c r="AOG148" s="70"/>
      <c r="AOH148" s="70"/>
      <c r="AOI148" s="70"/>
      <c r="AOJ148" s="70"/>
      <c r="AOK148" s="70"/>
      <c r="AOL148" s="70"/>
      <c r="AOM148" s="70"/>
      <c r="AON148" s="70"/>
      <c r="AOO148" s="70"/>
      <c r="AOP148" s="70"/>
      <c r="AOQ148" s="70"/>
      <c r="AOR148" s="70"/>
      <c r="AOS148" s="70"/>
      <c r="AOT148" s="70"/>
      <c r="AOU148" s="70"/>
      <c r="AOV148" s="70"/>
      <c r="AOW148" s="70"/>
      <c r="AOX148" s="70"/>
      <c r="AOY148" s="70"/>
      <c r="AOZ148" s="70"/>
      <c r="APA148" s="70"/>
      <c r="APB148" s="70"/>
      <c r="APC148" s="70"/>
      <c r="APD148" s="70"/>
      <c r="APE148" s="70"/>
      <c r="APF148" s="70"/>
      <c r="APG148" s="70"/>
      <c r="APH148" s="70"/>
      <c r="API148" s="70"/>
      <c r="APJ148" s="70"/>
      <c r="APK148" s="70"/>
      <c r="APL148" s="70"/>
      <c r="APM148" s="70"/>
      <c r="APN148" s="70"/>
      <c r="APO148" s="70"/>
      <c r="APP148" s="70"/>
      <c r="APQ148" s="70"/>
      <c r="APR148" s="70"/>
      <c r="APS148" s="70"/>
      <c r="APT148" s="70"/>
      <c r="APU148" s="70"/>
      <c r="APV148" s="70"/>
      <c r="APW148" s="70"/>
      <c r="APX148" s="70"/>
      <c r="APY148" s="70"/>
      <c r="APZ148" s="70"/>
      <c r="AQA148" s="70"/>
      <c r="AQB148" s="70"/>
      <c r="AQC148" s="70"/>
      <c r="AQD148" s="70"/>
      <c r="AQE148" s="70"/>
      <c r="AQF148" s="70"/>
      <c r="AQG148" s="70"/>
      <c r="AQH148" s="70"/>
      <c r="AQI148" s="70"/>
      <c r="AQJ148" s="70"/>
      <c r="AQK148" s="70"/>
      <c r="AQL148" s="70"/>
      <c r="AQM148" s="70"/>
      <c r="AQN148" s="70"/>
      <c r="AQO148" s="70"/>
      <c r="AQP148" s="70"/>
      <c r="AQQ148" s="70"/>
      <c r="AQR148" s="70"/>
      <c r="AQS148" s="70"/>
      <c r="AQT148" s="70"/>
      <c r="AQU148" s="70"/>
      <c r="AQV148" s="70"/>
      <c r="AQW148" s="70"/>
      <c r="AQX148" s="70"/>
      <c r="AQY148" s="70"/>
      <c r="AQZ148" s="70"/>
      <c r="ARA148" s="70"/>
      <c r="ARB148" s="70"/>
      <c r="ARC148" s="70"/>
      <c r="ARD148" s="70"/>
      <c r="ARE148" s="70"/>
      <c r="ARF148" s="70"/>
      <c r="ARG148" s="70"/>
      <c r="ARH148" s="70"/>
      <c r="ARI148" s="70"/>
      <c r="ARJ148" s="70"/>
      <c r="ARK148" s="70"/>
      <c r="ARL148" s="70"/>
      <c r="ARM148" s="70"/>
      <c r="ARN148" s="70"/>
      <c r="ARO148" s="70"/>
      <c r="ARP148" s="70"/>
      <c r="ARQ148" s="70"/>
      <c r="ARR148" s="70"/>
      <c r="ARS148" s="70"/>
      <c r="ART148" s="70"/>
      <c r="ARU148" s="70"/>
      <c r="ARV148" s="70"/>
      <c r="ARW148" s="70"/>
      <c r="ARX148" s="70"/>
      <c r="ARY148" s="70"/>
      <c r="ARZ148" s="70"/>
      <c r="ASA148" s="70"/>
      <c r="ASB148" s="70"/>
      <c r="ASC148" s="70"/>
      <c r="ASD148" s="70"/>
      <c r="ASE148" s="70"/>
      <c r="ASF148" s="70"/>
      <c r="ASG148" s="70"/>
      <c r="ASH148" s="70"/>
      <c r="ASI148" s="70"/>
      <c r="ASJ148" s="70"/>
      <c r="ASK148" s="70"/>
      <c r="ASL148" s="70"/>
      <c r="ASM148" s="70"/>
      <c r="ASN148" s="70"/>
      <c r="ASO148" s="70"/>
      <c r="ASP148" s="70"/>
      <c r="ASQ148" s="70"/>
      <c r="ASR148" s="70"/>
      <c r="ASS148" s="70"/>
      <c r="AST148" s="70"/>
      <c r="ASU148" s="70"/>
      <c r="ASV148" s="70"/>
      <c r="ASW148" s="70"/>
      <c r="ASX148" s="70"/>
      <c r="ASY148" s="70"/>
      <c r="ASZ148" s="70"/>
      <c r="ATA148" s="70"/>
      <c r="ATB148" s="70"/>
      <c r="ATC148" s="70"/>
      <c r="ATD148" s="70"/>
      <c r="ATE148" s="70"/>
      <c r="ATF148" s="70"/>
      <c r="ATG148" s="70"/>
      <c r="ATH148" s="70"/>
      <c r="ATI148" s="70"/>
      <c r="ATJ148" s="70"/>
      <c r="ATK148" s="70"/>
      <c r="ATL148" s="70"/>
      <c r="ATM148" s="70"/>
      <c r="ATN148" s="70"/>
      <c r="ATO148" s="70"/>
      <c r="ATP148" s="70"/>
      <c r="ATQ148" s="70"/>
      <c r="ATR148" s="70"/>
      <c r="ATS148" s="70"/>
      <c r="ATT148" s="70"/>
      <c r="ATU148" s="70"/>
      <c r="ATV148" s="70"/>
      <c r="ATW148" s="70"/>
      <c r="ATX148" s="70"/>
      <c r="ATY148" s="70"/>
      <c r="ATZ148" s="70"/>
      <c r="AUA148" s="70"/>
      <c r="AUB148" s="70"/>
      <c r="AUC148" s="70"/>
      <c r="AUD148" s="70"/>
      <c r="AUE148" s="70"/>
      <c r="AUF148" s="70"/>
      <c r="AUG148" s="70"/>
      <c r="AUH148" s="70"/>
      <c r="AUI148" s="70"/>
      <c r="AUJ148" s="70"/>
      <c r="AUK148" s="70"/>
      <c r="AUL148" s="70"/>
      <c r="AUM148" s="70"/>
      <c r="AUN148" s="70"/>
      <c r="AUO148" s="70"/>
      <c r="AUP148" s="70"/>
      <c r="AUQ148" s="70"/>
      <c r="AUR148" s="70"/>
      <c r="AUS148" s="70"/>
      <c r="AUT148" s="70"/>
      <c r="AUU148" s="70"/>
      <c r="AUV148" s="70"/>
      <c r="AUW148" s="70"/>
      <c r="AUX148" s="70"/>
      <c r="AUY148" s="70"/>
      <c r="AUZ148" s="70"/>
      <c r="AVA148" s="70"/>
      <c r="AVB148" s="70"/>
      <c r="AVC148" s="70"/>
      <c r="AVD148" s="70"/>
      <c r="AVE148" s="70"/>
      <c r="AVF148" s="70"/>
      <c r="AVG148" s="70"/>
      <c r="AVH148" s="70"/>
      <c r="AVI148" s="70"/>
      <c r="AVJ148" s="70"/>
      <c r="AVK148" s="70"/>
      <c r="AVL148" s="70"/>
      <c r="AVM148" s="70"/>
      <c r="AVN148" s="70"/>
      <c r="AVO148" s="70"/>
      <c r="AVP148" s="70"/>
      <c r="AVQ148" s="70"/>
      <c r="AVR148" s="70"/>
      <c r="AVS148" s="70"/>
      <c r="AVT148" s="70"/>
      <c r="AVU148" s="70"/>
      <c r="AVV148" s="70"/>
      <c r="AVW148" s="70"/>
      <c r="AVX148" s="70"/>
      <c r="AVY148" s="70"/>
      <c r="AVZ148" s="70"/>
      <c r="AWA148" s="70"/>
      <c r="AWB148" s="70"/>
      <c r="AWC148" s="70"/>
      <c r="AWD148" s="70"/>
      <c r="AWE148" s="70"/>
      <c r="AWF148" s="70"/>
      <c r="AWG148" s="70"/>
      <c r="AWH148" s="70"/>
      <c r="AWI148" s="70"/>
      <c r="AWJ148" s="70"/>
      <c r="AWK148" s="70"/>
      <c r="AWL148" s="70"/>
      <c r="AWM148" s="70"/>
      <c r="AWN148" s="70"/>
      <c r="AWO148" s="70"/>
      <c r="AWP148" s="70"/>
      <c r="AWQ148" s="70"/>
      <c r="AWR148" s="70"/>
      <c r="AWS148" s="70"/>
      <c r="AWT148" s="70"/>
      <c r="AWU148" s="70"/>
      <c r="AWV148" s="70"/>
      <c r="AWW148" s="70"/>
      <c r="AWX148" s="70"/>
      <c r="AWY148" s="70"/>
      <c r="AWZ148" s="70"/>
      <c r="AXA148" s="70"/>
      <c r="AXB148" s="70"/>
      <c r="AXC148" s="70"/>
      <c r="AXD148" s="70"/>
      <c r="AXE148" s="70"/>
      <c r="AXF148" s="70"/>
      <c r="AXG148" s="70"/>
      <c r="AXH148" s="70"/>
      <c r="AXI148" s="70"/>
      <c r="AXJ148" s="70"/>
      <c r="AXK148" s="70"/>
      <c r="AXL148" s="70"/>
      <c r="AXM148" s="70"/>
      <c r="AXN148" s="70"/>
      <c r="AXO148" s="70"/>
      <c r="AXP148" s="70"/>
      <c r="AXQ148" s="70"/>
      <c r="AXR148" s="70"/>
      <c r="AXS148" s="70"/>
      <c r="AXT148" s="70"/>
      <c r="AXU148" s="70"/>
      <c r="AXV148" s="70"/>
      <c r="AXW148" s="70"/>
      <c r="AXX148" s="70"/>
      <c r="AXY148" s="70"/>
      <c r="AXZ148" s="70"/>
      <c r="AYA148" s="70"/>
      <c r="AYB148" s="70"/>
      <c r="AYC148" s="70"/>
      <c r="AYD148" s="70"/>
      <c r="AYE148" s="70"/>
      <c r="AYF148" s="70"/>
      <c r="AYG148" s="70"/>
      <c r="AYH148" s="70"/>
      <c r="AYI148" s="70"/>
      <c r="AYJ148" s="70"/>
      <c r="AYK148" s="70"/>
      <c r="AYL148" s="70"/>
      <c r="AYM148" s="70"/>
      <c r="AYN148" s="70"/>
      <c r="AYO148" s="70"/>
      <c r="AYP148" s="70"/>
      <c r="AYQ148" s="70"/>
      <c r="AYR148" s="70"/>
      <c r="AYS148" s="70"/>
      <c r="AYT148" s="70"/>
      <c r="AYU148" s="70"/>
      <c r="AYV148" s="70"/>
      <c r="AYW148" s="70"/>
      <c r="AYX148" s="70"/>
      <c r="AYY148" s="70"/>
      <c r="AYZ148" s="70"/>
      <c r="AZA148" s="70"/>
      <c r="AZB148" s="70"/>
      <c r="AZC148" s="70"/>
      <c r="AZD148" s="70"/>
      <c r="AZE148" s="70"/>
      <c r="AZF148" s="70"/>
      <c r="AZG148" s="70"/>
      <c r="AZH148" s="70"/>
      <c r="AZI148" s="70"/>
      <c r="AZJ148" s="70"/>
      <c r="AZK148" s="70"/>
      <c r="AZL148" s="70"/>
      <c r="AZM148" s="70"/>
      <c r="AZN148" s="70"/>
      <c r="AZO148" s="70"/>
      <c r="AZP148" s="70"/>
      <c r="AZQ148" s="70"/>
      <c r="AZR148" s="70"/>
      <c r="AZS148" s="70"/>
      <c r="AZT148" s="70"/>
      <c r="AZU148" s="70"/>
      <c r="AZV148" s="70"/>
      <c r="AZW148" s="70"/>
      <c r="AZX148" s="70"/>
      <c r="AZY148" s="70"/>
      <c r="AZZ148" s="70"/>
      <c r="BAA148" s="70"/>
      <c r="BAB148" s="70"/>
      <c r="BAC148" s="70"/>
      <c r="BAD148" s="70"/>
      <c r="BAE148" s="70"/>
      <c r="BAF148" s="70"/>
      <c r="BAG148" s="70"/>
      <c r="BAH148" s="70"/>
      <c r="BAI148" s="70"/>
      <c r="BAJ148" s="70"/>
      <c r="BAK148" s="70"/>
      <c r="BAL148" s="70"/>
      <c r="BAM148" s="70"/>
      <c r="BAN148" s="70"/>
      <c r="BAO148" s="70"/>
      <c r="BAP148" s="70"/>
      <c r="BAQ148" s="70"/>
      <c r="BAR148" s="70"/>
      <c r="BAS148" s="70"/>
      <c r="BAT148" s="70"/>
      <c r="BAU148" s="70"/>
      <c r="BAV148" s="70"/>
      <c r="BAW148" s="70"/>
      <c r="BAX148" s="70"/>
      <c r="BAY148" s="70"/>
      <c r="BAZ148" s="70"/>
      <c r="BBA148" s="70"/>
      <c r="BBB148" s="70"/>
      <c r="BBC148" s="70"/>
      <c r="BBD148" s="70"/>
      <c r="BBE148" s="70"/>
      <c r="BBF148" s="70"/>
      <c r="BBG148" s="70"/>
      <c r="BBH148" s="70"/>
      <c r="BBI148" s="70"/>
      <c r="BBJ148" s="70"/>
      <c r="BBK148" s="70"/>
      <c r="BBL148" s="70"/>
      <c r="BBM148" s="70"/>
      <c r="BBN148" s="70"/>
      <c r="BBO148" s="70"/>
      <c r="BBP148" s="70"/>
      <c r="BBQ148" s="70"/>
      <c r="BBR148" s="70"/>
      <c r="BBS148" s="70"/>
      <c r="BBT148" s="70"/>
      <c r="BBU148" s="70"/>
      <c r="BBV148" s="70"/>
      <c r="BBW148" s="70"/>
      <c r="BBX148" s="70"/>
      <c r="BBY148" s="70"/>
      <c r="BBZ148" s="70"/>
      <c r="BCA148" s="70"/>
      <c r="BCB148" s="70"/>
      <c r="BCC148" s="70"/>
      <c r="BCD148" s="70"/>
      <c r="BCE148" s="70"/>
      <c r="BCF148" s="70"/>
      <c r="BCG148" s="70"/>
      <c r="BCH148" s="70"/>
      <c r="BCI148" s="70"/>
      <c r="BCJ148" s="70"/>
      <c r="BCK148" s="70"/>
      <c r="BCL148" s="70"/>
      <c r="BCM148" s="70"/>
      <c r="BCN148" s="70"/>
      <c r="BCO148" s="70"/>
      <c r="BCP148" s="70"/>
      <c r="BCQ148" s="70"/>
      <c r="BCR148" s="70"/>
      <c r="BCS148" s="70"/>
      <c r="BCT148" s="70"/>
      <c r="BCU148" s="70"/>
      <c r="BCV148" s="70"/>
      <c r="BCW148" s="70"/>
    </row>
    <row r="149" spans="1:1453" s="69" customFormat="1" ht="24.75" customHeight="1" x14ac:dyDescent="0.25">
      <c r="A149" s="50">
        <v>26</v>
      </c>
      <c r="B149" s="73" t="s">
        <v>592</v>
      </c>
      <c r="C149" s="73" t="s">
        <v>593</v>
      </c>
      <c r="D149" s="52">
        <v>65321</v>
      </c>
      <c r="E149" s="72" t="s">
        <v>472</v>
      </c>
      <c r="F149" s="73" t="s">
        <v>68</v>
      </c>
      <c r="G149" s="71"/>
      <c r="H149" s="71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G149" s="70"/>
      <c r="CH149" s="70"/>
      <c r="CI149" s="70"/>
      <c r="CJ149" s="70"/>
      <c r="CK149" s="70"/>
      <c r="CL149" s="70"/>
      <c r="CM149" s="70"/>
      <c r="CN149" s="70"/>
      <c r="CO149" s="70"/>
      <c r="CP149" s="70"/>
      <c r="CQ149" s="70"/>
      <c r="CR149" s="70"/>
      <c r="CS149" s="70"/>
      <c r="CT149" s="70"/>
      <c r="CU149" s="70"/>
      <c r="CV149" s="70"/>
      <c r="CW149" s="70"/>
      <c r="CX149" s="70"/>
      <c r="CY149" s="70"/>
      <c r="CZ149" s="70"/>
      <c r="DA149" s="70"/>
      <c r="DB149" s="70"/>
      <c r="DC149" s="70"/>
      <c r="DD149" s="70"/>
      <c r="DE149" s="70"/>
      <c r="DF149" s="70"/>
      <c r="DG149" s="70"/>
      <c r="DH149" s="70"/>
      <c r="DI149" s="70"/>
      <c r="DJ149" s="70"/>
      <c r="DK149" s="70"/>
      <c r="DL149" s="70"/>
      <c r="DM149" s="70"/>
      <c r="DN149" s="70"/>
      <c r="DO149" s="70"/>
      <c r="DP149" s="70"/>
      <c r="DQ149" s="70"/>
      <c r="DR149" s="70"/>
      <c r="DS149" s="70"/>
      <c r="DT149" s="70"/>
      <c r="DU149" s="70"/>
      <c r="DV149" s="70"/>
      <c r="DW149" s="70"/>
      <c r="DX149" s="70"/>
      <c r="DY149" s="70"/>
      <c r="DZ149" s="70"/>
      <c r="EA149" s="70"/>
      <c r="EB149" s="70"/>
      <c r="EC149" s="70"/>
      <c r="ED149" s="70"/>
      <c r="EE149" s="70"/>
      <c r="EF149" s="70"/>
      <c r="EG149" s="70"/>
      <c r="EH149" s="70"/>
      <c r="EI149" s="70"/>
      <c r="EJ149" s="70"/>
      <c r="EK149" s="70"/>
      <c r="EL149" s="70"/>
      <c r="EM149" s="70"/>
      <c r="EN149" s="70"/>
      <c r="EO149" s="70"/>
      <c r="EP149" s="70"/>
      <c r="EQ149" s="70"/>
      <c r="ER149" s="70"/>
      <c r="ES149" s="70"/>
      <c r="ET149" s="70"/>
      <c r="EU149" s="70"/>
      <c r="EV149" s="70"/>
      <c r="EW149" s="70"/>
      <c r="EX149" s="70"/>
      <c r="EY149" s="70"/>
      <c r="EZ149" s="70"/>
      <c r="FA149" s="70"/>
      <c r="FB149" s="70"/>
      <c r="FC149" s="70"/>
      <c r="FD149" s="70"/>
      <c r="FE149" s="70"/>
      <c r="FF149" s="70"/>
      <c r="FG149" s="70"/>
      <c r="FH149" s="70"/>
      <c r="FI149" s="70"/>
      <c r="FJ149" s="70"/>
      <c r="FK149" s="70"/>
      <c r="FL149" s="70"/>
      <c r="FM149" s="70"/>
      <c r="FN149" s="70"/>
      <c r="FO149" s="70"/>
      <c r="FP149" s="70"/>
      <c r="FQ149" s="70"/>
      <c r="FR149" s="70"/>
      <c r="FS149" s="70"/>
      <c r="FT149" s="70"/>
      <c r="FU149" s="70"/>
      <c r="FV149" s="70"/>
      <c r="FW149" s="70"/>
      <c r="FX149" s="70"/>
      <c r="FY149" s="70"/>
      <c r="FZ149" s="70"/>
      <c r="GA149" s="70"/>
      <c r="GB149" s="70"/>
      <c r="GC149" s="70"/>
      <c r="GD149" s="70"/>
      <c r="GE149" s="70"/>
      <c r="GF149" s="70"/>
      <c r="GG149" s="70"/>
      <c r="GH149" s="70"/>
      <c r="GI149" s="70"/>
      <c r="GJ149" s="70"/>
      <c r="GK149" s="70"/>
      <c r="GL149" s="70"/>
      <c r="GM149" s="70"/>
      <c r="GN149" s="70"/>
      <c r="GO149" s="70"/>
      <c r="GP149" s="70"/>
      <c r="GQ149" s="70"/>
      <c r="GR149" s="70"/>
      <c r="GS149" s="70"/>
      <c r="GT149" s="70"/>
      <c r="GU149" s="70"/>
      <c r="GV149" s="70"/>
      <c r="GW149" s="70"/>
      <c r="GX149" s="70"/>
      <c r="GY149" s="70"/>
      <c r="GZ149" s="70"/>
      <c r="HA149" s="70"/>
      <c r="HB149" s="70"/>
      <c r="HC149" s="70"/>
      <c r="HD149" s="70"/>
      <c r="HE149" s="70"/>
      <c r="HF149" s="70"/>
      <c r="HG149" s="70"/>
      <c r="HH149" s="70"/>
      <c r="HI149" s="70"/>
      <c r="HJ149" s="70"/>
      <c r="HK149" s="70"/>
      <c r="HL149" s="70"/>
      <c r="HM149" s="70"/>
      <c r="HN149" s="70"/>
      <c r="HO149" s="70"/>
      <c r="HP149" s="70"/>
      <c r="HQ149" s="70"/>
      <c r="HR149" s="70"/>
      <c r="HS149" s="70"/>
      <c r="HT149" s="70"/>
      <c r="HU149" s="70"/>
      <c r="HV149" s="70"/>
      <c r="HW149" s="70"/>
      <c r="HX149" s="70"/>
      <c r="HY149" s="70"/>
      <c r="HZ149" s="70"/>
      <c r="IA149" s="70"/>
      <c r="IB149" s="70"/>
      <c r="IC149" s="70"/>
      <c r="ID149" s="70"/>
      <c r="IE149" s="70"/>
      <c r="IF149" s="70"/>
      <c r="IG149" s="70"/>
      <c r="IH149" s="70"/>
      <c r="II149" s="70"/>
      <c r="IJ149" s="70"/>
      <c r="IK149" s="70"/>
      <c r="IL149" s="70"/>
      <c r="IM149" s="70"/>
      <c r="IN149" s="70"/>
      <c r="IO149" s="70"/>
      <c r="IP149" s="70"/>
      <c r="IQ149" s="70"/>
      <c r="IR149" s="70"/>
      <c r="IS149" s="70"/>
      <c r="IT149" s="70"/>
      <c r="IU149" s="70"/>
      <c r="IV149" s="70"/>
      <c r="IW149" s="70"/>
      <c r="IX149" s="70"/>
      <c r="IY149" s="70"/>
      <c r="IZ149" s="70"/>
      <c r="JA149" s="70"/>
      <c r="JB149" s="70"/>
      <c r="JC149" s="70"/>
      <c r="JD149" s="70"/>
      <c r="JE149" s="70"/>
      <c r="JF149" s="70"/>
      <c r="JG149" s="70"/>
      <c r="JH149" s="70"/>
      <c r="JI149" s="70"/>
      <c r="JJ149" s="70"/>
      <c r="JK149" s="70"/>
      <c r="JL149" s="70"/>
      <c r="JM149" s="70"/>
      <c r="JN149" s="70"/>
      <c r="JO149" s="70"/>
      <c r="JP149" s="70"/>
      <c r="JQ149" s="70"/>
      <c r="JR149" s="70"/>
      <c r="JS149" s="70"/>
      <c r="JT149" s="70"/>
      <c r="JU149" s="70"/>
      <c r="JV149" s="70"/>
      <c r="JW149" s="70"/>
      <c r="JX149" s="70"/>
      <c r="JY149" s="70"/>
      <c r="JZ149" s="70"/>
      <c r="KA149" s="70"/>
      <c r="KB149" s="70"/>
      <c r="KC149" s="70"/>
      <c r="KD149" s="70"/>
      <c r="KE149" s="70"/>
      <c r="KF149" s="70"/>
      <c r="KG149" s="70"/>
      <c r="KH149" s="70"/>
      <c r="KI149" s="70"/>
      <c r="KJ149" s="70"/>
      <c r="KK149" s="70"/>
      <c r="KL149" s="70"/>
      <c r="KM149" s="70"/>
      <c r="KN149" s="70"/>
      <c r="KO149" s="70"/>
      <c r="KP149" s="70"/>
      <c r="KQ149" s="70"/>
      <c r="KR149" s="70"/>
      <c r="KS149" s="70"/>
      <c r="KT149" s="70"/>
      <c r="KU149" s="70"/>
      <c r="KV149" s="70"/>
      <c r="KW149" s="70"/>
      <c r="KX149" s="70"/>
      <c r="KY149" s="70"/>
      <c r="KZ149" s="70"/>
      <c r="LA149" s="70"/>
      <c r="LB149" s="70"/>
      <c r="LC149" s="70"/>
      <c r="LD149" s="70"/>
      <c r="LE149" s="70"/>
      <c r="LF149" s="70"/>
      <c r="LG149" s="70"/>
      <c r="LH149" s="70"/>
      <c r="LI149" s="70"/>
      <c r="LJ149" s="70"/>
      <c r="LK149" s="70"/>
      <c r="LL149" s="70"/>
      <c r="LM149" s="70"/>
      <c r="LN149" s="70"/>
      <c r="LO149" s="70"/>
      <c r="LP149" s="70"/>
      <c r="LQ149" s="70"/>
      <c r="LR149" s="70"/>
      <c r="LS149" s="70"/>
      <c r="LT149" s="70"/>
      <c r="LU149" s="70"/>
      <c r="LV149" s="70"/>
      <c r="LW149" s="70"/>
      <c r="LX149" s="70"/>
      <c r="LY149" s="70"/>
      <c r="LZ149" s="70"/>
      <c r="MA149" s="70"/>
      <c r="MB149" s="70"/>
      <c r="MC149" s="70"/>
      <c r="MD149" s="70"/>
      <c r="ME149" s="70"/>
      <c r="MF149" s="70"/>
      <c r="MG149" s="70"/>
      <c r="MH149" s="70"/>
      <c r="MI149" s="70"/>
      <c r="MJ149" s="70"/>
      <c r="MK149" s="70"/>
      <c r="ML149" s="70"/>
      <c r="MM149" s="70"/>
      <c r="MN149" s="70"/>
      <c r="MO149" s="70"/>
      <c r="MP149" s="70"/>
      <c r="MQ149" s="70"/>
      <c r="MR149" s="70"/>
      <c r="MS149" s="70"/>
      <c r="MT149" s="70"/>
      <c r="MU149" s="70"/>
      <c r="MV149" s="70"/>
      <c r="MW149" s="70"/>
      <c r="MX149" s="70"/>
      <c r="MY149" s="70"/>
      <c r="MZ149" s="70"/>
      <c r="NA149" s="70"/>
      <c r="NB149" s="70"/>
      <c r="NC149" s="70"/>
      <c r="ND149" s="70"/>
      <c r="NE149" s="70"/>
      <c r="NF149" s="70"/>
      <c r="NG149" s="70"/>
      <c r="NH149" s="70"/>
      <c r="NI149" s="70"/>
      <c r="NJ149" s="70"/>
      <c r="NK149" s="70"/>
      <c r="NL149" s="70"/>
      <c r="NM149" s="70"/>
      <c r="NN149" s="70"/>
      <c r="NO149" s="70"/>
      <c r="NP149" s="70"/>
      <c r="NQ149" s="70"/>
      <c r="NR149" s="70"/>
      <c r="NS149" s="70"/>
      <c r="NT149" s="70"/>
      <c r="NU149" s="70"/>
      <c r="NV149" s="70"/>
      <c r="NW149" s="70"/>
      <c r="NX149" s="70"/>
      <c r="NY149" s="70"/>
      <c r="NZ149" s="70"/>
      <c r="OA149" s="70"/>
      <c r="OB149" s="70"/>
      <c r="OC149" s="70"/>
      <c r="OD149" s="70"/>
      <c r="OE149" s="70"/>
      <c r="OF149" s="70"/>
      <c r="OG149" s="70"/>
      <c r="OH149" s="70"/>
      <c r="OI149" s="70"/>
      <c r="OJ149" s="70"/>
      <c r="OK149" s="70"/>
      <c r="OL149" s="70"/>
      <c r="OM149" s="70"/>
      <c r="ON149" s="70"/>
      <c r="OO149" s="70"/>
      <c r="OP149" s="70"/>
      <c r="OQ149" s="70"/>
      <c r="OR149" s="70"/>
      <c r="OS149" s="70"/>
      <c r="OT149" s="70"/>
      <c r="OU149" s="70"/>
      <c r="OV149" s="70"/>
      <c r="OW149" s="70"/>
      <c r="OX149" s="70"/>
      <c r="OY149" s="70"/>
      <c r="OZ149" s="70"/>
      <c r="PA149" s="70"/>
      <c r="PB149" s="70"/>
      <c r="PC149" s="70"/>
      <c r="PD149" s="70"/>
      <c r="PE149" s="70"/>
      <c r="PF149" s="70"/>
      <c r="PG149" s="70"/>
      <c r="PH149" s="70"/>
      <c r="PI149" s="70"/>
      <c r="PJ149" s="70"/>
      <c r="PK149" s="70"/>
      <c r="PL149" s="70"/>
      <c r="PM149" s="70"/>
      <c r="PN149" s="70"/>
      <c r="PO149" s="70"/>
      <c r="PP149" s="70"/>
      <c r="PQ149" s="70"/>
      <c r="PR149" s="70"/>
      <c r="PS149" s="70"/>
      <c r="PT149" s="70"/>
      <c r="PU149" s="70"/>
      <c r="PV149" s="70"/>
      <c r="PW149" s="70"/>
      <c r="PX149" s="70"/>
      <c r="PY149" s="70"/>
      <c r="PZ149" s="70"/>
      <c r="QA149" s="70"/>
      <c r="QB149" s="70"/>
      <c r="QC149" s="70"/>
      <c r="QD149" s="70"/>
      <c r="QE149" s="70"/>
      <c r="QF149" s="70"/>
      <c r="QG149" s="70"/>
      <c r="QH149" s="70"/>
      <c r="QI149" s="70"/>
      <c r="QJ149" s="70"/>
      <c r="QK149" s="70"/>
      <c r="QL149" s="70"/>
      <c r="QM149" s="70"/>
      <c r="QN149" s="70"/>
      <c r="QO149" s="70"/>
      <c r="QP149" s="70"/>
      <c r="QQ149" s="70"/>
      <c r="QR149" s="70"/>
      <c r="QS149" s="70"/>
      <c r="QT149" s="70"/>
      <c r="QU149" s="70"/>
      <c r="QV149" s="70"/>
      <c r="QW149" s="70"/>
      <c r="QX149" s="70"/>
      <c r="QY149" s="70"/>
      <c r="QZ149" s="70"/>
      <c r="RA149" s="70"/>
      <c r="RB149" s="70"/>
      <c r="RC149" s="70"/>
      <c r="RD149" s="70"/>
      <c r="RE149" s="70"/>
      <c r="RF149" s="70"/>
      <c r="RG149" s="70"/>
      <c r="RH149" s="70"/>
      <c r="RI149" s="70"/>
      <c r="RJ149" s="70"/>
      <c r="RK149" s="70"/>
      <c r="RL149" s="70"/>
      <c r="RM149" s="70"/>
      <c r="RN149" s="70"/>
      <c r="RO149" s="70"/>
      <c r="RP149" s="70"/>
      <c r="RQ149" s="70"/>
      <c r="RR149" s="70"/>
      <c r="RS149" s="70"/>
      <c r="RT149" s="70"/>
      <c r="RU149" s="70"/>
      <c r="RV149" s="70"/>
      <c r="RW149" s="70"/>
      <c r="RX149" s="70"/>
      <c r="RY149" s="70"/>
      <c r="RZ149" s="70"/>
      <c r="SA149" s="70"/>
      <c r="SB149" s="70"/>
      <c r="SC149" s="70"/>
      <c r="SD149" s="70"/>
      <c r="SE149" s="70"/>
      <c r="SF149" s="70"/>
      <c r="SG149" s="70"/>
      <c r="SH149" s="70"/>
      <c r="SI149" s="70"/>
      <c r="SJ149" s="70"/>
      <c r="SK149" s="70"/>
      <c r="SL149" s="70"/>
      <c r="SM149" s="70"/>
      <c r="SN149" s="70"/>
      <c r="SO149" s="70"/>
      <c r="SP149" s="70"/>
      <c r="SQ149" s="70"/>
      <c r="SR149" s="70"/>
      <c r="SS149" s="70"/>
      <c r="ST149" s="70"/>
      <c r="SU149" s="70"/>
      <c r="SV149" s="70"/>
      <c r="SW149" s="70"/>
      <c r="SX149" s="70"/>
      <c r="SY149" s="70"/>
      <c r="SZ149" s="70"/>
      <c r="TA149" s="70"/>
      <c r="TB149" s="70"/>
      <c r="TC149" s="70"/>
      <c r="TD149" s="70"/>
      <c r="TE149" s="70"/>
      <c r="TF149" s="70"/>
      <c r="TG149" s="70"/>
      <c r="TH149" s="70"/>
      <c r="TI149" s="70"/>
      <c r="TJ149" s="70"/>
      <c r="TK149" s="70"/>
      <c r="TL149" s="70"/>
      <c r="TM149" s="70"/>
      <c r="TN149" s="70"/>
      <c r="TO149" s="70"/>
      <c r="TP149" s="70"/>
      <c r="TQ149" s="70"/>
      <c r="TR149" s="70"/>
      <c r="TS149" s="70"/>
      <c r="TT149" s="70"/>
      <c r="TU149" s="70"/>
      <c r="TV149" s="70"/>
      <c r="TW149" s="70"/>
      <c r="TX149" s="70"/>
      <c r="TY149" s="70"/>
      <c r="TZ149" s="70"/>
      <c r="UA149" s="70"/>
      <c r="UB149" s="70"/>
      <c r="UC149" s="70"/>
      <c r="UD149" s="70"/>
      <c r="UE149" s="70"/>
      <c r="UF149" s="70"/>
      <c r="UG149" s="70"/>
      <c r="UH149" s="70"/>
      <c r="UI149" s="70"/>
      <c r="UJ149" s="70"/>
      <c r="UK149" s="70"/>
      <c r="UL149" s="70"/>
      <c r="UM149" s="70"/>
      <c r="UN149" s="70"/>
      <c r="UO149" s="70"/>
      <c r="UP149" s="70"/>
      <c r="UQ149" s="70"/>
      <c r="UR149" s="70"/>
      <c r="US149" s="70"/>
      <c r="UT149" s="70"/>
      <c r="UU149" s="70"/>
      <c r="UV149" s="70"/>
      <c r="UW149" s="70"/>
      <c r="UX149" s="70"/>
      <c r="UY149" s="70"/>
      <c r="UZ149" s="70"/>
      <c r="VA149" s="70"/>
      <c r="VB149" s="70"/>
      <c r="VC149" s="70"/>
      <c r="VD149" s="70"/>
      <c r="VE149" s="70"/>
      <c r="VF149" s="70"/>
      <c r="VG149" s="70"/>
      <c r="VH149" s="70"/>
      <c r="VI149" s="70"/>
      <c r="VJ149" s="70"/>
      <c r="VK149" s="70"/>
      <c r="VL149" s="70"/>
      <c r="VM149" s="70"/>
      <c r="VN149" s="70"/>
      <c r="VO149" s="70"/>
      <c r="VP149" s="70"/>
      <c r="VQ149" s="70"/>
      <c r="VR149" s="70"/>
      <c r="VS149" s="70"/>
      <c r="VT149" s="70"/>
      <c r="VU149" s="70"/>
      <c r="VV149" s="70"/>
      <c r="VW149" s="70"/>
      <c r="VX149" s="70"/>
      <c r="VY149" s="70"/>
      <c r="VZ149" s="70"/>
      <c r="WA149" s="70"/>
      <c r="WB149" s="70"/>
      <c r="WC149" s="70"/>
      <c r="WD149" s="70"/>
      <c r="WE149" s="70"/>
      <c r="WF149" s="70"/>
      <c r="WG149" s="70"/>
      <c r="WH149" s="70"/>
      <c r="WI149" s="70"/>
      <c r="WJ149" s="70"/>
      <c r="WK149" s="70"/>
      <c r="WL149" s="70"/>
      <c r="WM149" s="70"/>
      <c r="WN149" s="70"/>
      <c r="WO149" s="70"/>
      <c r="WP149" s="70"/>
      <c r="WQ149" s="70"/>
      <c r="WR149" s="70"/>
      <c r="WS149" s="70"/>
      <c r="WT149" s="70"/>
      <c r="WU149" s="70"/>
      <c r="WV149" s="70"/>
      <c r="WW149" s="70"/>
      <c r="WX149" s="70"/>
      <c r="WY149" s="70"/>
      <c r="WZ149" s="70"/>
      <c r="XA149" s="70"/>
      <c r="XB149" s="70"/>
      <c r="XC149" s="70"/>
      <c r="XD149" s="70"/>
      <c r="XE149" s="70"/>
      <c r="XF149" s="70"/>
      <c r="XG149" s="70"/>
      <c r="XH149" s="70"/>
      <c r="XI149" s="70"/>
      <c r="XJ149" s="70"/>
      <c r="XK149" s="70"/>
      <c r="XL149" s="70"/>
      <c r="XM149" s="70"/>
      <c r="XN149" s="70"/>
      <c r="XO149" s="70"/>
      <c r="XP149" s="70"/>
      <c r="XQ149" s="70"/>
      <c r="XR149" s="70"/>
      <c r="XS149" s="70"/>
      <c r="XT149" s="70"/>
      <c r="XU149" s="70"/>
      <c r="XV149" s="70"/>
      <c r="XW149" s="70"/>
      <c r="XX149" s="70"/>
      <c r="XY149" s="70"/>
      <c r="XZ149" s="70"/>
      <c r="YA149" s="70"/>
      <c r="YB149" s="70"/>
      <c r="YC149" s="70"/>
      <c r="YD149" s="70"/>
      <c r="YE149" s="70"/>
      <c r="YF149" s="70"/>
      <c r="YG149" s="70"/>
      <c r="YH149" s="70"/>
      <c r="YI149" s="70"/>
      <c r="YJ149" s="70"/>
      <c r="YK149" s="70"/>
      <c r="YL149" s="70"/>
      <c r="YM149" s="70"/>
      <c r="YN149" s="70"/>
      <c r="YO149" s="70"/>
      <c r="YP149" s="70"/>
      <c r="YQ149" s="70"/>
      <c r="YR149" s="70"/>
      <c r="YS149" s="70"/>
      <c r="YT149" s="70"/>
      <c r="YU149" s="70"/>
      <c r="YV149" s="70"/>
      <c r="YW149" s="70"/>
      <c r="YX149" s="70"/>
      <c r="YY149" s="70"/>
      <c r="YZ149" s="70"/>
      <c r="ZA149" s="70"/>
      <c r="ZB149" s="70"/>
      <c r="ZC149" s="70"/>
      <c r="ZD149" s="70"/>
      <c r="ZE149" s="70"/>
      <c r="ZF149" s="70"/>
      <c r="ZG149" s="70"/>
      <c r="ZH149" s="70"/>
      <c r="ZI149" s="70"/>
      <c r="ZJ149" s="70"/>
      <c r="ZK149" s="70"/>
      <c r="ZL149" s="70"/>
      <c r="ZM149" s="70"/>
      <c r="ZN149" s="70"/>
      <c r="ZO149" s="70"/>
      <c r="ZP149" s="70"/>
      <c r="ZQ149" s="70"/>
      <c r="ZR149" s="70"/>
      <c r="ZS149" s="70"/>
      <c r="ZT149" s="70"/>
      <c r="ZU149" s="70"/>
      <c r="ZV149" s="70"/>
      <c r="ZW149" s="70"/>
      <c r="ZX149" s="70"/>
      <c r="ZY149" s="70"/>
      <c r="ZZ149" s="70"/>
      <c r="AAA149" s="70"/>
      <c r="AAB149" s="70"/>
      <c r="AAC149" s="70"/>
      <c r="AAD149" s="70"/>
      <c r="AAE149" s="70"/>
      <c r="AAF149" s="70"/>
      <c r="AAG149" s="70"/>
      <c r="AAH149" s="70"/>
      <c r="AAI149" s="70"/>
      <c r="AAJ149" s="70"/>
      <c r="AAK149" s="70"/>
      <c r="AAL149" s="70"/>
      <c r="AAM149" s="70"/>
      <c r="AAN149" s="70"/>
      <c r="AAO149" s="70"/>
      <c r="AAP149" s="70"/>
      <c r="AAQ149" s="70"/>
      <c r="AAR149" s="70"/>
      <c r="AAS149" s="70"/>
      <c r="AAT149" s="70"/>
      <c r="AAU149" s="70"/>
      <c r="AAV149" s="70"/>
      <c r="AAW149" s="70"/>
      <c r="AAX149" s="70"/>
      <c r="AAY149" s="70"/>
      <c r="AAZ149" s="70"/>
      <c r="ABA149" s="70"/>
      <c r="ABB149" s="70"/>
      <c r="ABC149" s="70"/>
      <c r="ABD149" s="70"/>
      <c r="ABE149" s="70"/>
      <c r="ABF149" s="70"/>
      <c r="ABG149" s="70"/>
      <c r="ABH149" s="70"/>
      <c r="ABI149" s="70"/>
      <c r="ABJ149" s="70"/>
      <c r="ABK149" s="70"/>
      <c r="ABL149" s="70"/>
      <c r="ABM149" s="70"/>
      <c r="ABN149" s="70"/>
      <c r="ABO149" s="70"/>
      <c r="ABP149" s="70"/>
      <c r="ABQ149" s="70"/>
      <c r="ABR149" s="70"/>
      <c r="ABS149" s="70"/>
      <c r="ABT149" s="70"/>
      <c r="ABU149" s="70"/>
      <c r="ABV149" s="70"/>
      <c r="ABW149" s="70"/>
      <c r="ABX149" s="70"/>
      <c r="ABY149" s="70"/>
      <c r="ABZ149" s="70"/>
      <c r="ACA149" s="70"/>
      <c r="ACB149" s="70"/>
      <c r="ACC149" s="70"/>
      <c r="ACD149" s="70"/>
      <c r="ACE149" s="70"/>
      <c r="ACF149" s="70"/>
      <c r="ACG149" s="70"/>
      <c r="ACH149" s="70"/>
      <c r="ACI149" s="70"/>
      <c r="ACJ149" s="70"/>
      <c r="ACK149" s="70"/>
      <c r="ACL149" s="70"/>
      <c r="ACM149" s="70"/>
      <c r="ACN149" s="70"/>
      <c r="ACO149" s="70"/>
      <c r="ACP149" s="70"/>
      <c r="ACQ149" s="70"/>
      <c r="ACR149" s="70"/>
      <c r="ACS149" s="70"/>
      <c r="ACT149" s="70"/>
      <c r="ACU149" s="70"/>
      <c r="ACV149" s="70"/>
      <c r="ACW149" s="70"/>
      <c r="ACX149" s="70"/>
      <c r="ACY149" s="70"/>
      <c r="ACZ149" s="70"/>
      <c r="ADA149" s="70"/>
      <c r="ADB149" s="70"/>
      <c r="ADC149" s="70"/>
      <c r="ADD149" s="70"/>
      <c r="ADE149" s="70"/>
      <c r="ADF149" s="70"/>
      <c r="ADG149" s="70"/>
      <c r="ADH149" s="70"/>
      <c r="ADI149" s="70"/>
      <c r="ADJ149" s="70"/>
      <c r="ADK149" s="70"/>
      <c r="ADL149" s="70"/>
      <c r="ADM149" s="70"/>
      <c r="ADN149" s="70"/>
      <c r="ADO149" s="70"/>
      <c r="ADP149" s="70"/>
      <c r="ADQ149" s="70"/>
      <c r="ADR149" s="70"/>
      <c r="ADS149" s="70"/>
      <c r="ADT149" s="70"/>
      <c r="ADU149" s="70"/>
      <c r="ADV149" s="70"/>
      <c r="ADW149" s="70"/>
      <c r="ADX149" s="70"/>
      <c r="ADY149" s="70"/>
      <c r="ADZ149" s="70"/>
      <c r="AEA149" s="70"/>
      <c r="AEB149" s="70"/>
      <c r="AEC149" s="70"/>
      <c r="AED149" s="70"/>
      <c r="AEE149" s="70"/>
      <c r="AEF149" s="70"/>
      <c r="AEG149" s="70"/>
      <c r="AEH149" s="70"/>
      <c r="AEI149" s="70"/>
      <c r="AEJ149" s="70"/>
      <c r="AEK149" s="70"/>
      <c r="AEL149" s="70"/>
      <c r="AEM149" s="70"/>
      <c r="AEN149" s="70"/>
      <c r="AEO149" s="70"/>
      <c r="AEP149" s="70"/>
      <c r="AEQ149" s="70"/>
      <c r="AER149" s="70"/>
      <c r="AES149" s="70"/>
      <c r="AET149" s="70"/>
      <c r="AEU149" s="70"/>
      <c r="AEV149" s="70"/>
      <c r="AEW149" s="70"/>
      <c r="AEX149" s="70"/>
      <c r="AEY149" s="70"/>
      <c r="AEZ149" s="70"/>
      <c r="AFA149" s="70"/>
      <c r="AFB149" s="70"/>
      <c r="AFC149" s="70"/>
      <c r="AFD149" s="70"/>
      <c r="AFE149" s="70"/>
      <c r="AFF149" s="70"/>
      <c r="AFG149" s="70"/>
      <c r="AFH149" s="70"/>
      <c r="AFI149" s="70"/>
      <c r="AFJ149" s="70"/>
      <c r="AFK149" s="70"/>
      <c r="AFL149" s="70"/>
      <c r="AFM149" s="70"/>
      <c r="AFN149" s="70"/>
      <c r="AFO149" s="70"/>
      <c r="AFP149" s="70"/>
      <c r="AFQ149" s="70"/>
      <c r="AFR149" s="70"/>
      <c r="AFS149" s="70"/>
      <c r="AFT149" s="70"/>
      <c r="AFU149" s="70"/>
      <c r="AFV149" s="70"/>
      <c r="AFW149" s="70"/>
      <c r="AFX149" s="70"/>
      <c r="AFY149" s="70"/>
      <c r="AFZ149" s="70"/>
      <c r="AGA149" s="70"/>
      <c r="AGB149" s="70"/>
      <c r="AGC149" s="70"/>
      <c r="AGD149" s="70"/>
      <c r="AGE149" s="70"/>
      <c r="AGF149" s="70"/>
      <c r="AGG149" s="70"/>
      <c r="AGH149" s="70"/>
      <c r="AGI149" s="70"/>
      <c r="AGJ149" s="70"/>
      <c r="AGK149" s="70"/>
      <c r="AGL149" s="70"/>
      <c r="AGM149" s="70"/>
      <c r="AGN149" s="70"/>
      <c r="AGO149" s="70"/>
      <c r="AGP149" s="70"/>
      <c r="AGQ149" s="70"/>
      <c r="AGR149" s="70"/>
      <c r="AGS149" s="70"/>
      <c r="AGT149" s="70"/>
      <c r="AGU149" s="70"/>
      <c r="AGV149" s="70"/>
      <c r="AGW149" s="70"/>
      <c r="AGX149" s="70"/>
      <c r="AGY149" s="70"/>
      <c r="AGZ149" s="70"/>
      <c r="AHA149" s="70"/>
      <c r="AHB149" s="70"/>
      <c r="AHC149" s="70"/>
      <c r="AHD149" s="70"/>
      <c r="AHE149" s="70"/>
      <c r="AHF149" s="70"/>
      <c r="AHG149" s="70"/>
      <c r="AHH149" s="70"/>
      <c r="AHI149" s="70"/>
      <c r="AHJ149" s="70"/>
      <c r="AHK149" s="70"/>
      <c r="AHL149" s="70"/>
      <c r="AHM149" s="70"/>
      <c r="AHN149" s="70"/>
      <c r="AHO149" s="70"/>
      <c r="AHP149" s="70"/>
      <c r="AHQ149" s="70"/>
      <c r="AHR149" s="70"/>
      <c r="AHS149" s="70"/>
      <c r="AHT149" s="70"/>
      <c r="AHU149" s="70"/>
      <c r="AHV149" s="70"/>
      <c r="AHW149" s="70"/>
      <c r="AHX149" s="70"/>
      <c r="AHY149" s="70"/>
      <c r="AHZ149" s="70"/>
      <c r="AIA149" s="70"/>
      <c r="AIB149" s="70"/>
      <c r="AIC149" s="70"/>
      <c r="AID149" s="70"/>
      <c r="AIE149" s="70"/>
      <c r="AIF149" s="70"/>
      <c r="AIG149" s="70"/>
      <c r="AIH149" s="70"/>
      <c r="AII149" s="70"/>
      <c r="AIJ149" s="70"/>
      <c r="AIK149" s="70"/>
      <c r="AIL149" s="70"/>
      <c r="AIM149" s="70"/>
      <c r="AIN149" s="70"/>
      <c r="AIO149" s="70"/>
      <c r="AIP149" s="70"/>
      <c r="AIQ149" s="70"/>
      <c r="AIR149" s="70"/>
      <c r="AIS149" s="70"/>
      <c r="AIT149" s="70"/>
      <c r="AIU149" s="70"/>
      <c r="AIV149" s="70"/>
      <c r="AIW149" s="70"/>
      <c r="AIX149" s="70"/>
      <c r="AIY149" s="70"/>
      <c r="AIZ149" s="70"/>
      <c r="AJA149" s="70"/>
      <c r="AJB149" s="70"/>
      <c r="AJC149" s="70"/>
      <c r="AJD149" s="70"/>
      <c r="AJE149" s="70"/>
      <c r="AJF149" s="70"/>
      <c r="AJG149" s="70"/>
      <c r="AJH149" s="70"/>
      <c r="AJI149" s="70"/>
      <c r="AJJ149" s="70"/>
      <c r="AJK149" s="70"/>
      <c r="AJL149" s="70"/>
      <c r="AJM149" s="70"/>
      <c r="AJN149" s="70"/>
      <c r="AJO149" s="70"/>
      <c r="AJP149" s="70"/>
      <c r="AJQ149" s="70"/>
      <c r="AJR149" s="70"/>
      <c r="AJS149" s="70"/>
      <c r="AJT149" s="70"/>
      <c r="AJU149" s="70"/>
      <c r="AJV149" s="70"/>
      <c r="AJW149" s="70"/>
      <c r="AJX149" s="70"/>
      <c r="AJY149" s="70"/>
      <c r="AJZ149" s="70"/>
      <c r="AKA149" s="70"/>
      <c r="AKB149" s="70"/>
      <c r="AKC149" s="70"/>
      <c r="AKD149" s="70"/>
      <c r="AKE149" s="70"/>
      <c r="AKF149" s="70"/>
      <c r="AKG149" s="70"/>
      <c r="AKH149" s="70"/>
      <c r="AKI149" s="70"/>
      <c r="AKJ149" s="70"/>
      <c r="AKK149" s="70"/>
      <c r="AKL149" s="70"/>
      <c r="AKM149" s="70"/>
      <c r="AKN149" s="70"/>
      <c r="AKO149" s="70"/>
      <c r="AKP149" s="70"/>
      <c r="AKQ149" s="70"/>
      <c r="AKR149" s="70"/>
      <c r="AKS149" s="70"/>
      <c r="AKT149" s="70"/>
      <c r="AKU149" s="70"/>
      <c r="AKV149" s="70"/>
      <c r="AKW149" s="70"/>
      <c r="AKX149" s="70"/>
      <c r="AKY149" s="70"/>
      <c r="AKZ149" s="70"/>
      <c r="ALA149" s="70"/>
      <c r="ALB149" s="70"/>
      <c r="ALC149" s="70"/>
      <c r="ALD149" s="70"/>
      <c r="ALE149" s="70"/>
      <c r="ALF149" s="70"/>
      <c r="ALG149" s="70"/>
      <c r="ALH149" s="70"/>
      <c r="ALI149" s="70"/>
      <c r="ALJ149" s="70"/>
      <c r="ALK149" s="70"/>
      <c r="ALL149" s="70"/>
      <c r="ALM149" s="70"/>
      <c r="ALN149" s="70"/>
      <c r="ALO149" s="70"/>
      <c r="ALP149" s="70"/>
      <c r="ALQ149" s="70"/>
      <c r="ALR149" s="70"/>
      <c r="ALS149" s="70"/>
      <c r="ALT149" s="70"/>
      <c r="ALU149" s="70"/>
      <c r="ALV149" s="70"/>
      <c r="ALW149" s="70"/>
      <c r="ALX149" s="70"/>
      <c r="ALY149" s="70"/>
      <c r="ALZ149" s="70"/>
      <c r="AMA149" s="70"/>
      <c r="AMB149" s="70"/>
      <c r="AMC149" s="70"/>
      <c r="AMD149" s="70"/>
      <c r="AME149" s="70"/>
      <c r="AMF149" s="70"/>
      <c r="AMG149" s="70"/>
      <c r="AMH149" s="70"/>
      <c r="AMI149" s="70"/>
      <c r="AMJ149" s="70"/>
      <c r="AMK149" s="70"/>
      <c r="AML149" s="70"/>
      <c r="AMM149" s="70"/>
      <c r="AMN149" s="70"/>
      <c r="AMO149" s="70"/>
      <c r="AMP149" s="70"/>
      <c r="AMQ149" s="70"/>
      <c r="AMR149" s="70"/>
      <c r="AMS149" s="70"/>
      <c r="AMT149" s="70"/>
      <c r="AMU149" s="70"/>
      <c r="AMV149" s="70"/>
      <c r="AMW149" s="70"/>
      <c r="AMX149" s="70"/>
      <c r="AMY149" s="70"/>
      <c r="AMZ149" s="70"/>
      <c r="ANA149" s="70"/>
      <c r="ANB149" s="70"/>
      <c r="ANC149" s="70"/>
      <c r="AND149" s="70"/>
      <c r="ANE149" s="70"/>
      <c r="ANF149" s="70"/>
      <c r="ANG149" s="70"/>
      <c r="ANH149" s="70"/>
      <c r="ANI149" s="70"/>
      <c r="ANJ149" s="70"/>
      <c r="ANK149" s="70"/>
      <c r="ANL149" s="70"/>
      <c r="ANM149" s="70"/>
      <c r="ANN149" s="70"/>
      <c r="ANO149" s="70"/>
      <c r="ANP149" s="70"/>
      <c r="ANQ149" s="70"/>
      <c r="ANR149" s="70"/>
      <c r="ANS149" s="70"/>
      <c r="ANT149" s="70"/>
      <c r="ANU149" s="70"/>
      <c r="ANV149" s="70"/>
      <c r="ANW149" s="70"/>
      <c r="ANX149" s="70"/>
      <c r="ANY149" s="70"/>
      <c r="ANZ149" s="70"/>
      <c r="AOA149" s="70"/>
      <c r="AOB149" s="70"/>
      <c r="AOC149" s="70"/>
      <c r="AOD149" s="70"/>
      <c r="AOE149" s="70"/>
      <c r="AOF149" s="70"/>
      <c r="AOG149" s="70"/>
      <c r="AOH149" s="70"/>
      <c r="AOI149" s="70"/>
      <c r="AOJ149" s="70"/>
      <c r="AOK149" s="70"/>
      <c r="AOL149" s="70"/>
      <c r="AOM149" s="70"/>
      <c r="AON149" s="70"/>
      <c r="AOO149" s="70"/>
      <c r="AOP149" s="70"/>
      <c r="AOQ149" s="70"/>
      <c r="AOR149" s="70"/>
      <c r="AOS149" s="70"/>
      <c r="AOT149" s="70"/>
      <c r="AOU149" s="70"/>
      <c r="AOV149" s="70"/>
      <c r="AOW149" s="70"/>
      <c r="AOX149" s="70"/>
      <c r="AOY149" s="70"/>
      <c r="AOZ149" s="70"/>
      <c r="APA149" s="70"/>
      <c r="APB149" s="70"/>
      <c r="APC149" s="70"/>
      <c r="APD149" s="70"/>
      <c r="APE149" s="70"/>
      <c r="APF149" s="70"/>
      <c r="APG149" s="70"/>
      <c r="APH149" s="70"/>
      <c r="API149" s="70"/>
      <c r="APJ149" s="70"/>
      <c r="APK149" s="70"/>
      <c r="APL149" s="70"/>
      <c r="APM149" s="70"/>
      <c r="APN149" s="70"/>
      <c r="APO149" s="70"/>
      <c r="APP149" s="70"/>
      <c r="APQ149" s="70"/>
      <c r="APR149" s="70"/>
      <c r="APS149" s="70"/>
      <c r="APT149" s="70"/>
      <c r="APU149" s="70"/>
      <c r="APV149" s="70"/>
      <c r="APW149" s="70"/>
      <c r="APX149" s="70"/>
      <c r="APY149" s="70"/>
      <c r="APZ149" s="70"/>
      <c r="AQA149" s="70"/>
      <c r="AQB149" s="70"/>
      <c r="AQC149" s="70"/>
      <c r="AQD149" s="70"/>
      <c r="AQE149" s="70"/>
      <c r="AQF149" s="70"/>
      <c r="AQG149" s="70"/>
      <c r="AQH149" s="70"/>
      <c r="AQI149" s="70"/>
      <c r="AQJ149" s="70"/>
      <c r="AQK149" s="70"/>
      <c r="AQL149" s="70"/>
      <c r="AQM149" s="70"/>
      <c r="AQN149" s="70"/>
      <c r="AQO149" s="70"/>
      <c r="AQP149" s="70"/>
      <c r="AQQ149" s="70"/>
      <c r="AQR149" s="70"/>
      <c r="AQS149" s="70"/>
      <c r="AQT149" s="70"/>
      <c r="AQU149" s="70"/>
      <c r="AQV149" s="70"/>
      <c r="AQW149" s="70"/>
      <c r="AQX149" s="70"/>
      <c r="AQY149" s="70"/>
      <c r="AQZ149" s="70"/>
      <c r="ARA149" s="70"/>
      <c r="ARB149" s="70"/>
      <c r="ARC149" s="70"/>
      <c r="ARD149" s="70"/>
      <c r="ARE149" s="70"/>
      <c r="ARF149" s="70"/>
      <c r="ARG149" s="70"/>
      <c r="ARH149" s="70"/>
      <c r="ARI149" s="70"/>
      <c r="ARJ149" s="70"/>
      <c r="ARK149" s="70"/>
      <c r="ARL149" s="70"/>
      <c r="ARM149" s="70"/>
      <c r="ARN149" s="70"/>
      <c r="ARO149" s="70"/>
      <c r="ARP149" s="70"/>
      <c r="ARQ149" s="70"/>
      <c r="ARR149" s="70"/>
      <c r="ARS149" s="70"/>
      <c r="ART149" s="70"/>
      <c r="ARU149" s="70"/>
      <c r="ARV149" s="70"/>
      <c r="ARW149" s="70"/>
      <c r="ARX149" s="70"/>
      <c r="ARY149" s="70"/>
      <c r="ARZ149" s="70"/>
      <c r="ASA149" s="70"/>
      <c r="ASB149" s="70"/>
      <c r="ASC149" s="70"/>
      <c r="ASD149" s="70"/>
      <c r="ASE149" s="70"/>
      <c r="ASF149" s="70"/>
      <c r="ASG149" s="70"/>
      <c r="ASH149" s="70"/>
      <c r="ASI149" s="70"/>
      <c r="ASJ149" s="70"/>
      <c r="ASK149" s="70"/>
      <c r="ASL149" s="70"/>
      <c r="ASM149" s="70"/>
      <c r="ASN149" s="70"/>
      <c r="ASO149" s="70"/>
      <c r="ASP149" s="70"/>
      <c r="ASQ149" s="70"/>
      <c r="ASR149" s="70"/>
      <c r="ASS149" s="70"/>
      <c r="AST149" s="70"/>
      <c r="ASU149" s="70"/>
      <c r="ASV149" s="70"/>
      <c r="ASW149" s="70"/>
      <c r="ASX149" s="70"/>
      <c r="ASY149" s="70"/>
      <c r="ASZ149" s="70"/>
      <c r="ATA149" s="70"/>
      <c r="ATB149" s="70"/>
      <c r="ATC149" s="70"/>
      <c r="ATD149" s="70"/>
      <c r="ATE149" s="70"/>
      <c r="ATF149" s="70"/>
      <c r="ATG149" s="70"/>
      <c r="ATH149" s="70"/>
      <c r="ATI149" s="70"/>
      <c r="ATJ149" s="70"/>
      <c r="ATK149" s="70"/>
      <c r="ATL149" s="70"/>
      <c r="ATM149" s="70"/>
      <c r="ATN149" s="70"/>
      <c r="ATO149" s="70"/>
      <c r="ATP149" s="70"/>
      <c r="ATQ149" s="70"/>
      <c r="ATR149" s="70"/>
      <c r="ATS149" s="70"/>
      <c r="ATT149" s="70"/>
      <c r="ATU149" s="70"/>
      <c r="ATV149" s="70"/>
      <c r="ATW149" s="70"/>
      <c r="ATX149" s="70"/>
      <c r="ATY149" s="70"/>
      <c r="ATZ149" s="70"/>
      <c r="AUA149" s="70"/>
      <c r="AUB149" s="70"/>
      <c r="AUC149" s="70"/>
      <c r="AUD149" s="70"/>
      <c r="AUE149" s="70"/>
      <c r="AUF149" s="70"/>
      <c r="AUG149" s="70"/>
      <c r="AUH149" s="70"/>
      <c r="AUI149" s="70"/>
      <c r="AUJ149" s="70"/>
      <c r="AUK149" s="70"/>
      <c r="AUL149" s="70"/>
      <c r="AUM149" s="70"/>
      <c r="AUN149" s="70"/>
      <c r="AUO149" s="70"/>
      <c r="AUP149" s="70"/>
      <c r="AUQ149" s="70"/>
      <c r="AUR149" s="70"/>
      <c r="AUS149" s="70"/>
      <c r="AUT149" s="70"/>
      <c r="AUU149" s="70"/>
      <c r="AUV149" s="70"/>
      <c r="AUW149" s="70"/>
      <c r="AUX149" s="70"/>
      <c r="AUY149" s="70"/>
      <c r="AUZ149" s="70"/>
      <c r="AVA149" s="70"/>
      <c r="AVB149" s="70"/>
      <c r="AVC149" s="70"/>
      <c r="AVD149" s="70"/>
      <c r="AVE149" s="70"/>
      <c r="AVF149" s="70"/>
      <c r="AVG149" s="70"/>
      <c r="AVH149" s="70"/>
      <c r="AVI149" s="70"/>
      <c r="AVJ149" s="70"/>
      <c r="AVK149" s="70"/>
      <c r="AVL149" s="70"/>
      <c r="AVM149" s="70"/>
      <c r="AVN149" s="70"/>
      <c r="AVO149" s="70"/>
      <c r="AVP149" s="70"/>
      <c r="AVQ149" s="70"/>
      <c r="AVR149" s="70"/>
      <c r="AVS149" s="70"/>
      <c r="AVT149" s="70"/>
      <c r="AVU149" s="70"/>
      <c r="AVV149" s="70"/>
      <c r="AVW149" s="70"/>
      <c r="AVX149" s="70"/>
      <c r="AVY149" s="70"/>
      <c r="AVZ149" s="70"/>
      <c r="AWA149" s="70"/>
      <c r="AWB149" s="70"/>
      <c r="AWC149" s="70"/>
      <c r="AWD149" s="70"/>
      <c r="AWE149" s="70"/>
      <c r="AWF149" s="70"/>
      <c r="AWG149" s="70"/>
      <c r="AWH149" s="70"/>
      <c r="AWI149" s="70"/>
      <c r="AWJ149" s="70"/>
      <c r="AWK149" s="70"/>
      <c r="AWL149" s="70"/>
      <c r="AWM149" s="70"/>
      <c r="AWN149" s="70"/>
      <c r="AWO149" s="70"/>
      <c r="AWP149" s="70"/>
      <c r="AWQ149" s="70"/>
      <c r="AWR149" s="70"/>
      <c r="AWS149" s="70"/>
      <c r="AWT149" s="70"/>
      <c r="AWU149" s="70"/>
      <c r="AWV149" s="70"/>
      <c r="AWW149" s="70"/>
      <c r="AWX149" s="70"/>
      <c r="AWY149" s="70"/>
      <c r="AWZ149" s="70"/>
      <c r="AXA149" s="70"/>
      <c r="AXB149" s="70"/>
      <c r="AXC149" s="70"/>
      <c r="AXD149" s="70"/>
      <c r="AXE149" s="70"/>
      <c r="AXF149" s="70"/>
      <c r="AXG149" s="70"/>
      <c r="AXH149" s="70"/>
      <c r="AXI149" s="70"/>
      <c r="AXJ149" s="70"/>
      <c r="AXK149" s="70"/>
      <c r="AXL149" s="70"/>
      <c r="AXM149" s="70"/>
      <c r="AXN149" s="70"/>
      <c r="AXO149" s="70"/>
      <c r="AXP149" s="70"/>
      <c r="AXQ149" s="70"/>
      <c r="AXR149" s="70"/>
      <c r="AXS149" s="70"/>
      <c r="AXT149" s="70"/>
      <c r="AXU149" s="70"/>
      <c r="AXV149" s="70"/>
      <c r="AXW149" s="70"/>
      <c r="AXX149" s="70"/>
      <c r="AXY149" s="70"/>
      <c r="AXZ149" s="70"/>
      <c r="AYA149" s="70"/>
      <c r="AYB149" s="70"/>
      <c r="AYC149" s="70"/>
      <c r="AYD149" s="70"/>
      <c r="AYE149" s="70"/>
      <c r="AYF149" s="70"/>
      <c r="AYG149" s="70"/>
      <c r="AYH149" s="70"/>
      <c r="AYI149" s="70"/>
      <c r="AYJ149" s="70"/>
      <c r="AYK149" s="70"/>
      <c r="AYL149" s="70"/>
      <c r="AYM149" s="70"/>
      <c r="AYN149" s="70"/>
      <c r="AYO149" s="70"/>
      <c r="AYP149" s="70"/>
      <c r="AYQ149" s="70"/>
      <c r="AYR149" s="70"/>
      <c r="AYS149" s="70"/>
      <c r="AYT149" s="70"/>
      <c r="AYU149" s="70"/>
      <c r="AYV149" s="70"/>
      <c r="AYW149" s="70"/>
      <c r="AYX149" s="70"/>
      <c r="AYY149" s="70"/>
      <c r="AYZ149" s="70"/>
      <c r="AZA149" s="70"/>
      <c r="AZB149" s="70"/>
      <c r="AZC149" s="70"/>
      <c r="AZD149" s="70"/>
      <c r="AZE149" s="70"/>
      <c r="AZF149" s="70"/>
      <c r="AZG149" s="70"/>
      <c r="AZH149" s="70"/>
      <c r="AZI149" s="70"/>
      <c r="AZJ149" s="70"/>
      <c r="AZK149" s="70"/>
      <c r="AZL149" s="70"/>
      <c r="AZM149" s="70"/>
      <c r="AZN149" s="70"/>
      <c r="AZO149" s="70"/>
      <c r="AZP149" s="70"/>
      <c r="AZQ149" s="70"/>
      <c r="AZR149" s="70"/>
      <c r="AZS149" s="70"/>
      <c r="AZT149" s="70"/>
      <c r="AZU149" s="70"/>
      <c r="AZV149" s="70"/>
      <c r="AZW149" s="70"/>
      <c r="AZX149" s="70"/>
      <c r="AZY149" s="70"/>
      <c r="AZZ149" s="70"/>
      <c r="BAA149" s="70"/>
      <c r="BAB149" s="70"/>
      <c r="BAC149" s="70"/>
      <c r="BAD149" s="70"/>
      <c r="BAE149" s="70"/>
      <c r="BAF149" s="70"/>
      <c r="BAG149" s="70"/>
      <c r="BAH149" s="70"/>
      <c r="BAI149" s="70"/>
      <c r="BAJ149" s="70"/>
      <c r="BAK149" s="70"/>
      <c r="BAL149" s="70"/>
      <c r="BAM149" s="70"/>
      <c r="BAN149" s="70"/>
      <c r="BAO149" s="70"/>
      <c r="BAP149" s="70"/>
      <c r="BAQ149" s="70"/>
      <c r="BAR149" s="70"/>
      <c r="BAS149" s="70"/>
      <c r="BAT149" s="70"/>
      <c r="BAU149" s="70"/>
      <c r="BAV149" s="70"/>
      <c r="BAW149" s="70"/>
      <c r="BAX149" s="70"/>
      <c r="BAY149" s="70"/>
      <c r="BAZ149" s="70"/>
      <c r="BBA149" s="70"/>
      <c r="BBB149" s="70"/>
      <c r="BBC149" s="70"/>
      <c r="BBD149" s="70"/>
      <c r="BBE149" s="70"/>
      <c r="BBF149" s="70"/>
      <c r="BBG149" s="70"/>
      <c r="BBH149" s="70"/>
      <c r="BBI149" s="70"/>
      <c r="BBJ149" s="70"/>
      <c r="BBK149" s="70"/>
      <c r="BBL149" s="70"/>
      <c r="BBM149" s="70"/>
      <c r="BBN149" s="70"/>
      <c r="BBO149" s="70"/>
      <c r="BBP149" s="70"/>
      <c r="BBQ149" s="70"/>
      <c r="BBR149" s="70"/>
      <c r="BBS149" s="70"/>
      <c r="BBT149" s="70"/>
      <c r="BBU149" s="70"/>
      <c r="BBV149" s="70"/>
      <c r="BBW149" s="70"/>
      <c r="BBX149" s="70"/>
      <c r="BBY149" s="70"/>
      <c r="BBZ149" s="70"/>
      <c r="BCA149" s="70"/>
      <c r="BCB149" s="70"/>
      <c r="BCC149" s="70"/>
      <c r="BCD149" s="70"/>
      <c r="BCE149" s="70"/>
      <c r="BCF149" s="70"/>
      <c r="BCG149" s="70"/>
      <c r="BCH149" s="70"/>
      <c r="BCI149" s="70"/>
      <c r="BCJ149" s="70"/>
      <c r="BCK149" s="70"/>
      <c r="BCL149" s="70"/>
      <c r="BCM149" s="70"/>
      <c r="BCN149" s="70"/>
      <c r="BCO149" s="70"/>
      <c r="BCP149" s="70"/>
      <c r="BCQ149" s="70"/>
      <c r="BCR149" s="70"/>
      <c r="BCS149" s="70"/>
      <c r="BCT149" s="70"/>
      <c r="BCU149" s="70"/>
      <c r="BCV149" s="70"/>
      <c r="BCW149" s="70"/>
    </row>
    <row r="150" spans="1:1453" s="69" customFormat="1" ht="39.75" customHeight="1" x14ac:dyDescent="0.25">
      <c r="A150" s="50">
        <v>27</v>
      </c>
      <c r="B150" s="73" t="s">
        <v>595</v>
      </c>
      <c r="C150" s="73" t="s">
        <v>596</v>
      </c>
      <c r="D150" s="52">
        <v>143986.23999999999</v>
      </c>
      <c r="E150" s="72" t="s">
        <v>338</v>
      </c>
      <c r="F150" s="73" t="s">
        <v>644</v>
      </c>
      <c r="G150" s="71"/>
      <c r="H150" s="71"/>
      <c r="J150"/>
      <c r="K150"/>
      <c r="L150"/>
      <c r="M150"/>
      <c r="N150"/>
      <c r="O150"/>
      <c r="P150"/>
      <c r="Q150"/>
      <c r="R150"/>
      <c r="S150"/>
      <c r="T150"/>
      <c r="U15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70"/>
      <c r="HW150" s="70"/>
      <c r="HX150" s="70"/>
      <c r="HY150" s="70"/>
      <c r="HZ150" s="70"/>
      <c r="IA150" s="70"/>
      <c r="IB150" s="70"/>
      <c r="IC150" s="70"/>
      <c r="ID150" s="70"/>
      <c r="IE150" s="70"/>
      <c r="IF150" s="70"/>
      <c r="IG150" s="70"/>
      <c r="IH150" s="70"/>
      <c r="II150" s="70"/>
      <c r="IJ150" s="70"/>
      <c r="IK150" s="70"/>
      <c r="IL150" s="70"/>
      <c r="IM150" s="70"/>
      <c r="IN150" s="70"/>
      <c r="IO150" s="70"/>
      <c r="IP150" s="70"/>
      <c r="IQ150" s="70"/>
      <c r="IR150" s="70"/>
      <c r="IS150" s="70"/>
      <c r="IT150" s="70"/>
      <c r="IU150" s="70"/>
      <c r="IV150" s="70"/>
      <c r="IW150" s="70"/>
      <c r="IX150" s="70"/>
      <c r="IY150" s="70"/>
      <c r="IZ150" s="70"/>
      <c r="JA150" s="70"/>
      <c r="JB150" s="70"/>
      <c r="JC150" s="70"/>
      <c r="JD150" s="70"/>
      <c r="JE150" s="70"/>
      <c r="JF150" s="70"/>
      <c r="JG150" s="70"/>
      <c r="JH150" s="70"/>
      <c r="JI150" s="70"/>
      <c r="JJ150" s="70"/>
      <c r="JK150" s="70"/>
      <c r="JL150" s="70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70"/>
      <c r="JZ150" s="70"/>
      <c r="KA150" s="70"/>
      <c r="KB150" s="70"/>
      <c r="KC150" s="70"/>
      <c r="KD150" s="70"/>
      <c r="KE150" s="70"/>
      <c r="KF150" s="70"/>
      <c r="KG150" s="70"/>
      <c r="KH150" s="70"/>
      <c r="KI150" s="70"/>
      <c r="KJ150" s="70"/>
      <c r="KK150" s="70"/>
      <c r="KL150" s="70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70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70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70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70"/>
      <c r="MM150" s="70"/>
      <c r="MN150" s="70"/>
      <c r="MO150" s="70"/>
      <c r="MP150" s="70"/>
      <c r="MQ150" s="70"/>
      <c r="MR150" s="70"/>
      <c r="MS150" s="70"/>
      <c r="MT150" s="70"/>
      <c r="MU150" s="70"/>
      <c r="MV150" s="70"/>
      <c r="MW150" s="70"/>
      <c r="MX150" s="70"/>
      <c r="MY150" s="70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  <c r="NN150" s="70"/>
      <c r="NO150" s="70"/>
      <c r="NP150" s="70"/>
      <c r="NQ150" s="70"/>
      <c r="NR150" s="70"/>
      <c r="NS150" s="70"/>
      <c r="NT150" s="70"/>
      <c r="NU150" s="70"/>
      <c r="NV150" s="70"/>
      <c r="NW150" s="70"/>
      <c r="NX150" s="70"/>
      <c r="NY150" s="70"/>
      <c r="NZ150" s="70"/>
      <c r="OA150" s="70"/>
      <c r="OB150" s="70"/>
      <c r="OC150" s="70"/>
      <c r="OD150" s="70"/>
      <c r="OE150" s="70"/>
      <c r="OF150" s="70"/>
      <c r="OG150" s="70"/>
      <c r="OH150" s="70"/>
      <c r="OI150" s="70"/>
      <c r="OJ150" s="70"/>
      <c r="OK150" s="70"/>
      <c r="OL150" s="70"/>
      <c r="OM150" s="70"/>
      <c r="ON150" s="70"/>
      <c r="OO150" s="70"/>
      <c r="OP150" s="70"/>
      <c r="OQ150" s="70"/>
      <c r="OR150" s="70"/>
      <c r="OS150" s="70"/>
      <c r="OT150" s="70"/>
      <c r="OU150" s="70"/>
      <c r="OV150" s="70"/>
      <c r="OW150" s="70"/>
      <c r="OX150" s="70"/>
      <c r="OY150" s="70"/>
      <c r="OZ150" s="70"/>
      <c r="PA150" s="70"/>
      <c r="PB150" s="70"/>
      <c r="PC150" s="70"/>
      <c r="PD150" s="70"/>
      <c r="PE150" s="70"/>
      <c r="PF150" s="70"/>
      <c r="PG150" s="70"/>
      <c r="PH150" s="70"/>
      <c r="PI150" s="70"/>
      <c r="PJ150" s="70"/>
      <c r="PK150" s="70"/>
      <c r="PL150" s="70"/>
      <c r="PM150" s="70"/>
      <c r="PN150" s="70"/>
      <c r="PO150" s="70"/>
      <c r="PP150" s="70"/>
      <c r="PQ150" s="70"/>
      <c r="PR150" s="70"/>
      <c r="PS150" s="70"/>
      <c r="PT150" s="70"/>
      <c r="PU150" s="70"/>
      <c r="PV150" s="70"/>
      <c r="PW150" s="70"/>
      <c r="PX150" s="70"/>
      <c r="PY150" s="70"/>
      <c r="PZ150" s="70"/>
      <c r="QA150" s="70"/>
      <c r="QB150" s="70"/>
      <c r="QC150" s="70"/>
      <c r="QD150" s="70"/>
      <c r="QE150" s="70"/>
      <c r="QF150" s="70"/>
      <c r="QG150" s="70"/>
      <c r="QH150" s="70"/>
      <c r="QI150" s="70"/>
      <c r="QJ150" s="70"/>
      <c r="QK150" s="70"/>
      <c r="QL150" s="70"/>
      <c r="QM150" s="70"/>
      <c r="QN150" s="70"/>
      <c r="QO150" s="70"/>
      <c r="QP150" s="70"/>
      <c r="QQ150" s="70"/>
      <c r="QR150" s="70"/>
      <c r="QS150" s="70"/>
      <c r="QT150" s="70"/>
      <c r="QU150" s="70"/>
      <c r="QV150" s="70"/>
      <c r="QW150" s="70"/>
      <c r="QX150" s="70"/>
      <c r="QY150" s="70"/>
      <c r="QZ150" s="70"/>
      <c r="RA150" s="70"/>
      <c r="RB150" s="70"/>
      <c r="RC150" s="70"/>
      <c r="RD150" s="70"/>
      <c r="RE150" s="70"/>
      <c r="RF150" s="70"/>
      <c r="RG150" s="70"/>
      <c r="RH150" s="70"/>
      <c r="RI150" s="70"/>
      <c r="RJ150" s="70"/>
      <c r="RK150" s="70"/>
      <c r="RL150" s="70"/>
      <c r="RM150" s="70"/>
      <c r="RN150" s="70"/>
      <c r="RO150" s="70"/>
      <c r="RP150" s="70"/>
      <c r="RQ150" s="70"/>
      <c r="RR150" s="70"/>
      <c r="RS150" s="70"/>
      <c r="RT150" s="70"/>
      <c r="RU150" s="70"/>
      <c r="RV150" s="70"/>
      <c r="RW150" s="70"/>
      <c r="RX150" s="70"/>
      <c r="RY150" s="70"/>
      <c r="RZ150" s="70"/>
      <c r="SA150" s="70"/>
      <c r="SB150" s="70"/>
      <c r="SC150" s="70"/>
      <c r="SD150" s="70"/>
      <c r="SE150" s="70"/>
      <c r="SF150" s="70"/>
      <c r="SG150" s="70"/>
      <c r="SH150" s="70"/>
      <c r="SI150" s="70"/>
      <c r="SJ150" s="70"/>
      <c r="SK150" s="70"/>
      <c r="SL150" s="70"/>
      <c r="SM150" s="70"/>
      <c r="SN150" s="70"/>
      <c r="SO150" s="70"/>
      <c r="SP150" s="70"/>
      <c r="SQ150" s="70"/>
      <c r="SR150" s="70"/>
      <c r="SS150" s="70"/>
      <c r="ST150" s="70"/>
      <c r="SU150" s="70"/>
      <c r="SV150" s="70"/>
      <c r="SW150" s="70"/>
      <c r="SX150" s="70"/>
      <c r="SY150" s="70"/>
      <c r="SZ150" s="70"/>
      <c r="TA150" s="70"/>
      <c r="TB150" s="70"/>
      <c r="TC150" s="70"/>
      <c r="TD150" s="70"/>
      <c r="TE150" s="70"/>
      <c r="TF150" s="70"/>
      <c r="TG150" s="70"/>
      <c r="TH150" s="70"/>
      <c r="TI150" s="70"/>
      <c r="TJ150" s="70"/>
      <c r="TK150" s="70"/>
      <c r="TL150" s="70"/>
      <c r="TM150" s="70"/>
      <c r="TN150" s="70"/>
      <c r="TO150" s="70"/>
      <c r="TP150" s="70"/>
      <c r="TQ150" s="70"/>
      <c r="TR150" s="70"/>
      <c r="TS150" s="70"/>
      <c r="TT150" s="70"/>
      <c r="TU150" s="70"/>
      <c r="TV150" s="70"/>
      <c r="TW150" s="70"/>
      <c r="TX150" s="70"/>
      <c r="TY150" s="70"/>
      <c r="TZ150" s="70"/>
      <c r="UA150" s="70"/>
      <c r="UB150" s="70"/>
      <c r="UC150" s="70"/>
      <c r="UD150" s="70"/>
      <c r="UE150" s="70"/>
      <c r="UF150" s="70"/>
      <c r="UG150" s="70"/>
      <c r="UH150" s="70"/>
      <c r="UI150" s="70"/>
      <c r="UJ150" s="70"/>
      <c r="UK150" s="70"/>
      <c r="UL150" s="70"/>
      <c r="UM150" s="70"/>
      <c r="UN150" s="70"/>
      <c r="UO150" s="70"/>
      <c r="UP150" s="70"/>
      <c r="UQ150" s="70"/>
      <c r="UR150" s="70"/>
      <c r="US150" s="70"/>
      <c r="UT150" s="70"/>
      <c r="UU150" s="70"/>
      <c r="UV150" s="70"/>
      <c r="UW150" s="70"/>
      <c r="UX150" s="70"/>
      <c r="UY150" s="70"/>
      <c r="UZ150" s="70"/>
      <c r="VA150" s="70"/>
      <c r="VB150" s="70"/>
      <c r="VC150" s="70"/>
      <c r="VD150" s="70"/>
      <c r="VE150" s="70"/>
      <c r="VF150" s="70"/>
      <c r="VG150" s="70"/>
      <c r="VH150" s="70"/>
      <c r="VI150" s="70"/>
      <c r="VJ150" s="70"/>
      <c r="VK150" s="70"/>
      <c r="VL150" s="70"/>
      <c r="VM150" s="70"/>
      <c r="VN150" s="70"/>
      <c r="VO150" s="70"/>
      <c r="VP150" s="70"/>
      <c r="VQ150" s="70"/>
      <c r="VR150" s="70"/>
      <c r="VS150" s="70"/>
      <c r="VT150" s="70"/>
      <c r="VU150" s="70"/>
      <c r="VV150" s="70"/>
      <c r="VW150" s="70"/>
      <c r="VX150" s="70"/>
      <c r="VY150" s="70"/>
      <c r="VZ150" s="70"/>
      <c r="WA150" s="70"/>
      <c r="WB150" s="70"/>
      <c r="WC150" s="70"/>
      <c r="WD150" s="70"/>
      <c r="WE150" s="70"/>
      <c r="WF150" s="70"/>
      <c r="WG150" s="70"/>
      <c r="WH150" s="70"/>
      <c r="WI150" s="70"/>
      <c r="WJ150" s="70"/>
      <c r="WK150" s="70"/>
      <c r="WL150" s="70"/>
      <c r="WM150" s="70"/>
      <c r="WN150" s="70"/>
      <c r="WO150" s="70"/>
      <c r="WP150" s="70"/>
      <c r="WQ150" s="70"/>
      <c r="WR150" s="70"/>
      <c r="WS150" s="70"/>
      <c r="WT150" s="70"/>
      <c r="WU150" s="70"/>
      <c r="WV150" s="70"/>
      <c r="WW150" s="70"/>
      <c r="WX150" s="70"/>
      <c r="WY150" s="70"/>
      <c r="WZ150" s="70"/>
      <c r="XA150" s="70"/>
      <c r="XB150" s="70"/>
      <c r="XC150" s="70"/>
      <c r="XD150" s="70"/>
      <c r="XE150" s="70"/>
      <c r="XF150" s="70"/>
      <c r="XG150" s="70"/>
      <c r="XH150" s="70"/>
      <c r="XI150" s="70"/>
      <c r="XJ150" s="70"/>
      <c r="XK150" s="70"/>
      <c r="XL150" s="70"/>
      <c r="XM150" s="70"/>
      <c r="XN150" s="70"/>
      <c r="XO150" s="70"/>
      <c r="XP150" s="70"/>
      <c r="XQ150" s="70"/>
      <c r="XR150" s="70"/>
      <c r="XS150" s="70"/>
      <c r="XT150" s="70"/>
      <c r="XU150" s="70"/>
      <c r="XV150" s="70"/>
      <c r="XW150" s="70"/>
      <c r="XX150" s="70"/>
      <c r="XY150" s="70"/>
      <c r="XZ150" s="70"/>
      <c r="YA150" s="70"/>
      <c r="YB150" s="70"/>
      <c r="YC150" s="70"/>
      <c r="YD150" s="70"/>
      <c r="YE150" s="70"/>
      <c r="YF150" s="70"/>
      <c r="YG150" s="70"/>
      <c r="YH150" s="70"/>
      <c r="YI150" s="70"/>
      <c r="YJ150" s="70"/>
      <c r="YK150" s="70"/>
      <c r="YL150" s="70"/>
      <c r="YM150" s="70"/>
      <c r="YN150" s="70"/>
      <c r="YO150" s="70"/>
      <c r="YP150" s="70"/>
      <c r="YQ150" s="70"/>
      <c r="YR150" s="70"/>
      <c r="YS150" s="70"/>
      <c r="YT150" s="70"/>
      <c r="YU150" s="70"/>
      <c r="YV150" s="70"/>
      <c r="YW150" s="70"/>
      <c r="YX150" s="70"/>
      <c r="YY150" s="70"/>
      <c r="YZ150" s="70"/>
      <c r="ZA150" s="70"/>
      <c r="ZB150" s="70"/>
      <c r="ZC150" s="70"/>
      <c r="ZD150" s="70"/>
      <c r="ZE150" s="70"/>
      <c r="ZF150" s="70"/>
      <c r="ZG150" s="70"/>
      <c r="ZH150" s="70"/>
      <c r="ZI150" s="70"/>
      <c r="ZJ150" s="70"/>
      <c r="ZK150" s="70"/>
      <c r="ZL150" s="70"/>
      <c r="ZM150" s="70"/>
      <c r="ZN150" s="70"/>
      <c r="ZO150" s="70"/>
      <c r="ZP150" s="70"/>
      <c r="ZQ150" s="70"/>
      <c r="ZR150" s="70"/>
      <c r="ZS150" s="70"/>
      <c r="ZT150" s="70"/>
      <c r="ZU150" s="70"/>
      <c r="ZV150" s="70"/>
      <c r="ZW150" s="70"/>
      <c r="ZX150" s="70"/>
      <c r="ZY150" s="70"/>
      <c r="ZZ150" s="70"/>
      <c r="AAA150" s="70"/>
      <c r="AAB150" s="70"/>
      <c r="AAC150" s="70"/>
      <c r="AAD150" s="70"/>
      <c r="AAE150" s="70"/>
      <c r="AAF150" s="70"/>
      <c r="AAG150" s="70"/>
      <c r="AAH150" s="70"/>
      <c r="AAI150" s="70"/>
      <c r="AAJ150" s="70"/>
      <c r="AAK150" s="70"/>
      <c r="AAL150" s="70"/>
      <c r="AAM150" s="70"/>
      <c r="AAN150" s="70"/>
      <c r="AAO150" s="70"/>
      <c r="AAP150" s="70"/>
      <c r="AAQ150" s="70"/>
      <c r="AAR150" s="70"/>
      <c r="AAS150" s="70"/>
      <c r="AAT150" s="70"/>
      <c r="AAU150" s="70"/>
      <c r="AAV150" s="70"/>
      <c r="AAW150" s="70"/>
      <c r="AAX150" s="70"/>
      <c r="AAY150" s="70"/>
      <c r="AAZ150" s="70"/>
      <c r="ABA150" s="70"/>
      <c r="ABB150" s="70"/>
      <c r="ABC150" s="70"/>
      <c r="ABD150" s="70"/>
      <c r="ABE150" s="70"/>
      <c r="ABF150" s="70"/>
      <c r="ABG150" s="70"/>
      <c r="ABH150" s="70"/>
      <c r="ABI150" s="70"/>
      <c r="ABJ150" s="70"/>
      <c r="ABK150" s="70"/>
      <c r="ABL150" s="70"/>
      <c r="ABM150" s="70"/>
      <c r="ABN150" s="70"/>
      <c r="ABO150" s="70"/>
      <c r="ABP150" s="70"/>
      <c r="ABQ150" s="70"/>
      <c r="ABR150" s="70"/>
      <c r="ABS150" s="70"/>
      <c r="ABT150" s="70"/>
      <c r="ABU150" s="70"/>
      <c r="ABV150" s="70"/>
      <c r="ABW150" s="70"/>
      <c r="ABX150" s="70"/>
      <c r="ABY150" s="70"/>
      <c r="ABZ150" s="70"/>
      <c r="ACA150" s="70"/>
      <c r="ACB150" s="70"/>
      <c r="ACC150" s="70"/>
      <c r="ACD150" s="70"/>
      <c r="ACE150" s="70"/>
      <c r="ACF150" s="70"/>
      <c r="ACG150" s="70"/>
      <c r="ACH150" s="70"/>
      <c r="ACI150" s="70"/>
      <c r="ACJ150" s="70"/>
      <c r="ACK150" s="70"/>
      <c r="ACL150" s="70"/>
      <c r="ACM150" s="70"/>
      <c r="ACN150" s="70"/>
      <c r="ACO150" s="70"/>
      <c r="ACP150" s="70"/>
      <c r="ACQ150" s="70"/>
      <c r="ACR150" s="70"/>
      <c r="ACS150" s="70"/>
      <c r="ACT150" s="70"/>
      <c r="ACU150" s="70"/>
      <c r="ACV150" s="70"/>
      <c r="ACW150" s="70"/>
      <c r="ACX150" s="70"/>
      <c r="ACY150" s="70"/>
      <c r="ACZ150" s="70"/>
      <c r="ADA150" s="70"/>
      <c r="ADB150" s="70"/>
      <c r="ADC150" s="70"/>
      <c r="ADD150" s="70"/>
      <c r="ADE150" s="70"/>
      <c r="ADF150" s="70"/>
      <c r="ADG150" s="70"/>
      <c r="ADH150" s="70"/>
      <c r="ADI150" s="70"/>
      <c r="ADJ150" s="70"/>
      <c r="ADK150" s="70"/>
      <c r="ADL150" s="70"/>
      <c r="ADM150" s="70"/>
      <c r="ADN150" s="70"/>
      <c r="ADO150" s="70"/>
      <c r="ADP150" s="70"/>
      <c r="ADQ150" s="70"/>
      <c r="ADR150" s="70"/>
      <c r="ADS150" s="70"/>
      <c r="ADT150" s="70"/>
      <c r="ADU150" s="70"/>
      <c r="ADV150" s="70"/>
      <c r="ADW150" s="70"/>
      <c r="ADX150" s="70"/>
      <c r="ADY150" s="70"/>
      <c r="ADZ150" s="70"/>
      <c r="AEA150" s="70"/>
      <c r="AEB150" s="70"/>
      <c r="AEC150" s="70"/>
      <c r="AED150" s="70"/>
      <c r="AEE150" s="70"/>
      <c r="AEF150" s="70"/>
      <c r="AEG150" s="70"/>
      <c r="AEH150" s="70"/>
      <c r="AEI150" s="70"/>
      <c r="AEJ150" s="70"/>
      <c r="AEK150" s="70"/>
      <c r="AEL150" s="70"/>
      <c r="AEM150" s="70"/>
      <c r="AEN150" s="70"/>
      <c r="AEO150" s="70"/>
      <c r="AEP150" s="70"/>
      <c r="AEQ150" s="70"/>
      <c r="AER150" s="70"/>
      <c r="AES150" s="70"/>
      <c r="AET150" s="70"/>
      <c r="AEU150" s="70"/>
      <c r="AEV150" s="70"/>
      <c r="AEW150" s="70"/>
      <c r="AEX150" s="70"/>
      <c r="AEY150" s="70"/>
      <c r="AEZ150" s="70"/>
      <c r="AFA150" s="70"/>
      <c r="AFB150" s="70"/>
      <c r="AFC150" s="70"/>
      <c r="AFD150" s="70"/>
      <c r="AFE150" s="70"/>
      <c r="AFF150" s="70"/>
      <c r="AFG150" s="70"/>
      <c r="AFH150" s="70"/>
      <c r="AFI150" s="70"/>
      <c r="AFJ150" s="70"/>
      <c r="AFK150" s="70"/>
      <c r="AFL150" s="70"/>
      <c r="AFM150" s="70"/>
      <c r="AFN150" s="70"/>
      <c r="AFO150" s="70"/>
      <c r="AFP150" s="70"/>
      <c r="AFQ150" s="70"/>
      <c r="AFR150" s="70"/>
      <c r="AFS150" s="70"/>
      <c r="AFT150" s="70"/>
      <c r="AFU150" s="70"/>
      <c r="AFV150" s="70"/>
      <c r="AFW150" s="70"/>
      <c r="AFX150" s="70"/>
      <c r="AFY150" s="70"/>
      <c r="AFZ150" s="70"/>
      <c r="AGA150" s="70"/>
      <c r="AGB150" s="70"/>
      <c r="AGC150" s="70"/>
      <c r="AGD150" s="70"/>
      <c r="AGE150" s="70"/>
      <c r="AGF150" s="70"/>
      <c r="AGG150" s="70"/>
      <c r="AGH150" s="70"/>
      <c r="AGI150" s="70"/>
      <c r="AGJ150" s="70"/>
      <c r="AGK150" s="70"/>
      <c r="AGL150" s="70"/>
      <c r="AGM150" s="70"/>
      <c r="AGN150" s="70"/>
      <c r="AGO150" s="70"/>
      <c r="AGP150" s="70"/>
      <c r="AGQ150" s="70"/>
      <c r="AGR150" s="70"/>
      <c r="AGS150" s="70"/>
      <c r="AGT150" s="70"/>
      <c r="AGU150" s="70"/>
      <c r="AGV150" s="70"/>
      <c r="AGW150" s="70"/>
      <c r="AGX150" s="70"/>
      <c r="AGY150" s="70"/>
      <c r="AGZ150" s="70"/>
      <c r="AHA150" s="70"/>
      <c r="AHB150" s="70"/>
      <c r="AHC150" s="70"/>
      <c r="AHD150" s="70"/>
      <c r="AHE150" s="70"/>
      <c r="AHF150" s="70"/>
      <c r="AHG150" s="70"/>
      <c r="AHH150" s="70"/>
      <c r="AHI150" s="70"/>
      <c r="AHJ150" s="70"/>
      <c r="AHK150" s="70"/>
      <c r="AHL150" s="70"/>
      <c r="AHM150" s="70"/>
      <c r="AHN150" s="70"/>
      <c r="AHO150" s="70"/>
      <c r="AHP150" s="70"/>
      <c r="AHQ150" s="70"/>
      <c r="AHR150" s="70"/>
      <c r="AHS150" s="70"/>
      <c r="AHT150" s="70"/>
      <c r="AHU150" s="70"/>
      <c r="AHV150" s="70"/>
      <c r="AHW150" s="70"/>
      <c r="AHX150" s="70"/>
      <c r="AHY150" s="70"/>
      <c r="AHZ150" s="70"/>
      <c r="AIA150" s="70"/>
      <c r="AIB150" s="70"/>
      <c r="AIC150" s="70"/>
      <c r="AID150" s="70"/>
      <c r="AIE150" s="70"/>
      <c r="AIF150" s="70"/>
      <c r="AIG150" s="70"/>
      <c r="AIH150" s="70"/>
      <c r="AII150" s="70"/>
      <c r="AIJ150" s="70"/>
      <c r="AIK150" s="70"/>
      <c r="AIL150" s="70"/>
      <c r="AIM150" s="70"/>
      <c r="AIN150" s="70"/>
      <c r="AIO150" s="70"/>
      <c r="AIP150" s="70"/>
      <c r="AIQ150" s="70"/>
      <c r="AIR150" s="70"/>
      <c r="AIS150" s="70"/>
      <c r="AIT150" s="70"/>
      <c r="AIU150" s="70"/>
      <c r="AIV150" s="70"/>
      <c r="AIW150" s="70"/>
      <c r="AIX150" s="70"/>
      <c r="AIY150" s="70"/>
      <c r="AIZ150" s="70"/>
      <c r="AJA150" s="70"/>
      <c r="AJB150" s="70"/>
      <c r="AJC150" s="70"/>
      <c r="AJD150" s="70"/>
      <c r="AJE150" s="70"/>
      <c r="AJF150" s="70"/>
      <c r="AJG150" s="70"/>
      <c r="AJH150" s="70"/>
      <c r="AJI150" s="70"/>
      <c r="AJJ150" s="70"/>
      <c r="AJK150" s="70"/>
      <c r="AJL150" s="70"/>
      <c r="AJM150" s="70"/>
      <c r="AJN150" s="70"/>
      <c r="AJO150" s="70"/>
      <c r="AJP150" s="70"/>
      <c r="AJQ150" s="70"/>
      <c r="AJR150" s="70"/>
      <c r="AJS150" s="70"/>
      <c r="AJT150" s="70"/>
      <c r="AJU150" s="70"/>
      <c r="AJV150" s="70"/>
      <c r="AJW150" s="70"/>
      <c r="AJX150" s="70"/>
      <c r="AJY150" s="70"/>
      <c r="AJZ150" s="70"/>
      <c r="AKA150" s="70"/>
      <c r="AKB150" s="70"/>
      <c r="AKC150" s="70"/>
      <c r="AKD150" s="70"/>
      <c r="AKE150" s="70"/>
      <c r="AKF150" s="70"/>
      <c r="AKG150" s="70"/>
      <c r="AKH150" s="70"/>
      <c r="AKI150" s="70"/>
      <c r="AKJ150" s="70"/>
      <c r="AKK150" s="70"/>
      <c r="AKL150" s="70"/>
      <c r="AKM150" s="70"/>
      <c r="AKN150" s="70"/>
      <c r="AKO150" s="70"/>
      <c r="AKP150" s="70"/>
      <c r="AKQ150" s="70"/>
      <c r="AKR150" s="70"/>
      <c r="AKS150" s="70"/>
      <c r="AKT150" s="70"/>
      <c r="AKU150" s="70"/>
      <c r="AKV150" s="70"/>
      <c r="AKW150" s="70"/>
      <c r="AKX150" s="70"/>
      <c r="AKY150" s="70"/>
      <c r="AKZ150" s="70"/>
      <c r="ALA150" s="70"/>
      <c r="ALB150" s="70"/>
      <c r="ALC150" s="70"/>
      <c r="ALD150" s="70"/>
      <c r="ALE150" s="70"/>
      <c r="ALF150" s="70"/>
      <c r="ALG150" s="70"/>
      <c r="ALH150" s="70"/>
      <c r="ALI150" s="70"/>
      <c r="ALJ150" s="70"/>
      <c r="ALK150" s="70"/>
      <c r="ALL150" s="70"/>
      <c r="ALM150" s="70"/>
      <c r="ALN150" s="70"/>
      <c r="ALO150" s="70"/>
      <c r="ALP150" s="70"/>
      <c r="ALQ150" s="70"/>
      <c r="ALR150" s="70"/>
      <c r="ALS150" s="70"/>
      <c r="ALT150" s="70"/>
      <c r="ALU150" s="70"/>
      <c r="ALV150" s="70"/>
      <c r="ALW150" s="70"/>
      <c r="ALX150" s="70"/>
      <c r="ALY150" s="70"/>
      <c r="ALZ150" s="70"/>
      <c r="AMA150" s="70"/>
      <c r="AMB150" s="70"/>
      <c r="AMC150" s="70"/>
      <c r="AMD150" s="70"/>
      <c r="AME150" s="70"/>
      <c r="AMF150" s="70"/>
      <c r="AMG150" s="70"/>
      <c r="AMH150" s="70"/>
      <c r="AMI150" s="70"/>
      <c r="AMJ150" s="70"/>
      <c r="AMK150" s="70"/>
      <c r="AML150" s="70"/>
      <c r="AMM150" s="70"/>
      <c r="AMN150" s="70"/>
      <c r="AMO150" s="70"/>
      <c r="AMP150" s="70"/>
      <c r="AMQ150" s="70"/>
      <c r="AMR150" s="70"/>
      <c r="AMS150" s="70"/>
      <c r="AMT150" s="70"/>
      <c r="AMU150" s="70"/>
      <c r="AMV150" s="70"/>
      <c r="AMW150" s="70"/>
      <c r="AMX150" s="70"/>
      <c r="AMY150" s="70"/>
      <c r="AMZ150" s="70"/>
      <c r="ANA150" s="70"/>
      <c r="ANB150" s="70"/>
      <c r="ANC150" s="70"/>
      <c r="AND150" s="70"/>
      <c r="ANE150" s="70"/>
      <c r="ANF150" s="70"/>
      <c r="ANG150" s="70"/>
      <c r="ANH150" s="70"/>
      <c r="ANI150" s="70"/>
      <c r="ANJ150" s="70"/>
      <c r="ANK150" s="70"/>
      <c r="ANL150" s="70"/>
      <c r="ANM150" s="70"/>
      <c r="ANN150" s="70"/>
      <c r="ANO150" s="70"/>
      <c r="ANP150" s="70"/>
      <c r="ANQ150" s="70"/>
      <c r="ANR150" s="70"/>
      <c r="ANS150" s="70"/>
      <c r="ANT150" s="70"/>
      <c r="ANU150" s="70"/>
      <c r="ANV150" s="70"/>
      <c r="ANW150" s="70"/>
      <c r="ANX150" s="70"/>
      <c r="ANY150" s="70"/>
      <c r="ANZ150" s="70"/>
      <c r="AOA150" s="70"/>
      <c r="AOB150" s="70"/>
      <c r="AOC150" s="70"/>
      <c r="AOD150" s="70"/>
      <c r="AOE150" s="70"/>
      <c r="AOF150" s="70"/>
      <c r="AOG150" s="70"/>
      <c r="AOH150" s="70"/>
      <c r="AOI150" s="70"/>
      <c r="AOJ150" s="70"/>
      <c r="AOK150" s="70"/>
      <c r="AOL150" s="70"/>
      <c r="AOM150" s="70"/>
      <c r="AON150" s="70"/>
      <c r="AOO150" s="70"/>
      <c r="AOP150" s="70"/>
      <c r="AOQ150" s="70"/>
      <c r="AOR150" s="70"/>
      <c r="AOS150" s="70"/>
      <c r="AOT150" s="70"/>
      <c r="AOU150" s="70"/>
      <c r="AOV150" s="70"/>
      <c r="AOW150" s="70"/>
      <c r="AOX150" s="70"/>
      <c r="AOY150" s="70"/>
      <c r="AOZ150" s="70"/>
      <c r="APA150" s="70"/>
      <c r="APB150" s="70"/>
      <c r="APC150" s="70"/>
      <c r="APD150" s="70"/>
      <c r="APE150" s="70"/>
      <c r="APF150" s="70"/>
      <c r="APG150" s="70"/>
      <c r="APH150" s="70"/>
      <c r="API150" s="70"/>
      <c r="APJ150" s="70"/>
      <c r="APK150" s="70"/>
      <c r="APL150" s="70"/>
      <c r="APM150" s="70"/>
      <c r="APN150" s="70"/>
      <c r="APO150" s="70"/>
      <c r="APP150" s="70"/>
      <c r="APQ150" s="70"/>
      <c r="APR150" s="70"/>
      <c r="APS150" s="70"/>
      <c r="APT150" s="70"/>
      <c r="APU150" s="70"/>
      <c r="APV150" s="70"/>
      <c r="APW150" s="70"/>
      <c r="APX150" s="70"/>
      <c r="APY150" s="70"/>
      <c r="APZ150" s="70"/>
      <c r="AQA150" s="70"/>
      <c r="AQB150" s="70"/>
      <c r="AQC150" s="70"/>
      <c r="AQD150" s="70"/>
      <c r="AQE150" s="70"/>
      <c r="AQF150" s="70"/>
      <c r="AQG150" s="70"/>
      <c r="AQH150" s="70"/>
      <c r="AQI150" s="70"/>
      <c r="AQJ150" s="70"/>
      <c r="AQK150" s="70"/>
      <c r="AQL150" s="70"/>
      <c r="AQM150" s="70"/>
      <c r="AQN150" s="70"/>
      <c r="AQO150" s="70"/>
      <c r="AQP150" s="70"/>
      <c r="AQQ150" s="70"/>
      <c r="AQR150" s="70"/>
      <c r="AQS150" s="70"/>
      <c r="AQT150" s="70"/>
      <c r="AQU150" s="70"/>
      <c r="AQV150" s="70"/>
      <c r="AQW150" s="70"/>
      <c r="AQX150" s="70"/>
      <c r="AQY150" s="70"/>
      <c r="AQZ150" s="70"/>
      <c r="ARA150" s="70"/>
      <c r="ARB150" s="70"/>
      <c r="ARC150" s="70"/>
      <c r="ARD150" s="70"/>
      <c r="ARE150" s="70"/>
      <c r="ARF150" s="70"/>
      <c r="ARG150" s="70"/>
      <c r="ARH150" s="70"/>
      <c r="ARI150" s="70"/>
      <c r="ARJ150" s="70"/>
      <c r="ARK150" s="70"/>
      <c r="ARL150" s="70"/>
      <c r="ARM150" s="70"/>
      <c r="ARN150" s="70"/>
      <c r="ARO150" s="70"/>
      <c r="ARP150" s="70"/>
      <c r="ARQ150" s="70"/>
      <c r="ARR150" s="70"/>
      <c r="ARS150" s="70"/>
      <c r="ART150" s="70"/>
      <c r="ARU150" s="70"/>
      <c r="ARV150" s="70"/>
      <c r="ARW150" s="70"/>
      <c r="ARX150" s="70"/>
      <c r="ARY150" s="70"/>
      <c r="ARZ150" s="70"/>
      <c r="ASA150" s="70"/>
      <c r="ASB150" s="70"/>
      <c r="ASC150" s="70"/>
      <c r="ASD150" s="70"/>
      <c r="ASE150" s="70"/>
      <c r="ASF150" s="70"/>
      <c r="ASG150" s="70"/>
      <c r="ASH150" s="70"/>
      <c r="ASI150" s="70"/>
      <c r="ASJ150" s="70"/>
      <c r="ASK150" s="70"/>
      <c r="ASL150" s="70"/>
      <c r="ASM150" s="70"/>
      <c r="ASN150" s="70"/>
      <c r="ASO150" s="70"/>
      <c r="ASP150" s="70"/>
      <c r="ASQ150" s="70"/>
      <c r="ASR150" s="70"/>
      <c r="ASS150" s="70"/>
      <c r="AST150" s="70"/>
      <c r="ASU150" s="70"/>
      <c r="ASV150" s="70"/>
      <c r="ASW150" s="70"/>
      <c r="ASX150" s="70"/>
      <c r="ASY150" s="70"/>
      <c r="ASZ150" s="70"/>
      <c r="ATA150" s="70"/>
      <c r="ATB150" s="70"/>
      <c r="ATC150" s="70"/>
      <c r="ATD150" s="70"/>
      <c r="ATE150" s="70"/>
      <c r="ATF150" s="70"/>
      <c r="ATG150" s="70"/>
      <c r="ATH150" s="70"/>
      <c r="ATI150" s="70"/>
      <c r="ATJ150" s="70"/>
      <c r="ATK150" s="70"/>
      <c r="ATL150" s="70"/>
      <c r="ATM150" s="70"/>
      <c r="ATN150" s="70"/>
      <c r="ATO150" s="70"/>
      <c r="ATP150" s="70"/>
      <c r="ATQ150" s="70"/>
      <c r="ATR150" s="70"/>
      <c r="ATS150" s="70"/>
      <c r="ATT150" s="70"/>
      <c r="ATU150" s="70"/>
      <c r="ATV150" s="70"/>
      <c r="ATW150" s="70"/>
      <c r="ATX150" s="70"/>
      <c r="ATY150" s="70"/>
      <c r="ATZ150" s="70"/>
      <c r="AUA150" s="70"/>
      <c r="AUB150" s="70"/>
      <c r="AUC150" s="70"/>
      <c r="AUD150" s="70"/>
      <c r="AUE150" s="70"/>
      <c r="AUF150" s="70"/>
      <c r="AUG150" s="70"/>
      <c r="AUH150" s="70"/>
      <c r="AUI150" s="70"/>
      <c r="AUJ150" s="70"/>
      <c r="AUK150" s="70"/>
      <c r="AUL150" s="70"/>
      <c r="AUM150" s="70"/>
      <c r="AUN150" s="70"/>
      <c r="AUO150" s="70"/>
      <c r="AUP150" s="70"/>
      <c r="AUQ150" s="70"/>
      <c r="AUR150" s="70"/>
      <c r="AUS150" s="70"/>
      <c r="AUT150" s="70"/>
      <c r="AUU150" s="70"/>
      <c r="AUV150" s="70"/>
      <c r="AUW150" s="70"/>
      <c r="AUX150" s="70"/>
      <c r="AUY150" s="70"/>
      <c r="AUZ150" s="70"/>
      <c r="AVA150" s="70"/>
      <c r="AVB150" s="70"/>
      <c r="AVC150" s="70"/>
      <c r="AVD150" s="70"/>
      <c r="AVE150" s="70"/>
      <c r="AVF150" s="70"/>
      <c r="AVG150" s="70"/>
      <c r="AVH150" s="70"/>
      <c r="AVI150" s="70"/>
      <c r="AVJ150" s="70"/>
      <c r="AVK150" s="70"/>
      <c r="AVL150" s="70"/>
      <c r="AVM150" s="70"/>
      <c r="AVN150" s="70"/>
      <c r="AVO150" s="70"/>
      <c r="AVP150" s="70"/>
      <c r="AVQ150" s="70"/>
      <c r="AVR150" s="70"/>
      <c r="AVS150" s="70"/>
      <c r="AVT150" s="70"/>
      <c r="AVU150" s="70"/>
      <c r="AVV150" s="70"/>
      <c r="AVW150" s="70"/>
      <c r="AVX150" s="70"/>
      <c r="AVY150" s="70"/>
      <c r="AVZ150" s="70"/>
      <c r="AWA150" s="70"/>
      <c r="AWB150" s="70"/>
      <c r="AWC150" s="70"/>
      <c r="AWD150" s="70"/>
      <c r="AWE150" s="70"/>
      <c r="AWF150" s="70"/>
      <c r="AWG150" s="70"/>
      <c r="AWH150" s="70"/>
      <c r="AWI150" s="70"/>
      <c r="AWJ150" s="70"/>
      <c r="AWK150" s="70"/>
      <c r="AWL150" s="70"/>
      <c r="AWM150" s="70"/>
      <c r="AWN150" s="70"/>
      <c r="AWO150" s="70"/>
      <c r="AWP150" s="70"/>
      <c r="AWQ150" s="70"/>
      <c r="AWR150" s="70"/>
      <c r="AWS150" s="70"/>
      <c r="AWT150" s="70"/>
      <c r="AWU150" s="70"/>
      <c r="AWV150" s="70"/>
      <c r="AWW150" s="70"/>
      <c r="AWX150" s="70"/>
      <c r="AWY150" s="70"/>
      <c r="AWZ150" s="70"/>
      <c r="AXA150" s="70"/>
      <c r="AXB150" s="70"/>
      <c r="AXC150" s="70"/>
      <c r="AXD150" s="70"/>
      <c r="AXE150" s="70"/>
      <c r="AXF150" s="70"/>
      <c r="AXG150" s="70"/>
      <c r="AXH150" s="70"/>
      <c r="AXI150" s="70"/>
      <c r="AXJ150" s="70"/>
      <c r="AXK150" s="70"/>
      <c r="AXL150" s="70"/>
      <c r="AXM150" s="70"/>
      <c r="AXN150" s="70"/>
      <c r="AXO150" s="70"/>
      <c r="AXP150" s="70"/>
      <c r="AXQ150" s="70"/>
      <c r="AXR150" s="70"/>
      <c r="AXS150" s="70"/>
      <c r="AXT150" s="70"/>
      <c r="AXU150" s="70"/>
      <c r="AXV150" s="70"/>
      <c r="AXW150" s="70"/>
      <c r="AXX150" s="70"/>
      <c r="AXY150" s="70"/>
      <c r="AXZ150" s="70"/>
      <c r="AYA150" s="70"/>
      <c r="AYB150" s="70"/>
      <c r="AYC150" s="70"/>
      <c r="AYD150" s="70"/>
      <c r="AYE150" s="70"/>
      <c r="AYF150" s="70"/>
      <c r="AYG150" s="70"/>
      <c r="AYH150" s="70"/>
      <c r="AYI150" s="70"/>
      <c r="AYJ150" s="70"/>
      <c r="AYK150" s="70"/>
      <c r="AYL150" s="70"/>
      <c r="AYM150" s="70"/>
      <c r="AYN150" s="70"/>
      <c r="AYO150" s="70"/>
      <c r="AYP150" s="70"/>
      <c r="AYQ150" s="70"/>
      <c r="AYR150" s="70"/>
      <c r="AYS150" s="70"/>
      <c r="AYT150" s="70"/>
      <c r="AYU150" s="70"/>
      <c r="AYV150" s="70"/>
      <c r="AYW150" s="70"/>
      <c r="AYX150" s="70"/>
      <c r="AYY150" s="70"/>
      <c r="AYZ150" s="70"/>
      <c r="AZA150" s="70"/>
      <c r="AZB150" s="70"/>
      <c r="AZC150" s="70"/>
      <c r="AZD150" s="70"/>
      <c r="AZE150" s="70"/>
      <c r="AZF150" s="70"/>
      <c r="AZG150" s="70"/>
      <c r="AZH150" s="70"/>
      <c r="AZI150" s="70"/>
      <c r="AZJ150" s="70"/>
      <c r="AZK150" s="70"/>
      <c r="AZL150" s="70"/>
      <c r="AZM150" s="70"/>
      <c r="AZN150" s="70"/>
      <c r="AZO150" s="70"/>
      <c r="AZP150" s="70"/>
      <c r="AZQ150" s="70"/>
      <c r="AZR150" s="70"/>
      <c r="AZS150" s="70"/>
      <c r="AZT150" s="70"/>
      <c r="AZU150" s="70"/>
      <c r="AZV150" s="70"/>
      <c r="AZW150" s="70"/>
      <c r="AZX150" s="70"/>
      <c r="AZY150" s="70"/>
      <c r="AZZ150" s="70"/>
      <c r="BAA150" s="70"/>
      <c r="BAB150" s="70"/>
      <c r="BAC150" s="70"/>
      <c r="BAD150" s="70"/>
      <c r="BAE150" s="70"/>
      <c r="BAF150" s="70"/>
      <c r="BAG150" s="70"/>
      <c r="BAH150" s="70"/>
      <c r="BAI150" s="70"/>
      <c r="BAJ150" s="70"/>
      <c r="BAK150" s="70"/>
      <c r="BAL150" s="70"/>
      <c r="BAM150" s="70"/>
      <c r="BAN150" s="70"/>
      <c r="BAO150" s="70"/>
      <c r="BAP150" s="70"/>
      <c r="BAQ150" s="70"/>
      <c r="BAR150" s="70"/>
      <c r="BAS150" s="70"/>
      <c r="BAT150" s="70"/>
      <c r="BAU150" s="70"/>
      <c r="BAV150" s="70"/>
      <c r="BAW150" s="70"/>
      <c r="BAX150" s="70"/>
      <c r="BAY150" s="70"/>
      <c r="BAZ150" s="70"/>
      <c r="BBA150" s="70"/>
      <c r="BBB150" s="70"/>
      <c r="BBC150" s="70"/>
      <c r="BBD150" s="70"/>
      <c r="BBE150" s="70"/>
      <c r="BBF150" s="70"/>
      <c r="BBG150" s="70"/>
      <c r="BBH150" s="70"/>
      <c r="BBI150" s="70"/>
      <c r="BBJ150" s="70"/>
      <c r="BBK150" s="70"/>
      <c r="BBL150" s="70"/>
      <c r="BBM150" s="70"/>
      <c r="BBN150" s="70"/>
      <c r="BBO150" s="70"/>
      <c r="BBP150" s="70"/>
      <c r="BBQ150" s="70"/>
      <c r="BBR150" s="70"/>
      <c r="BBS150" s="70"/>
      <c r="BBT150" s="70"/>
      <c r="BBU150" s="70"/>
      <c r="BBV150" s="70"/>
      <c r="BBW150" s="70"/>
      <c r="BBX150" s="70"/>
      <c r="BBY150" s="70"/>
      <c r="BBZ150" s="70"/>
      <c r="BCA150" s="70"/>
      <c r="BCB150" s="70"/>
      <c r="BCC150" s="70"/>
      <c r="BCD150" s="70"/>
      <c r="BCE150" s="70"/>
      <c r="BCF150" s="70"/>
      <c r="BCG150" s="70"/>
      <c r="BCH150" s="70"/>
      <c r="BCI150" s="70"/>
      <c r="BCJ150" s="70"/>
      <c r="BCK150" s="70"/>
      <c r="BCL150" s="70"/>
      <c r="BCM150" s="70"/>
      <c r="BCN150" s="70"/>
      <c r="BCO150" s="70"/>
      <c r="BCP150" s="70"/>
      <c r="BCQ150" s="70"/>
      <c r="BCR150" s="70"/>
      <c r="BCS150" s="70"/>
      <c r="BCT150" s="70"/>
      <c r="BCU150" s="70"/>
      <c r="BCV150" s="70"/>
      <c r="BCW150" s="70"/>
    </row>
    <row r="151" spans="1:1453" s="69" customFormat="1" ht="24.75" customHeight="1" x14ac:dyDescent="0.25">
      <c r="A151" s="50">
        <v>28</v>
      </c>
      <c r="B151" s="73" t="s">
        <v>640</v>
      </c>
      <c r="C151" s="73" t="s">
        <v>641</v>
      </c>
      <c r="D151" s="52">
        <v>2575706.1</v>
      </c>
      <c r="E151" s="72" t="s">
        <v>642</v>
      </c>
      <c r="F151" s="73" t="s">
        <v>68</v>
      </c>
      <c r="G151" s="71"/>
      <c r="H151" s="71"/>
      <c r="J151"/>
      <c r="K151"/>
      <c r="L151"/>
      <c r="M151"/>
      <c r="N151"/>
      <c r="O151"/>
      <c r="P151"/>
      <c r="Q151"/>
      <c r="R151"/>
      <c r="S151"/>
      <c r="T151"/>
      <c r="U151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70"/>
      <c r="HW151" s="70"/>
      <c r="HX151" s="70"/>
      <c r="HY151" s="70"/>
      <c r="HZ151" s="70"/>
      <c r="IA151" s="70"/>
      <c r="IB151" s="70"/>
      <c r="IC151" s="70"/>
      <c r="ID151" s="70"/>
      <c r="IE151" s="70"/>
      <c r="IF151" s="70"/>
      <c r="IG151" s="70"/>
      <c r="IH151" s="70"/>
      <c r="II151" s="70"/>
      <c r="IJ151" s="70"/>
      <c r="IK151" s="70"/>
      <c r="IL151" s="70"/>
      <c r="IM151" s="70"/>
      <c r="IN151" s="70"/>
      <c r="IO151" s="70"/>
      <c r="IP151" s="70"/>
      <c r="IQ151" s="70"/>
      <c r="IR151" s="70"/>
      <c r="IS151" s="70"/>
      <c r="IT151" s="70"/>
      <c r="IU151" s="70"/>
      <c r="IV151" s="70"/>
      <c r="IW151" s="70"/>
      <c r="IX151" s="70"/>
      <c r="IY151" s="70"/>
      <c r="IZ151" s="70"/>
      <c r="JA151" s="70"/>
      <c r="JB151" s="70"/>
      <c r="JC151" s="70"/>
      <c r="JD151" s="70"/>
      <c r="JE151" s="70"/>
      <c r="JF151" s="70"/>
      <c r="JG151" s="70"/>
      <c r="JH151" s="70"/>
      <c r="JI151" s="70"/>
      <c r="JJ151" s="70"/>
      <c r="JK151" s="70"/>
      <c r="JL151" s="70"/>
      <c r="JM151" s="70"/>
      <c r="JN151" s="70"/>
      <c r="JO151" s="70"/>
      <c r="JP151" s="70"/>
      <c r="JQ151" s="70"/>
      <c r="JR151" s="70"/>
      <c r="JS151" s="70"/>
      <c r="JT151" s="70"/>
      <c r="JU151" s="70"/>
      <c r="JV151" s="70"/>
      <c r="JW151" s="70"/>
      <c r="JX151" s="70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70"/>
      <c r="KN151" s="70"/>
      <c r="KO151" s="70"/>
      <c r="KP151" s="70"/>
      <c r="KQ151" s="70"/>
      <c r="KR151" s="70"/>
      <c r="KS151" s="70"/>
      <c r="KT151" s="70"/>
      <c r="KU151" s="70"/>
      <c r="KV151" s="70"/>
      <c r="KW151" s="70"/>
      <c r="KX151" s="70"/>
      <c r="KY151" s="70"/>
      <c r="KZ151" s="70"/>
      <c r="LA151" s="70"/>
      <c r="LB151" s="70"/>
      <c r="LC151" s="70"/>
      <c r="LD151" s="70"/>
      <c r="LE151" s="70"/>
      <c r="LF151" s="70"/>
      <c r="LG151" s="70"/>
      <c r="LH151" s="70"/>
      <c r="LI151" s="70"/>
      <c r="LJ151" s="70"/>
      <c r="LK151" s="70"/>
      <c r="LL151" s="70"/>
      <c r="LM151" s="70"/>
      <c r="LN151" s="70"/>
      <c r="LO151" s="70"/>
      <c r="LP151" s="70"/>
      <c r="LQ151" s="70"/>
      <c r="LR151" s="70"/>
      <c r="LS151" s="70"/>
      <c r="LT151" s="70"/>
      <c r="LU151" s="70"/>
      <c r="LV151" s="70"/>
      <c r="LW151" s="70"/>
      <c r="LX151" s="70"/>
      <c r="LY151" s="70"/>
      <c r="LZ151" s="70"/>
      <c r="MA151" s="70"/>
      <c r="MB151" s="70"/>
      <c r="MC151" s="70"/>
      <c r="MD151" s="70"/>
      <c r="ME151" s="70"/>
      <c r="MF151" s="70"/>
      <c r="MG151" s="70"/>
      <c r="MH151" s="70"/>
      <c r="MI151" s="70"/>
      <c r="MJ151" s="70"/>
      <c r="MK151" s="70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70"/>
      <c r="NA151" s="70"/>
      <c r="NB151" s="70"/>
      <c r="NC151" s="70"/>
      <c r="ND151" s="70"/>
      <c r="NE151" s="70"/>
      <c r="NF151" s="70"/>
      <c r="NG151" s="70"/>
      <c r="NH151" s="70"/>
      <c r="NI151" s="70"/>
      <c r="NJ151" s="70"/>
      <c r="NK151" s="70"/>
      <c r="NL151" s="70"/>
      <c r="NM151" s="70"/>
      <c r="NN151" s="70"/>
      <c r="NO151" s="70"/>
      <c r="NP151" s="70"/>
      <c r="NQ151" s="70"/>
      <c r="NR151" s="70"/>
      <c r="NS151" s="70"/>
      <c r="NT151" s="70"/>
      <c r="NU151" s="70"/>
      <c r="NV151" s="70"/>
      <c r="NW151" s="70"/>
      <c r="NX151" s="70"/>
      <c r="NY151" s="70"/>
      <c r="NZ151" s="70"/>
      <c r="OA151" s="70"/>
      <c r="OB151" s="70"/>
      <c r="OC151" s="70"/>
      <c r="OD151" s="70"/>
      <c r="OE151" s="70"/>
      <c r="OF151" s="70"/>
      <c r="OG151" s="70"/>
      <c r="OH151" s="70"/>
      <c r="OI151" s="70"/>
      <c r="OJ151" s="70"/>
      <c r="OK151" s="70"/>
      <c r="OL151" s="70"/>
      <c r="OM151" s="70"/>
      <c r="ON151" s="70"/>
      <c r="OO151" s="70"/>
      <c r="OP151" s="70"/>
      <c r="OQ151" s="70"/>
      <c r="OR151" s="70"/>
      <c r="OS151" s="70"/>
      <c r="OT151" s="70"/>
      <c r="OU151" s="70"/>
      <c r="OV151" s="70"/>
      <c r="OW151" s="70"/>
      <c r="OX151" s="70"/>
      <c r="OY151" s="70"/>
      <c r="OZ151" s="70"/>
      <c r="PA151" s="70"/>
      <c r="PB151" s="70"/>
      <c r="PC151" s="70"/>
      <c r="PD151" s="70"/>
      <c r="PE151" s="70"/>
      <c r="PF151" s="70"/>
      <c r="PG151" s="70"/>
      <c r="PH151" s="70"/>
      <c r="PI151" s="70"/>
      <c r="PJ151" s="70"/>
      <c r="PK151" s="70"/>
      <c r="PL151" s="70"/>
      <c r="PM151" s="70"/>
      <c r="PN151" s="70"/>
      <c r="PO151" s="70"/>
      <c r="PP151" s="70"/>
      <c r="PQ151" s="70"/>
      <c r="PR151" s="70"/>
      <c r="PS151" s="70"/>
      <c r="PT151" s="70"/>
      <c r="PU151" s="70"/>
      <c r="PV151" s="70"/>
      <c r="PW151" s="70"/>
      <c r="PX151" s="70"/>
      <c r="PY151" s="70"/>
      <c r="PZ151" s="70"/>
      <c r="QA151" s="70"/>
      <c r="QB151" s="70"/>
      <c r="QC151" s="70"/>
      <c r="QD151" s="70"/>
      <c r="QE151" s="70"/>
      <c r="QF151" s="70"/>
      <c r="QG151" s="70"/>
      <c r="QH151" s="70"/>
      <c r="QI151" s="70"/>
      <c r="QJ151" s="70"/>
      <c r="QK151" s="70"/>
      <c r="QL151" s="70"/>
      <c r="QM151" s="70"/>
      <c r="QN151" s="70"/>
      <c r="QO151" s="70"/>
      <c r="QP151" s="70"/>
      <c r="QQ151" s="70"/>
      <c r="QR151" s="70"/>
      <c r="QS151" s="70"/>
      <c r="QT151" s="70"/>
      <c r="QU151" s="70"/>
      <c r="QV151" s="70"/>
      <c r="QW151" s="70"/>
      <c r="QX151" s="70"/>
      <c r="QY151" s="70"/>
      <c r="QZ151" s="70"/>
      <c r="RA151" s="70"/>
      <c r="RB151" s="70"/>
      <c r="RC151" s="70"/>
      <c r="RD151" s="70"/>
      <c r="RE151" s="70"/>
      <c r="RF151" s="70"/>
      <c r="RG151" s="70"/>
      <c r="RH151" s="70"/>
      <c r="RI151" s="70"/>
      <c r="RJ151" s="70"/>
      <c r="RK151" s="70"/>
      <c r="RL151" s="70"/>
      <c r="RM151" s="70"/>
      <c r="RN151" s="70"/>
      <c r="RO151" s="70"/>
      <c r="RP151" s="70"/>
      <c r="RQ151" s="70"/>
      <c r="RR151" s="70"/>
      <c r="RS151" s="70"/>
      <c r="RT151" s="70"/>
      <c r="RU151" s="70"/>
      <c r="RV151" s="70"/>
      <c r="RW151" s="70"/>
      <c r="RX151" s="70"/>
      <c r="RY151" s="70"/>
      <c r="RZ151" s="70"/>
      <c r="SA151" s="70"/>
      <c r="SB151" s="70"/>
      <c r="SC151" s="70"/>
      <c r="SD151" s="70"/>
      <c r="SE151" s="70"/>
      <c r="SF151" s="70"/>
      <c r="SG151" s="70"/>
      <c r="SH151" s="70"/>
      <c r="SI151" s="70"/>
      <c r="SJ151" s="70"/>
      <c r="SK151" s="70"/>
      <c r="SL151" s="70"/>
      <c r="SM151" s="70"/>
      <c r="SN151" s="70"/>
      <c r="SO151" s="70"/>
      <c r="SP151" s="70"/>
      <c r="SQ151" s="70"/>
      <c r="SR151" s="70"/>
      <c r="SS151" s="70"/>
      <c r="ST151" s="70"/>
      <c r="SU151" s="70"/>
      <c r="SV151" s="70"/>
      <c r="SW151" s="70"/>
      <c r="SX151" s="70"/>
      <c r="SY151" s="70"/>
      <c r="SZ151" s="70"/>
      <c r="TA151" s="70"/>
      <c r="TB151" s="70"/>
      <c r="TC151" s="70"/>
      <c r="TD151" s="70"/>
      <c r="TE151" s="70"/>
      <c r="TF151" s="70"/>
      <c r="TG151" s="70"/>
      <c r="TH151" s="70"/>
      <c r="TI151" s="70"/>
      <c r="TJ151" s="70"/>
      <c r="TK151" s="70"/>
      <c r="TL151" s="70"/>
      <c r="TM151" s="70"/>
      <c r="TN151" s="70"/>
      <c r="TO151" s="70"/>
      <c r="TP151" s="70"/>
      <c r="TQ151" s="70"/>
      <c r="TR151" s="70"/>
      <c r="TS151" s="70"/>
      <c r="TT151" s="70"/>
      <c r="TU151" s="70"/>
      <c r="TV151" s="70"/>
      <c r="TW151" s="70"/>
      <c r="TX151" s="70"/>
      <c r="TY151" s="70"/>
      <c r="TZ151" s="70"/>
      <c r="UA151" s="70"/>
      <c r="UB151" s="70"/>
      <c r="UC151" s="70"/>
      <c r="UD151" s="70"/>
      <c r="UE151" s="70"/>
      <c r="UF151" s="70"/>
      <c r="UG151" s="70"/>
      <c r="UH151" s="70"/>
      <c r="UI151" s="70"/>
      <c r="UJ151" s="70"/>
      <c r="UK151" s="70"/>
      <c r="UL151" s="70"/>
      <c r="UM151" s="70"/>
      <c r="UN151" s="70"/>
      <c r="UO151" s="70"/>
      <c r="UP151" s="70"/>
      <c r="UQ151" s="70"/>
      <c r="UR151" s="70"/>
      <c r="US151" s="70"/>
      <c r="UT151" s="70"/>
      <c r="UU151" s="70"/>
      <c r="UV151" s="70"/>
      <c r="UW151" s="70"/>
      <c r="UX151" s="70"/>
      <c r="UY151" s="70"/>
      <c r="UZ151" s="70"/>
      <c r="VA151" s="70"/>
      <c r="VB151" s="70"/>
      <c r="VC151" s="70"/>
      <c r="VD151" s="70"/>
      <c r="VE151" s="70"/>
      <c r="VF151" s="70"/>
      <c r="VG151" s="70"/>
      <c r="VH151" s="70"/>
      <c r="VI151" s="70"/>
      <c r="VJ151" s="70"/>
      <c r="VK151" s="70"/>
      <c r="VL151" s="70"/>
      <c r="VM151" s="70"/>
      <c r="VN151" s="70"/>
      <c r="VO151" s="70"/>
      <c r="VP151" s="70"/>
      <c r="VQ151" s="70"/>
      <c r="VR151" s="70"/>
      <c r="VS151" s="70"/>
      <c r="VT151" s="70"/>
      <c r="VU151" s="70"/>
      <c r="VV151" s="70"/>
      <c r="VW151" s="70"/>
      <c r="VX151" s="70"/>
      <c r="VY151" s="70"/>
      <c r="VZ151" s="70"/>
      <c r="WA151" s="70"/>
      <c r="WB151" s="70"/>
      <c r="WC151" s="70"/>
      <c r="WD151" s="70"/>
      <c r="WE151" s="70"/>
      <c r="WF151" s="70"/>
      <c r="WG151" s="70"/>
      <c r="WH151" s="70"/>
      <c r="WI151" s="70"/>
      <c r="WJ151" s="70"/>
      <c r="WK151" s="70"/>
      <c r="WL151" s="70"/>
      <c r="WM151" s="70"/>
      <c r="WN151" s="70"/>
      <c r="WO151" s="70"/>
      <c r="WP151" s="70"/>
      <c r="WQ151" s="70"/>
      <c r="WR151" s="70"/>
      <c r="WS151" s="70"/>
      <c r="WT151" s="70"/>
      <c r="WU151" s="70"/>
      <c r="WV151" s="70"/>
      <c r="WW151" s="70"/>
      <c r="WX151" s="70"/>
      <c r="WY151" s="70"/>
      <c r="WZ151" s="70"/>
      <c r="XA151" s="70"/>
      <c r="XB151" s="70"/>
      <c r="XC151" s="70"/>
      <c r="XD151" s="70"/>
      <c r="XE151" s="70"/>
      <c r="XF151" s="70"/>
      <c r="XG151" s="70"/>
      <c r="XH151" s="70"/>
      <c r="XI151" s="70"/>
      <c r="XJ151" s="70"/>
      <c r="XK151" s="70"/>
      <c r="XL151" s="70"/>
      <c r="XM151" s="70"/>
      <c r="XN151" s="70"/>
      <c r="XO151" s="70"/>
      <c r="XP151" s="70"/>
      <c r="XQ151" s="70"/>
      <c r="XR151" s="70"/>
      <c r="XS151" s="70"/>
      <c r="XT151" s="70"/>
      <c r="XU151" s="70"/>
      <c r="XV151" s="70"/>
      <c r="XW151" s="70"/>
      <c r="XX151" s="70"/>
      <c r="XY151" s="70"/>
      <c r="XZ151" s="70"/>
      <c r="YA151" s="70"/>
      <c r="YB151" s="70"/>
      <c r="YC151" s="70"/>
      <c r="YD151" s="70"/>
      <c r="YE151" s="70"/>
      <c r="YF151" s="70"/>
      <c r="YG151" s="70"/>
      <c r="YH151" s="70"/>
      <c r="YI151" s="70"/>
      <c r="YJ151" s="70"/>
      <c r="YK151" s="70"/>
      <c r="YL151" s="70"/>
      <c r="YM151" s="70"/>
      <c r="YN151" s="70"/>
      <c r="YO151" s="70"/>
      <c r="YP151" s="70"/>
      <c r="YQ151" s="70"/>
      <c r="YR151" s="70"/>
      <c r="YS151" s="70"/>
      <c r="YT151" s="70"/>
      <c r="YU151" s="70"/>
      <c r="YV151" s="70"/>
      <c r="YW151" s="70"/>
      <c r="YX151" s="70"/>
      <c r="YY151" s="70"/>
      <c r="YZ151" s="70"/>
      <c r="ZA151" s="70"/>
      <c r="ZB151" s="70"/>
      <c r="ZC151" s="70"/>
      <c r="ZD151" s="70"/>
      <c r="ZE151" s="70"/>
      <c r="ZF151" s="70"/>
      <c r="ZG151" s="70"/>
      <c r="ZH151" s="70"/>
      <c r="ZI151" s="70"/>
      <c r="ZJ151" s="70"/>
      <c r="ZK151" s="70"/>
      <c r="ZL151" s="70"/>
      <c r="ZM151" s="70"/>
      <c r="ZN151" s="70"/>
      <c r="ZO151" s="70"/>
      <c r="ZP151" s="70"/>
      <c r="ZQ151" s="70"/>
      <c r="ZR151" s="70"/>
      <c r="ZS151" s="70"/>
      <c r="ZT151" s="70"/>
      <c r="ZU151" s="70"/>
      <c r="ZV151" s="70"/>
      <c r="ZW151" s="70"/>
      <c r="ZX151" s="70"/>
      <c r="ZY151" s="70"/>
      <c r="ZZ151" s="70"/>
      <c r="AAA151" s="70"/>
      <c r="AAB151" s="70"/>
      <c r="AAC151" s="70"/>
      <c r="AAD151" s="70"/>
      <c r="AAE151" s="70"/>
      <c r="AAF151" s="70"/>
      <c r="AAG151" s="70"/>
      <c r="AAH151" s="70"/>
      <c r="AAI151" s="70"/>
      <c r="AAJ151" s="70"/>
      <c r="AAK151" s="70"/>
      <c r="AAL151" s="70"/>
      <c r="AAM151" s="70"/>
      <c r="AAN151" s="70"/>
      <c r="AAO151" s="70"/>
      <c r="AAP151" s="70"/>
      <c r="AAQ151" s="70"/>
      <c r="AAR151" s="70"/>
      <c r="AAS151" s="70"/>
      <c r="AAT151" s="70"/>
      <c r="AAU151" s="70"/>
      <c r="AAV151" s="70"/>
      <c r="AAW151" s="70"/>
      <c r="AAX151" s="70"/>
      <c r="AAY151" s="70"/>
      <c r="AAZ151" s="70"/>
      <c r="ABA151" s="70"/>
      <c r="ABB151" s="70"/>
      <c r="ABC151" s="70"/>
      <c r="ABD151" s="70"/>
      <c r="ABE151" s="70"/>
      <c r="ABF151" s="70"/>
      <c r="ABG151" s="70"/>
      <c r="ABH151" s="70"/>
      <c r="ABI151" s="70"/>
      <c r="ABJ151" s="70"/>
      <c r="ABK151" s="70"/>
      <c r="ABL151" s="70"/>
      <c r="ABM151" s="70"/>
      <c r="ABN151" s="70"/>
      <c r="ABO151" s="70"/>
      <c r="ABP151" s="70"/>
      <c r="ABQ151" s="70"/>
      <c r="ABR151" s="70"/>
      <c r="ABS151" s="70"/>
      <c r="ABT151" s="70"/>
      <c r="ABU151" s="70"/>
      <c r="ABV151" s="70"/>
      <c r="ABW151" s="70"/>
      <c r="ABX151" s="70"/>
      <c r="ABY151" s="70"/>
      <c r="ABZ151" s="70"/>
      <c r="ACA151" s="70"/>
      <c r="ACB151" s="70"/>
      <c r="ACC151" s="70"/>
      <c r="ACD151" s="70"/>
      <c r="ACE151" s="70"/>
      <c r="ACF151" s="70"/>
      <c r="ACG151" s="70"/>
      <c r="ACH151" s="70"/>
      <c r="ACI151" s="70"/>
      <c r="ACJ151" s="70"/>
      <c r="ACK151" s="70"/>
      <c r="ACL151" s="70"/>
      <c r="ACM151" s="70"/>
      <c r="ACN151" s="70"/>
      <c r="ACO151" s="70"/>
      <c r="ACP151" s="70"/>
      <c r="ACQ151" s="70"/>
      <c r="ACR151" s="70"/>
      <c r="ACS151" s="70"/>
      <c r="ACT151" s="70"/>
      <c r="ACU151" s="70"/>
      <c r="ACV151" s="70"/>
      <c r="ACW151" s="70"/>
      <c r="ACX151" s="70"/>
      <c r="ACY151" s="70"/>
      <c r="ACZ151" s="70"/>
      <c r="ADA151" s="70"/>
      <c r="ADB151" s="70"/>
      <c r="ADC151" s="70"/>
      <c r="ADD151" s="70"/>
      <c r="ADE151" s="70"/>
      <c r="ADF151" s="70"/>
      <c r="ADG151" s="70"/>
      <c r="ADH151" s="70"/>
      <c r="ADI151" s="70"/>
      <c r="ADJ151" s="70"/>
      <c r="ADK151" s="70"/>
      <c r="ADL151" s="70"/>
      <c r="ADM151" s="70"/>
      <c r="ADN151" s="70"/>
      <c r="ADO151" s="70"/>
      <c r="ADP151" s="70"/>
      <c r="ADQ151" s="70"/>
      <c r="ADR151" s="70"/>
      <c r="ADS151" s="70"/>
      <c r="ADT151" s="70"/>
      <c r="ADU151" s="70"/>
      <c r="ADV151" s="70"/>
      <c r="ADW151" s="70"/>
      <c r="ADX151" s="70"/>
      <c r="ADY151" s="70"/>
      <c r="ADZ151" s="70"/>
      <c r="AEA151" s="70"/>
      <c r="AEB151" s="70"/>
      <c r="AEC151" s="70"/>
      <c r="AED151" s="70"/>
      <c r="AEE151" s="70"/>
      <c r="AEF151" s="70"/>
      <c r="AEG151" s="70"/>
      <c r="AEH151" s="70"/>
      <c r="AEI151" s="70"/>
      <c r="AEJ151" s="70"/>
      <c r="AEK151" s="70"/>
      <c r="AEL151" s="70"/>
      <c r="AEM151" s="70"/>
      <c r="AEN151" s="70"/>
      <c r="AEO151" s="70"/>
      <c r="AEP151" s="70"/>
      <c r="AEQ151" s="70"/>
      <c r="AER151" s="70"/>
      <c r="AES151" s="70"/>
      <c r="AET151" s="70"/>
      <c r="AEU151" s="70"/>
      <c r="AEV151" s="70"/>
      <c r="AEW151" s="70"/>
      <c r="AEX151" s="70"/>
      <c r="AEY151" s="70"/>
      <c r="AEZ151" s="70"/>
      <c r="AFA151" s="70"/>
      <c r="AFB151" s="70"/>
      <c r="AFC151" s="70"/>
      <c r="AFD151" s="70"/>
      <c r="AFE151" s="70"/>
      <c r="AFF151" s="70"/>
      <c r="AFG151" s="70"/>
      <c r="AFH151" s="70"/>
      <c r="AFI151" s="70"/>
      <c r="AFJ151" s="70"/>
      <c r="AFK151" s="70"/>
      <c r="AFL151" s="70"/>
      <c r="AFM151" s="70"/>
      <c r="AFN151" s="70"/>
      <c r="AFO151" s="70"/>
      <c r="AFP151" s="70"/>
      <c r="AFQ151" s="70"/>
      <c r="AFR151" s="70"/>
      <c r="AFS151" s="70"/>
      <c r="AFT151" s="70"/>
      <c r="AFU151" s="70"/>
      <c r="AFV151" s="70"/>
      <c r="AFW151" s="70"/>
      <c r="AFX151" s="70"/>
      <c r="AFY151" s="70"/>
      <c r="AFZ151" s="70"/>
      <c r="AGA151" s="70"/>
      <c r="AGB151" s="70"/>
      <c r="AGC151" s="70"/>
      <c r="AGD151" s="70"/>
      <c r="AGE151" s="70"/>
      <c r="AGF151" s="70"/>
      <c r="AGG151" s="70"/>
      <c r="AGH151" s="70"/>
      <c r="AGI151" s="70"/>
      <c r="AGJ151" s="70"/>
      <c r="AGK151" s="70"/>
      <c r="AGL151" s="70"/>
      <c r="AGM151" s="70"/>
      <c r="AGN151" s="70"/>
      <c r="AGO151" s="70"/>
      <c r="AGP151" s="70"/>
      <c r="AGQ151" s="70"/>
      <c r="AGR151" s="70"/>
      <c r="AGS151" s="70"/>
      <c r="AGT151" s="70"/>
      <c r="AGU151" s="70"/>
      <c r="AGV151" s="70"/>
      <c r="AGW151" s="70"/>
      <c r="AGX151" s="70"/>
      <c r="AGY151" s="70"/>
      <c r="AGZ151" s="70"/>
      <c r="AHA151" s="70"/>
      <c r="AHB151" s="70"/>
      <c r="AHC151" s="70"/>
      <c r="AHD151" s="70"/>
      <c r="AHE151" s="70"/>
      <c r="AHF151" s="70"/>
      <c r="AHG151" s="70"/>
      <c r="AHH151" s="70"/>
      <c r="AHI151" s="70"/>
      <c r="AHJ151" s="70"/>
      <c r="AHK151" s="70"/>
      <c r="AHL151" s="70"/>
      <c r="AHM151" s="70"/>
      <c r="AHN151" s="70"/>
      <c r="AHO151" s="70"/>
      <c r="AHP151" s="70"/>
      <c r="AHQ151" s="70"/>
      <c r="AHR151" s="70"/>
      <c r="AHS151" s="70"/>
      <c r="AHT151" s="70"/>
      <c r="AHU151" s="70"/>
      <c r="AHV151" s="70"/>
      <c r="AHW151" s="70"/>
      <c r="AHX151" s="70"/>
      <c r="AHY151" s="70"/>
      <c r="AHZ151" s="70"/>
      <c r="AIA151" s="70"/>
      <c r="AIB151" s="70"/>
      <c r="AIC151" s="70"/>
      <c r="AID151" s="70"/>
      <c r="AIE151" s="70"/>
      <c r="AIF151" s="70"/>
      <c r="AIG151" s="70"/>
      <c r="AIH151" s="70"/>
      <c r="AII151" s="70"/>
      <c r="AIJ151" s="70"/>
      <c r="AIK151" s="70"/>
      <c r="AIL151" s="70"/>
      <c r="AIM151" s="70"/>
      <c r="AIN151" s="70"/>
      <c r="AIO151" s="70"/>
      <c r="AIP151" s="70"/>
      <c r="AIQ151" s="70"/>
      <c r="AIR151" s="70"/>
      <c r="AIS151" s="70"/>
      <c r="AIT151" s="70"/>
      <c r="AIU151" s="70"/>
      <c r="AIV151" s="70"/>
      <c r="AIW151" s="70"/>
      <c r="AIX151" s="70"/>
      <c r="AIY151" s="70"/>
      <c r="AIZ151" s="70"/>
      <c r="AJA151" s="70"/>
      <c r="AJB151" s="70"/>
      <c r="AJC151" s="70"/>
      <c r="AJD151" s="70"/>
      <c r="AJE151" s="70"/>
      <c r="AJF151" s="70"/>
      <c r="AJG151" s="70"/>
      <c r="AJH151" s="70"/>
      <c r="AJI151" s="70"/>
      <c r="AJJ151" s="70"/>
      <c r="AJK151" s="70"/>
      <c r="AJL151" s="70"/>
      <c r="AJM151" s="70"/>
      <c r="AJN151" s="70"/>
      <c r="AJO151" s="70"/>
      <c r="AJP151" s="70"/>
      <c r="AJQ151" s="70"/>
      <c r="AJR151" s="70"/>
      <c r="AJS151" s="70"/>
      <c r="AJT151" s="70"/>
      <c r="AJU151" s="70"/>
      <c r="AJV151" s="70"/>
      <c r="AJW151" s="70"/>
      <c r="AJX151" s="70"/>
      <c r="AJY151" s="70"/>
      <c r="AJZ151" s="70"/>
      <c r="AKA151" s="70"/>
      <c r="AKB151" s="70"/>
      <c r="AKC151" s="70"/>
      <c r="AKD151" s="70"/>
      <c r="AKE151" s="70"/>
      <c r="AKF151" s="70"/>
      <c r="AKG151" s="70"/>
      <c r="AKH151" s="70"/>
      <c r="AKI151" s="70"/>
      <c r="AKJ151" s="70"/>
      <c r="AKK151" s="70"/>
      <c r="AKL151" s="70"/>
      <c r="AKM151" s="70"/>
      <c r="AKN151" s="70"/>
      <c r="AKO151" s="70"/>
      <c r="AKP151" s="70"/>
      <c r="AKQ151" s="70"/>
      <c r="AKR151" s="70"/>
      <c r="AKS151" s="70"/>
      <c r="AKT151" s="70"/>
      <c r="AKU151" s="70"/>
      <c r="AKV151" s="70"/>
      <c r="AKW151" s="70"/>
      <c r="AKX151" s="70"/>
      <c r="AKY151" s="70"/>
      <c r="AKZ151" s="70"/>
      <c r="ALA151" s="70"/>
      <c r="ALB151" s="70"/>
      <c r="ALC151" s="70"/>
      <c r="ALD151" s="70"/>
      <c r="ALE151" s="70"/>
      <c r="ALF151" s="70"/>
      <c r="ALG151" s="70"/>
      <c r="ALH151" s="70"/>
      <c r="ALI151" s="70"/>
      <c r="ALJ151" s="70"/>
      <c r="ALK151" s="70"/>
      <c r="ALL151" s="70"/>
      <c r="ALM151" s="70"/>
      <c r="ALN151" s="70"/>
      <c r="ALO151" s="70"/>
      <c r="ALP151" s="70"/>
      <c r="ALQ151" s="70"/>
      <c r="ALR151" s="70"/>
      <c r="ALS151" s="70"/>
      <c r="ALT151" s="70"/>
      <c r="ALU151" s="70"/>
      <c r="ALV151" s="70"/>
      <c r="ALW151" s="70"/>
      <c r="ALX151" s="70"/>
      <c r="ALY151" s="70"/>
      <c r="ALZ151" s="70"/>
      <c r="AMA151" s="70"/>
      <c r="AMB151" s="70"/>
      <c r="AMC151" s="70"/>
      <c r="AMD151" s="70"/>
      <c r="AME151" s="70"/>
      <c r="AMF151" s="70"/>
      <c r="AMG151" s="70"/>
      <c r="AMH151" s="70"/>
      <c r="AMI151" s="70"/>
      <c r="AMJ151" s="70"/>
      <c r="AMK151" s="70"/>
      <c r="AML151" s="70"/>
      <c r="AMM151" s="70"/>
      <c r="AMN151" s="70"/>
      <c r="AMO151" s="70"/>
      <c r="AMP151" s="70"/>
      <c r="AMQ151" s="70"/>
      <c r="AMR151" s="70"/>
      <c r="AMS151" s="70"/>
      <c r="AMT151" s="70"/>
      <c r="AMU151" s="70"/>
      <c r="AMV151" s="70"/>
      <c r="AMW151" s="70"/>
      <c r="AMX151" s="70"/>
      <c r="AMY151" s="70"/>
      <c r="AMZ151" s="70"/>
      <c r="ANA151" s="70"/>
      <c r="ANB151" s="70"/>
      <c r="ANC151" s="70"/>
      <c r="AND151" s="70"/>
      <c r="ANE151" s="70"/>
      <c r="ANF151" s="70"/>
      <c r="ANG151" s="70"/>
      <c r="ANH151" s="70"/>
      <c r="ANI151" s="70"/>
      <c r="ANJ151" s="70"/>
      <c r="ANK151" s="70"/>
      <c r="ANL151" s="70"/>
      <c r="ANM151" s="70"/>
      <c r="ANN151" s="70"/>
      <c r="ANO151" s="70"/>
      <c r="ANP151" s="70"/>
      <c r="ANQ151" s="70"/>
      <c r="ANR151" s="70"/>
      <c r="ANS151" s="70"/>
      <c r="ANT151" s="70"/>
      <c r="ANU151" s="70"/>
      <c r="ANV151" s="70"/>
      <c r="ANW151" s="70"/>
      <c r="ANX151" s="70"/>
      <c r="ANY151" s="70"/>
      <c r="ANZ151" s="70"/>
      <c r="AOA151" s="70"/>
      <c r="AOB151" s="70"/>
      <c r="AOC151" s="70"/>
      <c r="AOD151" s="70"/>
      <c r="AOE151" s="70"/>
      <c r="AOF151" s="70"/>
      <c r="AOG151" s="70"/>
      <c r="AOH151" s="70"/>
      <c r="AOI151" s="70"/>
      <c r="AOJ151" s="70"/>
      <c r="AOK151" s="70"/>
      <c r="AOL151" s="70"/>
      <c r="AOM151" s="70"/>
      <c r="AON151" s="70"/>
      <c r="AOO151" s="70"/>
      <c r="AOP151" s="70"/>
      <c r="AOQ151" s="70"/>
      <c r="AOR151" s="70"/>
      <c r="AOS151" s="70"/>
      <c r="AOT151" s="70"/>
      <c r="AOU151" s="70"/>
      <c r="AOV151" s="70"/>
      <c r="AOW151" s="70"/>
      <c r="AOX151" s="70"/>
      <c r="AOY151" s="70"/>
      <c r="AOZ151" s="70"/>
      <c r="APA151" s="70"/>
      <c r="APB151" s="70"/>
      <c r="APC151" s="70"/>
      <c r="APD151" s="70"/>
      <c r="APE151" s="70"/>
      <c r="APF151" s="70"/>
      <c r="APG151" s="70"/>
      <c r="APH151" s="70"/>
      <c r="API151" s="70"/>
      <c r="APJ151" s="70"/>
      <c r="APK151" s="70"/>
      <c r="APL151" s="70"/>
      <c r="APM151" s="70"/>
      <c r="APN151" s="70"/>
      <c r="APO151" s="70"/>
      <c r="APP151" s="70"/>
      <c r="APQ151" s="70"/>
      <c r="APR151" s="70"/>
      <c r="APS151" s="70"/>
      <c r="APT151" s="70"/>
      <c r="APU151" s="70"/>
      <c r="APV151" s="70"/>
      <c r="APW151" s="70"/>
      <c r="APX151" s="70"/>
      <c r="APY151" s="70"/>
      <c r="APZ151" s="70"/>
      <c r="AQA151" s="70"/>
      <c r="AQB151" s="70"/>
      <c r="AQC151" s="70"/>
      <c r="AQD151" s="70"/>
      <c r="AQE151" s="70"/>
      <c r="AQF151" s="70"/>
      <c r="AQG151" s="70"/>
      <c r="AQH151" s="70"/>
      <c r="AQI151" s="70"/>
      <c r="AQJ151" s="70"/>
      <c r="AQK151" s="70"/>
      <c r="AQL151" s="70"/>
      <c r="AQM151" s="70"/>
      <c r="AQN151" s="70"/>
      <c r="AQO151" s="70"/>
      <c r="AQP151" s="70"/>
      <c r="AQQ151" s="70"/>
      <c r="AQR151" s="70"/>
      <c r="AQS151" s="70"/>
      <c r="AQT151" s="70"/>
      <c r="AQU151" s="70"/>
      <c r="AQV151" s="70"/>
      <c r="AQW151" s="70"/>
      <c r="AQX151" s="70"/>
      <c r="AQY151" s="70"/>
      <c r="AQZ151" s="70"/>
      <c r="ARA151" s="70"/>
      <c r="ARB151" s="70"/>
      <c r="ARC151" s="70"/>
      <c r="ARD151" s="70"/>
      <c r="ARE151" s="70"/>
      <c r="ARF151" s="70"/>
      <c r="ARG151" s="70"/>
      <c r="ARH151" s="70"/>
      <c r="ARI151" s="70"/>
      <c r="ARJ151" s="70"/>
      <c r="ARK151" s="70"/>
      <c r="ARL151" s="70"/>
      <c r="ARM151" s="70"/>
      <c r="ARN151" s="70"/>
      <c r="ARO151" s="70"/>
      <c r="ARP151" s="70"/>
      <c r="ARQ151" s="70"/>
      <c r="ARR151" s="70"/>
      <c r="ARS151" s="70"/>
      <c r="ART151" s="70"/>
      <c r="ARU151" s="70"/>
      <c r="ARV151" s="70"/>
      <c r="ARW151" s="70"/>
      <c r="ARX151" s="70"/>
      <c r="ARY151" s="70"/>
      <c r="ARZ151" s="70"/>
      <c r="ASA151" s="70"/>
      <c r="ASB151" s="70"/>
      <c r="ASC151" s="70"/>
      <c r="ASD151" s="70"/>
      <c r="ASE151" s="70"/>
      <c r="ASF151" s="70"/>
      <c r="ASG151" s="70"/>
      <c r="ASH151" s="70"/>
      <c r="ASI151" s="70"/>
      <c r="ASJ151" s="70"/>
      <c r="ASK151" s="70"/>
      <c r="ASL151" s="70"/>
      <c r="ASM151" s="70"/>
      <c r="ASN151" s="70"/>
      <c r="ASO151" s="70"/>
      <c r="ASP151" s="70"/>
      <c r="ASQ151" s="70"/>
      <c r="ASR151" s="70"/>
      <c r="ASS151" s="70"/>
      <c r="AST151" s="70"/>
      <c r="ASU151" s="70"/>
      <c r="ASV151" s="70"/>
      <c r="ASW151" s="70"/>
      <c r="ASX151" s="70"/>
      <c r="ASY151" s="70"/>
      <c r="ASZ151" s="70"/>
      <c r="ATA151" s="70"/>
      <c r="ATB151" s="70"/>
      <c r="ATC151" s="70"/>
      <c r="ATD151" s="70"/>
      <c r="ATE151" s="70"/>
      <c r="ATF151" s="70"/>
      <c r="ATG151" s="70"/>
      <c r="ATH151" s="70"/>
      <c r="ATI151" s="70"/>
      <c r="ATJ151" s="70"/>
      <c r="ATK151" s="70"/>
      <c r="ATL151" s="70"/>
      <c r="ATM151" s="70"/>
      <c r="ATN151" s="70"/>
      <c r="ATO151" s="70"/>
      <c r="ATP151" s="70"/>
      <c r="ATQ151" s="70"/>
      <c r="ATR151" s="70"/>
      <c r="ATS151" s="70"/>
      <c r="ATT151" s="70"/>
      <c r="ATU151" s="70"/>
      <c r="ATV151" s="70"/>
      <c r="ATW151" s="70"/>
      <c r="ATX151" s="70"/>
      <c r="ATY151" s="70"/>
      <c r="ATZ151" s="70"/>
      <c r="AUA151" s="70"/>
      <c r="AUB151" s="70"/>
      <c r="AUC151" s="70"/>
      <c r="AUD151" s="70"/>
      <c r="AUE151" s="70"/>
      <c r="AUF151" s="70"/>
      <c r="AUG151" s="70"/>
      <c r="AUH151" s="70"/>
      <c r="AUI151" s="70"/>
      <c r="AUJ151" s="70"/>
      <c r="AUK151" s="70"/>
      <c r="AUL151" s="70"/>
      <c r="AUM151" s="70"/>
      <c r="AUN151" s="70"/>
      <c r="AUO151" s="70"/>
      <c r="AUP151" s="70"/>
      <c r="AUQ151" s="70"/>
      <c r="AUR151" s="70"/>
      <c r="AUS151" s="70"/>
      <c r="AUT151" s="70"/>
      <c r="AUU151" s="70"/>
      <c r="AUV151" s="70"/>
      <c r="AUW151" s="70"/>
      <c r="AUX151" s="70"/>
      <c r="AUY151" s="70"/>
      <c r="AUZ151" s="70"/>
      <c r="AVA151" s="70"/>
      <c r="AVB151" s="70"/>
      <c r="AVC151" s="70"/>
      <c r="AVD151" s="70"/>
      <c r="AVE151" s="70"/>
      <c r="AVF151" s="70"/>
      <c r="AVG151" s="70"/>
      <c r="AVH151" s="70"/>
      <c r="AVI151" s="70"/>
      <c r="AVJ151" s="70"/>
      <c r="AVK151" s="70"/>
      <c r="AVL151" s="70"/>
      <c r="AVM151" s="70"/>
      <c r="AVN151" s="70"/>
      <c r="AVO151" s="70"/>
      <c r="AVP151" s="70"/>
      <c r="AVQ151" s="70"/>
      <c r="AVR151" s="70"/>
      <c r="AVS151" s="70"/>
      <c r="AVT151" s="70"/>
      <c r="AVU151" s="70"/>
      <c r="AVV151" s="70"/>
      <c r="AVW151" s="70"/>
      <c r="AVX151" s="70"/>
      <c r="AVY151" s="70"/>
      <c r="AVZ151" s="70"/>
      <c r="AWA151" s="70"/>
      <c r="AWB151" s="70"/>
      <c r="AWC151" s="70"/>
      <c r="AWD151" s="70"/>
      <c r="AWE151" s="70"/>
      <c r="AWF151" s="70"/>
      <c r="AWG151" s="70"/>
      <c r="AWH151" s="70"/>
      <c r="AWI151" s="70"/>
      <c r="AWJ151" s="70"/>
      <c r="AWK151" s="70"/>
      <c r="AWL151" s="70"/>
      <c r="AWM151" s="70"/>
      <c r="AWN151" s="70"/>
      <c r="AWO151" s="70"/>
      <c r="AWP151" s="70"/>
      <c r="AWQ151" s="70"/>
      <c r="AWR151" s="70"/>
      <c r="AWS151" s="70"/>
      <c r="AWT151" s="70"/>
      <c r="AWU151" s="70"/>
      <c r="AWV151" s="70"/>
      <c r="AWW151" s="70"/>
      <c r="AWX151" s="70"/>
      <c r="AWY151" s="70"/>
      <c r="AWZ151" s="70"/>
      <c r="AXA151" s="70"/>
      <c r="AXB151" s="70"/>
      <c r="AXC151" s="70"/>
      <c r="AXD151" s="70"/>
      <c r="AXE151" s="70"/>
      <c r="AXF151" s="70"/>
      <c r="AXG151" s="70"/>
      <c r="AXH151" s="70"/>
      <c r="AXI151" s="70"/>
      <c r="AXJ151" s="70"/>
      <c r="AXK151" s="70"/>
      <c r="AXL151" s="70"/>
      <c r="AXM151" s="70"/>
      <c r="AXN151" s="70"/>
      <c r="AXO151" s="70"/>
      <c r="AXP151" s="70"/>
      <c r="AXQ151" s="70"/>
      <c r="AXR151" s="70"/>
      <c r="AXS151" s="70"/>
      <c r="AXT151" s="70"/>
      <c r="AXU151" s="70"/>
      <c r="AXV151" s="70"/>
      <c r="AXW151" s="70"/>
      <c r="AXX151" s="70"/>
      <c r="AXY151" s="70"/>
      <c r="AXZ151" s="70"/>
      <c r="AYA151" s="70"/>
      <c r="AYB151" s="70"/>
      <c r="AYC151" s="70"/>
      <c r="AYD151" s="70"/>
      <c r="AYE151" s="70"/>
      <c r="AYF151" s="70"/>
      <c r="AYG151" s="70"/>
      <c r="AYH151" s="70"/>
      <c r="AYI151" s="70"/>
      <c r="AYJ151" s="70"/>
      <c r="AYK151" s="70"/>
      <c r="AYL151" s="70"/>
      <c r="AYM151" s="70"/>
      <c r="AYN151" s="70"/>
      <c r="AYO151" s="70"/>
      <c r="AYP151" s="70"/>
      <c r="AYQ151" s="70"/>
      <c r="AYR151" s="70"/>
      <c r="AYS151" s="70"/>
      <c r="AYT151" s="70"/>
      <c r="AYU151" s="70"/>
      <c r="AYV151" s="70"/>
      <c r="AYW151" s="70"/>
      <c r="AYX151" s="70"/>
      <c r="AYY151" s="70"/>
      <c r="AYZ151" s="70"/>
      <c r="AZA151" s="70"/>
      <c r="AZB151" s="70"/>
      <c r="AZC151" s="70"/>
      <c r="AZD151" s="70"/>
      <c r="AZE151" s="70"/>
      <c r="AZF151" s="70"/>
      <c r="AZG151" s="70"/>
      <c r="AZH151" s="70"/>
      <c r="AZI151" s="70"/>
      <c r="AZJ151" s="70"/>
      <c r="AZK151" s="70"/>
      <c r="AZL151" s="70"/>
      <c r="AZM151" s="70"/>
      <c r="AZN151" s="70"/>
      <c r="AZO151" s="70"/>
      <c r="AZP151" s="70"/>
      <c r="AZQ151" s="70"/>
      <c r="AZR151" s="70"/>
      <c r="AZS151" s="70"/>
      <c r="AZT151" s="70"/>
      <c r="AZU151" s="70"/>
      <c r="AZV151" s="70"/>
      <c r="AZW151" s="70"/>
      <c r="AZX151" s="70"/>
      <c r="AZY151" s="70"/>
      <c r="AZZ151" s="70"/>
      <c r="BAA151" s="70"/>
      <c r="BAB151" s="70"/>
      <c r="BAC151" s="70"/>
      <c r="BAD151" s="70"/>
      <c r="BAE151" s="70"/>
      <c r="BAF151" s="70"/>
      <c r="BAG151" s="70"/>
      <c r="BAH151" s="70"/>
      <c r="BAI151" s="70"/>
      <c r="BAJ151" s="70"/>
      <c r="BAK151" s="70"/>
      <c r="BAL151" s="70"/>
      <c r="BAM151" s="70"/>
      <c r="BAN151" s="70"/>
      <c r="BAO151" s="70"/>
      <c r="BAP151" s="70"/>
      <c r="BAQ151" s="70"/>
      <c r="BAR151" s="70"/>
      <c r="BAS151" s="70"/>
      <c r="BAT151" s="70"/>
      <c r="BAU151" s="70"/>
      <c r="BAV151" s="70"/>
      <c r="BAW151" s="70"/>
      <c r="BAX151" s="70"/>
      <c r="BAY151" s="70"/>
      <c r="BAZ151" s="70"/>
      <c r="BBA151" s="70"/>
      <c r="BBB151" s="70"/>
      <c r="BBC151" s="70"/>
      <c r="BBD151" s="70"/>
      <c r="BBE151" s="70"/>
      <c r="BBF151" s="70"/>
      <c r="BBG151" s="70"/>
      <c r="BBH151" s="70"/>
      <c r="BBI151" s="70"/>
      <c r="BBJ151" s="70"/>
      <c r="BBK151" s="70"/>
      <c r="BBL151" s="70"/>
      <c r="BBM151" s="70"/>
      <c r="BBN151" s="70"/>
      <c r="BBO151" s="70"/>
      <c r="BBP151" s="70"/>
      <c r="BBQ151" s="70"/>
      <c r="BBR151" s="70"/>
      <c r="BBS151" s="70"/>
      <c r="BBT151" s="70"/>
      <c r="BBU151" s="70"/>
      <c r="BBV151" s="70"/>
      <c r="BBW151" s="70"/>
      <c r="BBX151" s="70"/>
      <c r="BBY151" s="70"/>
      <c r="BBZ151" s="70"/>
      <c r="BCA151" s="70"/>
      <c r="BCB151" s="70"/>
      <c r="BCC151" s="70"/>
      <c r="BCD151" s="70"/>
      <c r="BCE151" s="70"/>
      <c r="BCF151" s="70"/>
      <c r="BCG151" s="70"/>
      <c r="BCH151" s="70"/>
      <c r="BCI151" s="70"/>
      <c r="BCJ151" s="70"/>
      <c r="BCK151" s="70"/>
      <c r="BCL151" s="70"/>
      <c r="BCM151" s="70"/>
      <c r="BCN151" s="70"/>
      <c r="BCO151" s="70"/>
      <c r="BCP151" s="70"/>
      <c r="BCQ151" s="70"/>
      <c r="BCR151" s="70"/>
      <c r="BCS151" s="70"/>
      <c r="BCT151" s="70"/>
      <c r="BCU151" s="70"/>
      <c r="BCV151" s="70"/>
      <c r="BCW151" s="70"/>
    </row>
    <row r="152" spans="1:1453" s="69" customFormat="1" ht="38.25" customHeight="1" x14ac:dyDescent="0.25">
      <c r="A152" s="101">
        <v>29</v>
      </c>
      <c r="B152" s="71" t="s">
        <v>711</v>
      </c>
      <c r="C152" s="71" t="s">
        <v>731</v>
      </c>
      <c r="D152" s="102">
        <v>305753.90000000002</v>
      </c>
      <c r="E152" s="74" t="s">
        <v>709</v>
      </c>
      <c r="F152" s="71" t="s">
        <v>712</v>
      </c>
      <c r="G152" s="71"/>
      <c r="H152" s="71"/>
      <c r="J152"/>
      <c r="K152"/>
      <c r="L152"/>
      <c r="M152"/>
      <c r="N152"/>
      <c r="O152"/>
      <c r="P152"/>
      <c r="Q152"/>
      <c r="R152"/>
      <c r="S152"/>
      <c r="T152"/>
      <c r="U152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  <c r="BN152" s="70"/>
      <c r="BO152" s="70"/>
      <c r="BP152" s="70"/>
      <c r="BQ152" s="70"/>
      <c r="BR152" s="70"/>
      <c r="BS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70"/>
      <c r="CE152" s="70"/>
      <c r="CF152" s="70"/>
      <c r="CG152" s="70"/>
      <c r="CH152" s="70"/>
      <c r="CI152" s="70"/>
      <c r="CJ152" s="70"/>
      <c r="CK152" s="70"/>
      <c r="CL152" s="70"/>
      <c r="CM152" s="70"/>
      <c r="CN152" s="70"/>
      <c r="CO152" s="70"/>
      <c r="CP152" s="70"/>
      <c r="CQ152" s="70"/>
      <c r="CR152" s="70"/>
      <c r="CS152" s="70"/>
      <c r="CT152" s="70"/>
      <c r="CU152" s="70"/>
      <c r="CV152" s="70"/>
      <c r="CW152" s="70"/>
      <c r="CX152" s="70"/>
      <c r="CY152" s="70"/>
      <c r="CZ152" s="70"/>
      <c r="DA152" s="70"/>
      <c r="DB152" s="70"/>
      <c r="DC152" s="70"/>
      <c r="DD152" s="70"/>
      <c r="DE152" s="70"/>
      <c r="DF152" s="70"/>
      <c r="DG152" s="70"/>
      <c r="DH152" s="70"/>
      <c r="DI152" s="70"/>
      <c r="DJ152" s="70"/>
      <c r="DK152" s="70"/>
      <c r="DL152" s="70"/>
      <c r="DM152" s="70"/>
      <c r="DN152" s="70"/>
      <c r="DO152" s="70"/>
      <c r="DP152" s="70"/>
      <c r="DQ152" s="70"/>
      <c r="DR152" s="70"/>
      <c r="DS152" s="70"/>
      <c r="DT152" s="70"/>
      <c r="DU152" s="70"/>
      <c r="DV152" s="70"/>
      <c r="DW152" s="70"/>
      <c r="DX152" s="70"/>
      <c r="DY152" s="70"/>
      <c r="DZ152" s="70"/>
      <c r="EA152" s="70"/>
      <c r="EB152" s="70"/>
      <c r="EC152" s="70"/>
      <c r="ED152" s="70"/>
      <c r="EE152" s="70"/>
      <c r="EF152" s="70"/>
      <c r="EG152" s="70"/>
      <c r="EH152" s="70"/>
      <c r="EI152" s="70"/>
      <c r="EJ152" s="70"/>
      <c r="EK152" s="70"/>
      <c r="EL152" s="70"/>
      <c r="EM152" s="70"/>
      <c r="EN152" s="70"/>
      <c r="EO152" s="70"/>
      <c r="EP152" s="70"/>
      <c r="EQ152" s="70"/>
      <c r="ER152" s="70"/>
      <c r="ES152" s="70"/>
      <c r="ET152" s="70"/>
      <c r="EU152" s="70"/>
      <c r="EV152" s="70"/>
      <c r="EW152" s="70"/>
      <c r="EX152" s="70"/>
      <c r="EY152" s="70"/>
      <c r="EZ152" s="70"/>
      <c r="FA152" s="70"/>
      <c r="FB152" s="70"/>
      <c r="FC152" s="70"/>
      <c r="FD152" s="70"/>
      <c r="FE152" s="70"/>
      <c r="FF152" s="70"/>
      <c r="FG152" s="70"/>
      <c r="FH152" s="70"/>
      <c r="FI152" s="70"/>
      <c r="FJ152" s="70"/>
      <c r="FK152" s="70"/>
      <c r="FL152" s="70"/>
      <c r="FM152" s="70"/>
      <c r="FN152" s="70"/>
      <c r="FO152" s="70"/>
      <c r="FP152" s="70"/>
      <c r="FQ152" s="70"/>
      <c r="FR152" s="70"/>
      <c r="FS152" s="70"/>
      <c r="FT152" s="70"/>
      <c r="FU152" s="70"/>
      <c r="FV152" s="70"/>
      <c r="FW152" s="70"/>
      <c r="FX152" s="70"/>
      <c r="FY152" s="70"/>
      <c r="FZ152" s="70"/>
      <c r="GA152" s="70"/>
      <c r="GB152" s="70"/>
      <c r="GC152" s="70"/>
      <c r="GD152" s="70"/>
      <c r="GE152" s="70"/>
      <c r="GF152" s="70"/>
      <c r="GG152" s="70"/>
      <c r="GH152" s="70"/>
      <c r="GI152" s="70"/>
      <c r="GJ152" s="70"/>
      <c r="GK152" s="70"/>
      <c r="GL152" s="70"/>
      <c r="GM152" s="70"/>
      <c r="GN152" s="70"/>
      <c r="GO152" s="70"/>
      <c r="GP152" s="70"/>
      <c r="GQ152" s="70"/>
      <c r="GR152" s="70"/>
      <c r="GS152" s="70"/>
      <c r="GT152" s="70"/>
      <c r="GU152" s="70"/>
      <c r="GV152" s="70"/>
      <c r="GW152" s="70"/>
      <c r="GX152" s="70"/>
      <c r="GY152" s="70"/>
      <c r="GZ152" s="70"/>
      <c r="HA152" s="70"/>
      <c r="HB152" s="70"/>
      <c r="HC152" s="70"/>
      <c r="HD152" s="70"/>
      <c r="HE152" s="70"/>
      <c r="HF152" s="70"/>
      <c r="HG152" s="70"/>
      <c r="HH152" s="70"/>
      <c r="HI152" s="70"/>
      <c r="HJ152" s="70"/>
      <c r="HK152" s="70"/>
      <c r="HL152" s="70"/>
      <c r="HM152" s="70"/>
      <c r="HN152" s="70"/>
      <c r="HO152" s="70"/>
      <c r="HP152" s="70"/>
      <c r="HQ152" s="70"/>
      <c r="HR152" s="70"/>
      <c r="HS152" s="70"/>
      <c r="HT152" s="70"/>
      <c r="HU152" s="70"/>
      <c r="HV152" s="70"/>
      <c r="HW152" s="70"/>
      <c r="HX152" s="70"/>
      <c r="HY152" s="70"/>
      <c r="HZ152" s="70"/>
      <c r="IA152" s="70"/>
      <c r="IB152" s="70"/>
      <c r="IC152" s="70"/>
      <c r="ID152" s="70"/>
      <c r="IE152" s="70"/>
      <c r="IF152" s="70"/>
      <c r="IG152" s="70"/>
      <c r="IH152" s="70"/>
      <c r="II152" s="70"/>
      <c r="IJ152" s="70"/>
      <c r="IK152" s="70"/>
      <c r="IL152" s="70"/>
      <c r="IM152" s="70"/>
      <c r="IN152" s="70"/>
      <c r="IO152" s="70"/>
      <c r="IP152" s="70"/>
      <c r="IQ152" s="70"/>
      <c r="IR152" s="70"/>
      <c r="IS152" s="70"/>
      <c r="IT152" s="70"/>
      <c r="IU152" s="70"/>
      <c r="IV152" s="70"/>
      <c r="IW152" s="70"/>
      <c r="IX152" s="70"/>
      <c r="IY152" s="70"/>
      <c r="IZ152" s="70"/>
      <c r="JA152" s="70"/>
      <c r="JB152" s="70"/>
      <c r="JC152" s="70"/>
      <c r="JD152" s="70"/>
      <c r="JE152" s="70"/>
      <c r="JF152" s="70"/>
      <c r="JG152" s="70"/>
      <c r="JH152" s="70"/>
      <c r="JI152" s="70"/>
      <c r="JJ152" s="70"/>
      <c r="JK152" s="70"/>
      <c r="JL152" s="70"/>
      <c r="JM152" s="70"/>
      <c r="JN152" s="70"/>
      <c r="JO152" s="70"/>
      <c r="JP152" s="70"/>
      <c r="JQ152" s="70"/>
      <c r="JR152" s="70"/>
      <c r="JS152" s="70"/>
      <c r="JT152" s="70"/>
      <c r="JU152" s="70"/>
      <c r="JV152" s="70"/>
      <c r="JW152" s="70"/>
      <c r="JX152" s="70"/>
      <c r="JY152" s="70"/>
      <c r="JZ152" s="70"/>
      <c r="KA152" s="70"/>
      <c r="KB152" s="70"/>
      <c r="KC152" s="70"/>
      <c r="KD152" s="70"/>
      <c r="KE152" s="70"/>
      <c r="KF152" s="70"/>
      <c r="KG152" s="70"/>
      <c r="KH152" s="70"/>
      <c r="KI152" s="70"/>
      <c r="KJ152" s="70"/>
      <c r="KK152" s="70"/>
      <c r="KL152" s="70"/>
      <c r="KM152" s="70"/>
      <c r="KN152" s="70"/>
      <c r="KO152" s="70"/>
      <c r="KP152" s="70"/>
      <c r="KQ152" s="70"/>
      <c r="KR152" s="70"/>
      <c r="KS152" s="70"/>
      <c r="KT152" s="70"/>
      <c r="KU152" s="70"/>
      <c r="KV152" s="70"/>
      <c r="KW152" s="70"/>
      <c r="KX152" s="70"/>
      <c r="KY152" s="70"/>
      <c r="KZ152" s="70"/>
      <c r="LA152" s="70"/>
      <c r="LB152" s="70"/>
      <c r="LC152" s="70"/>
      <c r="LD152" s="70"/>
      <c r="LE152" s="70"/>
      <c r="LF152" s="70"/>
      <c r="LG152" s="70"/>
      <c r="LH152" s="70"/>
      <c r="LI152" s="70"/>
      <c r="LJ152" s="70"/>
      <c r="LK152" s="70"/>
      <c r="LL152" s="70"/>
      <c r="LM152" s="70"/>
      <c r="LN152" s="70"/>
      <c r="LO152" s="70"/>
      <c r="LP152" s="70"/>
      <c r="LQ152" s="70"/>
      <c r="LR152" s="70"/>
      <c r="LS152" s="70"/>
      <c r="LT152" s="70"/>
      <c r="LU152" s="70"/>
      <c r="LV152" s="70"/>
      <c r="LW152" s="70"/>
      <c r="LX152" s="70"/>
      <c r="LY152" s="70"/>
      <c r="LZ152" s="70"/>
      <c r="MA152" s="70"/>
      <c r="MB152" s="70"/>
      <c r="MC152" s="70"/>
      <c r="MD152" s="70"/>
      <c r="ME152" s="70"/>
      <c r="MF152" s="70"/>
      <c r="MG152" s="70"/>
      <c r="MH152" s="70"/>
      <c r="MI152" s="70"/>
      <c r="MJ152" s="70"/>
      <c r="MK152" s="70"/>
      <c r="ML152" s="70"/>
      <c r="MM152" s="70"/>
      <c r="MN152" s="70"/>
      <c r="MO152" s="70"/>
      <c r="MP152" s="70"/>
      <c r="MQ152" s="70"/>
      <c r="MR152" s="70"/>
      <c r="MS152" s="70"/>
      <c r="MT152" s="70"/>
      <c r="MU152" s="70"/>
      <c r="MV152" s="70"/>
      <c r="MW152" s="70"/>
      <c r="MX152" s="70"/>
      <c r="MY152" s="70"/>
      <c r="MZ152" s="70"/>
      <c r="NA152" s="70"/>
      <c r="NB152" s="70"/>
      <c r="NC152" s="70"/>
      <c r="ND152" s="70"/>
      <c r="NE152" s="70"/>
      <c r="NF152" s="70"/>
      <c r="NG152" s="70"/>
      <c r="NH152" s="70"/>
      <c r="NI152" s="70"/>
      <c r="NJ152" s="70"/>
      <c r="NK152" s="70"/>
      <c r="NL152" s="70"/>
      <c r="NM152" s="70"/>
      <c r="NN152" s="70"/>
      <c r="NO152" s="70"/>
      <c r="NP152" s="70"/>
      <c r="NQ152" s="70"/>
      <c r="NR152" s="70"/>
      <c r="NS152" s="70"/>
      <c r="NT152" s="70"/>
      <c r="NU152" s="70"/>
      <c r="NV152" s="70"/>
      <c r="NW152" s="70"/>
      <c r="NX152" s="70"/>
      <c r="NY152" s="70"/>
      <c r="NZ152" s="70"/>
      <c r="OA152" s="70"/>
      <c r="OB152" s="70"/>
      <c r="OC152" s="70"/>
      <c r="OD152" s="70"/>
      <c r="OE152" s="70"/>
      <c r="OF152" s="70"/>
      <c r="OG152" s="70"/>
      <c r="OH152" s="70"/>
      <c r="OI152" s="70"/>
      <c r="OJ152" s="70"/>
      <c r="OK152" s="70"/>
      <c r="OL152" s="70"/>
      <c r="OM152" s="70"/>
      <c r="ON152" s="70"/>
      <c r="OO152" s="70"/>
      <c r="OP152" s="70"/>
      <c r="OQ152" s="70"/>
      <c r="OR152" s="70"/>
      <c r="OS152" s="70"/>
      <c r="OT152" s="70"/>
      <c r="OU152" s="70"/>
      <c r="OV152" s="70"/>
      <c r="OW152" s="70"/>
      <c r="OX152" s="70"/>
      <c r="OY152" s="70"/>
      <c r="OZ152" s="70"/>
      <c r="PA152" s="70"/>
      <c r="PB152" s="70"/>
      <c r="PC152" s="70"/>
      <c r="PD152" s="70"/>
      <c r="PE152" s="70"/>
      <c r="PF152" s="70"/>
      <c r="PG152" s="70"/>
      <c r="PH152" s="70"/>
      <c r="PI152" s="70"/>
      <c r="PJ152" s="70"/>
      <c r="PK152" s="70"/>
      <c r="PL152" s="70"/>
      <c r="PM152" s="70"/>
      <c r="PN152" s="70"/>
      <c r="PO152" s="70"/>
      <c r="PP152" s="70"/>
      <c r="PQ152" s="70"/>
      <c r="PR152" s="70"/>
      <c r="PS152" s="70"/>
      <c r="PT152" s="70"/>
      <c r="PU152" s="70"/>
      <c r="PV152" s="70"/>
      <c r="PW152" s="70"/>
      <c r="PX152" s="70"/>
      <c r="PY152" s="70"/>
      <c r="PZ152" s="70"/>
      <c r="QA152" s="70"/>
      <c r="QB152" s="70"/>
      <c r="QC152" s="70"/>
      <c r="QD152" s="70"/>
      <c r="QE152" s="70"/>
      <c r="QF152" s="70"/>
      <c r="QG152" s="70"/>
      <c r="QH152" s="70"/>
      <c r="QI152" s="70"/>
      <c r="QJ152" s="70"/>
      <c r="QK152" s="70"/>
      <c r="QL152" s="70"/>
      <c r="QM152" s="70"/>
      <c r="QN152" s="70"/>
      <c r="QO152" s="70"/>
      <c r="QP152" s="70"/>
      <c r="QQ152" s="70"/>
      <c r="QR152" s="70"/>
      <c r="QS152" s="70"/>
      <c r="QT152" s="70"/>
      <c r="QU152" s="70"/>
      <c r="QV152" s="70"/>
      <c r="QW152" s="70"/>
      <c r="QX152" s="70"/>
      <c r="QY152" s="70"/>
      <c r="QZ152" s="70"/>
      <c r="RA152" s="70"/>
      <c r="RB152" s="70"/>
      <c r="RC152" s="70"/>
      <c r="RD152" s="70"/>
      <c r="RE152" s="70"/>
      <c r="RF152" s="70"/>
      <c r="RG152" s="70"/>
      <c r="RH152" s="70"/>
      <c r="RI152" s="70"/>
      <c r="RJ152" s="70"/>
      <c r="RK152" s="70"/>
      <c r="RL152" s="70"/>
      <c r="RM152" s="70"/>
      <c r="RN152" s="70"/>
      <c r="RO152" s="70"/>
      <c r="RP152" s="70"/>
      <c r="RQ152" s="70"/>
      <c r="RR152" s="70"/>
      <c r="RS152" s="70"/>
      <c r="RT152" s="70"/>
      <c r="RU152" s="70"/>
      <c r="RV152" s="70"/>
      <c r="RW152" s="70"/>
      <c r="RX152" s="70"/>
      <c r="RY152" s="70"/>
      <c r="RZ152" s="70"/>
      <c r="SA152" s="70"/>
      <c r="SB152" s="70"/>
      <c r="SC152" s="70"/>
      <c r="SD152" s="70"/>
      <c r="SE152" s="70"/>
      <c r="SF152" s="70"/>
      <c r="SG152" s="70"/>
      <c r="SH152" s="70"/>
      <c r="SI152" s="70"/>
      <c r="SJ152" s="70"/>
      <c r="SK152" s="70"/>
      <c r="SL152" s="70"/>
      <c r="SM152" s="70"/>
      <c r="SN152" s="70"/>
      <c r="SO152" s="70"/>
      <c r="SP152" s="70"/>
      <c r="SQ152" s="70"/>
      <c r="SR152" s="70"/>
      <c r="SS152" s="70"/>
      <c r="ST152" s="70"/>
      <c r="SU152" s="70"/>
      <c r="SV152" s="70"/>
      <c r="SW152" s="70"/>
      <c r="SX152" s="70"/>
      <c r="SY152" s="70"/>
      <c r="SZ152" s="70"/>
      <c r="TA152" s="70"/>
      <c r="TB152" s="70"/>
      <c r="TC152" s="70"/>
      <c r="TD152" s="70"/>
      <c r="TE152" s="70"/>
      <c r="TF152" s="70"/>
      <c r="TG152" s="70"/>
      <c r="TH152" s="70"/>
      <c r="TI152" s="70"/>
      <c r="TJ152" s="70"/>
      <c r="TK152" s="70"/>
      <c r="TL152" s="70"/>
      <c r="TM152" s="70"/>
      <c r="TN152" s="70"/>
      <c r="TO152" s="70"/>
      <c r="TP152" s="70"/>
      <c r="TQ152" s="70"/>
      <c r="TR152" s="70"/>
      <c r="TS152" s="70"/>
      <c r="TT152" s="70"/>
      <c r="TU152" s="70"/>
      <c r="TV152" s="70"/>
      <c r="TW152" s="70"/>
      <c r="TX152" s="70"/>
      <c r="TY152" s="70"/>
      <c r="TZ152" s="70"/>
      <c r="UA152" s="70"/>
      <c r="UB152" s="70"/>
      <c r="UC152" s="70"/>
      <c r="UD152" s="70"/>
      <c r="UE152" s="70"/>
      <c r="UF152" s="70"/>
      <c r="UG152" s="70"/>
      <c r="UH152" s="70"/>
      <c r="UI152" s="70"/>
      <c r="UJ152" s="70"/>
      <c r="UK152" s="70"/>
      <c r="UL152" s="70"/>
      <c r="UM152" s="70"/>
      <c r="UN152" s="70"/>
      <c r="UO152" s="70"/>
      <c r="UP152" s="70"/>
      <c r="UQ152" s="70"/>
      <c r="UR152" s="70"/>
      <c r="US152" s="70"/>
      <c r="UT152" s="70"/>
      <c r="UU152" s="70"/>
      <c r="UV152" s="70"/>
      <c r="UW152" s="70"/>
      <c r="UX152" s="70"/>
      <c r="UY152" s="70"/>
      <c r="UZ152" s="70"/>
      <c r="VA152" s="70"/>
      <c r="VB152" s="70"/>
      <c r="VC152" s="70"/>
      <c r="VD152" s="70"/>
      <c r="VE152" s="70"/>
      <c r="VF152" s="70"/>
      <c r="VG152" s="70"/>
      <c r="VH152" s="70"/>
      <c r="VI152" s="70"/>
      <c r="VJ152" s="70"/>
      <c r="VK152" s="70"/>
      <c r="VL152" s="70"/>
      <c r="VM152" s="70"/>
      <c r="VN152" s="70"/>
      <c r="VO152" s="70"/>
      <c r="VP152" s="70"/>
      <c r="VQ152" s="70"/>
      <c r="VR152" s="70"/>
      <c r="VS152" s="70"/>
      <c r="VT152" s="70"/>
      <c r="VU152" s="70"/>
      <c r="VV152" s="70"/>
      <c r="VW152" s="70"/>
      <c r="VX152" s="70"/>
      <c r="VY152" s="70"/>
      <c r="VZ152" s="70"/>
      <c r="WA152" s="70"/>
      <c r="WB152" s="70"/>
      <c r="WC152" s="70"/>
      <c r="WD152" s="70"/>
      <c r="WE152" s="70"/>
      <c r="WF152" s="70"/>
      <c r="WG152" s="70"/>
      <c r="WH152" s="70"/>
      <c r="WI152" s="70"/>
      <c r="WJ152" s="70"/>
      <c r="WK152" s="70"/>
      <c r="WL152" s="70"/>
      <c r="WM152" s="70"/>
      <c r="WN152" s="70"/>
      <c r="WO152" s="70"/>
      <c r="WP152" s="70"/>
      <c r="WQ152" s="70"/>
      <c r="WR152" s="70"/>
      <c r="WS152" s="70"/>
      <c r="WT152" s="70"/>
      <c r="WU152" s="70"/>
      <c r="WV152" s="70"/>
      <c r="WW152" s="70"/>
      <c r="WX152" s="70"/>
      <c r="WY152" s="70"/>
      <c r="WZ152" s="70"/>
      <c r="XA152" s="70"/>
      <c r="XB152" s="70"/>
      <c r="XC152" s="70"/>
      <c r="XD152" s="70"/>
      <c r="XE152" s="70"/>
      <c r="XF152" s="70"/>
      <c r="XG152" s="70"/>
      <c r="XH152" s="70"/>
      <c r="XI152" s="70"/>
      <c r="XJ152" s="70"/>
      <c r="XK152" s="70"/>
      <c r="XL152" s="70"/>
      <c r="XM152" s="70"/>
      <c r="XN152" s="70"/>
      <c r="XO152" s="70"/>
      <c r="XP152" s="70"/>
      <c r="XQ152" s="70"/>
      <c r="XR152" s="70"/>
      <c r="XS152" s="70"/>
      <c r="XT152" s="70"/>
      <c r="XU152" s="70"/>
      <c r="XV152" s="70"/>
      <c r="XW152" s="70"/>
      <c r="XX152" s="70"/>
      <c r="XY152" s="70"/>
      <c r="XZ152" s="70"/>
      <c r="YA152" s="70"/>
      <c r="YB152" s="70"/>
      <c r="YC152" s="70"/>
      <c r="YD152" s="70"/>
      <c r="YE152" s="70"/>
      <c r="YF152" s="70"/>
      <c r="YG152" s="70"/>
      <c r="YH152" s="70"/>
      <c r="YI152" s="70"/>
      <c r="YJ152" s="70"/>
      <c r="YK152" s="70"/>
      <c r="YL152" s="70"/>
      <c r="YM152" s="70"/>
      <c r="YN152" s="70"/>
      <c r="YO152" s="70"/>
      <c r="YP152" s="70"/>
      <c r="YQ152" s="70"/>
      <c r="YR152" s="70"/>
      <c r="YS152" s="70"/>
      <c r="YT152" s="70"/>
      <c r="YU152" s="70"/>
      <c r="YV152" s="70"/>
      <c r="YW152" s="70"/>
      <c r="YX152" s="70"/>
      <c r="YY152" s="70"/>
      <c r="YZ152" s="70"/>
      <c r="ZA152" s="70"/>
      <c r="ZB152" s="70"/>
      <c r="ZC152" s="70"/>
      <c r="ZD152" s="70"/>
      <c r="ZE152" s="70"/>
      <c r="ZF152" s="70"/>
      <c r="ZG152" s="70"/>
      <c r="ZH152" s="70"/>
      <c r="ZI152" s="70"/>
      <c r="ZJ152" s="70"/>
      <c r="ZK152" s="70"/>
      <c r="ZL152" s="70"/>
      <c r="ZM152" s="70"/>
      <c r="ZN152" s="70"/>
      <c r="ZO152" s="70"/>
      <c r="ZP152" s="70"/>
      <c r="ZQ152" s="70"/>
      <c r="ZR152" s="70"/>
      <c r="ZS152" s="70"/>
      <c r="ZT152" s="70"/>
      <c r="ZU152" s="70"/>
      <c r="ZV152" s="70"/>
      <c r="ZW152" s="70"/>
      <c r="ZX152" s="70"/>
      <c r="ZY152" s="70"/>
      <c r="ZZ152" s="70"/>
      <c r="AAA152" s="70"/>
      <c r="AAB152" s="70"/>
      <c r="AAC152" s="70"/>
      <c r="AAD152" s="70"/>
      <c r="AAE152" s="70"/>
      <c r="AAF152" s="70"/>
      <c r="AAG152" s="70"/>
      <c r="AAH152" s="70"/>
      <c r="AAI152" s="70"/>
      <c r="AAJ152" s="70"/>
      <c r="AAK152" s="70"/>
      <c r="AAL152" s="70"/>
      <c r="AAM152" s="70"/>
      <c r="AAN152" s="70"/>
      <c r="AAO152" s="70"/>
      <c r="AAP152" s="70"/>
      <c r="AAQ152" s="70"/>
      <c r="AAR152" s="70"/>
      <c r="AAS152" s="70"/>
      <c r="AAT152" s="70"/>
      <c r="AAU152" s="70"/>
      <c r="AAV152" s="70"/>
      <c r="AAW152" s="70"/>
      <c r="AAX152" s="70"/>
      <c r="AAY152" s="70"/>
      <c r="AAZ152" s="70"/>
      <c r="ABA152" s="70"/>
      <c r="ABB152" s="70"/>
      <c r="ABC152" s="70"/>
      <c r="ABD152" s="70"/>
      <c r="ABE152" s="70"/>
      <c r="ABF152" s="70"/>
      <c r="ABG152" s="70"/>
      <c r="ABH152" s="70"/>
      <c r="ABI152" s="70"/>
      <c r="ABJ152" s="70"/>
      <c r="ABK152" s="70"/>
      <c r="ABL152" s="70"/>
      <c r="ABM152" s="70"/>
      <c r="ABN152" s="70"/>
      <c r="ABO152" s="70"/>
      <c r="ABP152" s="70"/>
      <c r="ABQ152" s="70"/>
      <c r="ABR152" s="70"/>
      <c r="ABS152" s="70"/>
      <c r="ABT152" s="70"/>
      <c r="ABU152" s="70"/>
      <c r="ABV152" s="70"/>
      <c r="ABW152" s="70"/>
      <c r="ABX152" s="70"/>
      <c r="ABY152" s="70"/>
      <c r="ABZ152" s="70"/>
      <c r="ACA152" s="70"/>
      <c r="ACB152" s="70"/>
      <c r="ACC152" s="70"/>
      <c r="ACD152" s="70"/>
      <c r="ACE152" s="70"/>
      <c r="ACF152" s="70"/>
      <c r="ACG152" s="70"/>
      <c r="ACH152" s="70"/>
      <c r="ACI152" s="70"/>
      <c r="ACJ152" s="70"/>
      <c r="ACK152" s="70"/>
      <c r="ACL152" s="70"/>
      <c r="ACM152" s="70"/>
      <c r="ACN152" s="70"/>
      <c r="ACO152" s="70"/>
      <c r="ACP152" s="70"/>
      <c r="ACQ152" s="70"/>
      <c r="ACR152" s="70"/>
      <c r="ACS152" s="70"/>
      <c r="ACT152" s="70"/>
      <c r="ACU152" s="70"/>
      <c r="ACV152" s="70"/>
      <c r="ACW152" s="70"/>
      <c r="ACX152" s="70"/>
      <c r="ACY152" s="70"/>
      <c r="ACZ152" s="70"/>
      <c r="ADA152" s="70"/>
      <c r="ADB152" s="70"/>
      <c r="ADC152" s="70"/>
      <c r="ADD152" s="70"/>
      <c r="ADE152" s="70"/>
      <c r="ADF152" s="70"/>
      <c r="ADG152" s="70"/>
      <c r="ADH152" s="70"/>
      <c r="ADI152" s="70"/>
      <c r="ADJ152" s="70"/>
      <c r="ADK152" s="70"/>
      <c r="ADL152" s="70"/>
      <c r="ADM152" s="70"/>
      <c r="ADN152" s="70"/>
      <c r="ADO152" s="70"/>
      <c r="ADP152" s="70"/>
      <c r="ADQ152" s="70"/>
      <c r="ADR152" s="70"/>
      <c r="ADS152" s="70"/>
      <c r="ADT152" s="70"/>
      <c r="ADU152" s="70"/>
      <c r="ADV152" s="70"/>
      <c r="ADW152" s="70"/>
      <c r="ADX152" s="70"/>
      <c r="ADY152" s="70"/>
      <c r="ADZ152" s="70"/>
      <c r="AEA152" s="70"/>
      <c r="AEB152" s="70"/>
      <c r="AEC152" s="70"/>
      <c r="AED152" s="70"/>
      <c r="AEE152" s="70"/>
      <c r="AEF152" s="70"/>
      <c r="AEG152" s="70"/>
      <c r="AEH152" s="70"/>
      <c r="AEI152" s="70"/>
      <c r="AEJ152" s="70"/>
      <c r="AEK152" s="70"/>
      <c r="AEL152" s="70"/>
      <c r="AEM152" s="70"/>
      <c r="AEN152" s="70"/>
      <c r="AEO152" s="70"/>
      <c r="AEP152" s="70"/>
      <c r="AEQ152" s="70"/>
      <c r="AER152" s="70"/>
      <c r="AES152" s="70"/>
      <c r="AET152" s="70"/>
      <c r="AEU152" s="70"/>
      <c r="AEV152" s="70"/>
      <c r="AEW152" s="70"/>
      <c r="AEX152" s="70"/>
      <c r="AEY152" s="70"/>
      <c r="AEZ152" s="70"/>
      <c r="AFA152" s="70"/>
      <c r="AFB152" s="70"/>
      <c r="AFC152" s="70"/>
      <c r="AFD152" s="70"/>
      <c r="AFE152" s="70"/>
      <c r="AFF152" s="70"/>
      <c r="AFG152" s="70"/>
      <c r="AFH152" s="70"/>
      <c r="AFI152" s="70"/>
      <c r="AFJ152" s="70"/>
      <c r="AFK152" s="70"/>
      <c r="AFL152" s="70"/>
      <c r="AFM152" s="70"/>
      <c r="AFN152" s="70"/>
      <c r="AFO152" s="70"/>
      <c r="AFP152" s="70"/>
      <c r="AFQ152" s="70"/>
      <c r="AFR152" s="70"/>
      <c r="AFS152" s="70"/>
      <c r="AFT152" s="70"/>
      <c r="AFU152" s="70"/>
      <c r="AFV152" s="70"/>
      <c r="AFW152" s="70"/>
      <c r="AFX152" s="70"/>
      <c r="AFY152" s="70"/>
      <c r="AFZ152" s="70"/>
      <c r="AGA152" s="70"/>
      <c r="AGB152" s="70"/>
      <c r="AGC152" s="70"/>
      <c r="AGD152" s="70"/>
      <c r="AGE152" s="70"/>
      <c r="AGF152" s="70"/>
      <c r="AGG152" s="70"/>
      <c r="AGH152" s="70"/>
      <c r="AGI152" s="70"/>
      <c r="AGJ152" s="70"/>
      <c r="AGK152" s="70"/>
      <c r="AGL152" s="70"/>
      <c r="AGM152" s="70"/>
      <c r="AGN152" s="70"/>
      <c r="AGO152" s="70"/>
      <c r="AGP152" s="70"/>
      <c r="AGQ152" s="70"/>
      <c r="AGR152" s="70"/>
      <c r="AGS152" s="70"/>
      <c r="AGT152" s="70"/>
      <c r="AGU152" s="70"/>
      <c r="AGV152" s="70"/>
      <c r="AGW152" s="70"/>
      <c r="AGX152" s="70"/>
      <c r="AGY152" s="70"/>
      <c r="AGZ152" s="70"/>
      <c r="AHA152" s="70"/>
      <c r="AHB152" s="70"/>
      <c r="AHC152" s="70"/>
      <c r="AHD152" s="70"/>
      <c r="AHE152" s="70"/>
      <c r="AHF152" s="70"/>
      <c r="AHG152" s="70"/>
      <c r="AHH152" s="70"/>
      <c r="AHI152" s="70"/>
      <c r="AHJ152" s="70"/>
      <c r="AHK152" s="70"/>
      <c r="AHL152" s="70"/>
      <c r="AHM152" s="70"/>
      <c r="AHN152" s="70"/>
      <c r="AHO152" s="70"/>
      <c r="AHP152" s="70"/>
      <c r="AHQ152" s="70"/>
      <c r="AHR152" s="70"/>
      <c r="AHS152" s="70"/>
      <c r="AHT152" s="70"/>
      <c r="AHU152" s="70"/>
      <c r="AHV152" s="70"/>
      <c r="AHW152" s="70"/>
      <c r="AHX152" s="70"/>
      <c r="AHY152" s="70"/>
      <c r="AHZ152" s="70"/>
      <c r="AIA152" s="70"/>
      <c r="AIB152" s="70"/>
      <c r="AIC152" s="70"/>
      <c r="AID152" s="70"/>
      <c r="AIE152" s="70"/>
      <c r="AIF152" s="70"/>
      <c r="AIG152" s="70"/>
      <c r="AIH152" s="70"/>
      <c r="AII152" s="70"/>
      <c r="AIJ152" s="70"/>
      <c r="AIK152" s="70"/>
      <c r="AIL152" s="70"/>
      <c r="AIM152" s="70"/>
      <c r="AIN152" s="70"/>
      <c r="AIO152" s="70"/>
      <c r="AIP152" s="70"/>
      <c r="AIQ152" s="70"/>
      <c r="AIR152" s="70"/>
      <c r="AIS152" s="70"/>
      <c r="AIT152" s="70"/>
      <c r="AIU152" s="70"/>
      <c r="AIV152" s="70"/>
      <c r="AIW152" s="70"/>
      <c r="AIX152" s="70"/>
      <c r="AIY152" s="70"/>
      <c r="AIZ152" s="70"/>
      <c r="AJA152" s="70"/>
      <c r="AJB152" s="70"/>
      <c r="AJC152" s="70"/>
      <c r="AJD152" s="70"/>
      <c r="AJE152" s="70"/>
      <c r="AJF152" s="70"/>
      <c r="AJG152" s="70"/>
      <c r="AJH152" s="70"/>
      <c r="AJI152" s="70"/>
      <c r="AJJ152" s="70"/>
      <c r="AJK152" s="70"/>
      <c r="AJL152" s="70"/>
      <c r="AJM152" s="70"/>
      <c r="AJN152" s="70"/>
      <c r="AJO152" s="70"/>
      <c r="AJP152" s="70"/>
      <c r="AJQ152" s="70"/>
      <c r="AJR152" s="70"/>
      <c r="AJS152" s="70"/>
      <c r="AJT152" s="70"/>
      <c r="AJU152" s="70"/>
      <c r="AJV152" s="70"/>
      <c r="AJW152" s="70"/>
      <c r="AJX152" s="70"/>
      <c r="AJY152" s="70"/>
      <c r="AJZ152" s="70"/>
      <c r="AKA152" s="70"/>
      <c r="AKB152" s="70"/>
      <c r="AKC152" s="70"/>
      <c r="AKD152" s="70"/>
      <c r="AKE152" s="70"/>
      <c r="AKF152" s="70"/>
      <c r="AKG152" s="70"/>
      <c r="AKH152" s="70"/>
      <c r="AKI152" s="70"/>
      <c r="AKJ152" s="70"/>
      <c r="AKK152" s="70"/>
      <c r="AKL152" s="70"/>
      <c r="AKM152" s="70"/>
      <c r="AKN152" s="70"/>
      <c r="AKO152" s="70"/>
      <c r="AKP152" s="70"/>
      <c r="AKQ152" s="70"/>
      <c r="AKR152" s="70"/>
      <c r="AKS152" s="70"/>
      <c r="AKT152" s="70"/>
      <c r="AKU152" s="70"/>
      <c r="AKV152" s="70"/>
      <c r="AKW152" s="70"/>
      <c r="AKX152" s="70"/>
      <c r="AKY152" s="70"/>
      <c r="AKZ152" s="70"/>
      <c r="ALA152" s="70"/>
      <c r="ALB152" s="70"/>
      <c r="ALC152" s="70"/>
      <c r="ALD152" s="70"/>
      <c r="ALE152" s="70"/>
      <c r="ALF152" s="70"/>
      <c r="ALG152" s="70"/>
      <c r="ALH152" s="70"/>
      <c r="ALI152" s="70"/>
      <c r="ALJ152" s="70"/>
      <c r="ALK152" s="70"/>
      <c r="ALL152" s="70"/>
      <c r="ALM152" s="70"/>
      <c r="ALN152" s="70"/>
      <c r="ALO152" s="70"/>
      <c r="ALP152" s="70"/>
      <c r="ALQ152" s="70"/>
      <c r="ALR152" s="70"/>
      <c r="ALS152" s="70"/>
      <c r="ALT152" s="70"/>
      <c r="ALU152" s="70"/>
      <c r="ALV152" s="70"/>
      <c r="ALW152" s="70"/>
      <c r="ALX152" s="70"/>
      <c r="ALY152" s="70"/>
      <c r="ALZ152" s="70"/>
      <c r="AMA152" s="70"/>
      <c r="AMB152" s="70"/>
      <c r="AMC152" s="70"/>
      <c r="AMD152" s="70"/>
      <c r="AME152" s="70"/>
      <c r="AMF152" s="70"/>
      <c r="AMG152" s="70"/>
      <c r="AMH152" s="70"/>
      <c r="AMI152" s="70"/>
      <c r="AMJ152" s="70"/>
      <c r="AMK152" s="70"/>
      <c r="AML152" s="70"/>
      <c r="AMM152" s="70"/>
      <c r="AMN152" s="70"/>
      <c r="AMO152" s="70"/>
      <c r="AMP152" s="70"/>
      <c r="AMQ152" s="70"/>
      <c r="AMR152" s="70"/>
      <c r="AMS152" s="70"/>
      <c r="AMT152" s="70"/>
      <c r="AMU152" s="70"/>
      <c r="AMV152" s="70"/>
      <c r="AMW152" s="70"/>
      <c r="AMX152" s="70"/>
      <c r="AMY152" s="70"/>
      <c r="AMZ152" s="70"/>
      <c r="ANA152" s="70"/>
      <c r="ANB152" s="70"/>
      <c r="ANC152" s="70"/>
      <c r="AND152" s="70"/>
      <c r="ANE152" s="70"/>
      <c r="ANF152" s="70"/>
      <c r="ANG152" s="70"/>
      <c r="ANH152" s="70"/>
      <c r="ANI152" s="70"/>
      <c r="ANJ152" s="70"/>
      <c r="ANK152" s="70"/>
      <c r="ANL152" s="70"/>
      <c r="ANM152" s="70"/>
      <c r="ANN152" s="70"/>
      <c r="ANO152" s="70"/>
      <c r="ANP152" s="70"/>
      <c r="ANQ152" s="70"/>
      <c r="ANR152" s="70"/>
      <c r="ANS152" s="70"/>
      <c r="ANT152" s="70"/>
      <c r="ANU152" s="70"/>
      <c r="ANV152" s="70"/>
      <c r="ANW152" s="70"/>
      <c r="ANX152" s="70"/>
      <c r="ANY152" s="70"/>
      <c r="ANZ152" s="70"/>
      <c r="AOA152" s="70"/>
      <c r="AOB152" s="70"/>
      <c r="AOC152" s="70"/>
      <c r="AOD152" s="70"/>
      <c r="AOE152" s="70"/>
      <c r="AOF152" s="70"/>
      <c r="AOG152" s="70"/>
      <c r="AOH152" s="70"/>
      <c r="AOI152" s="70"/>
      <c r="AOJ152" s="70"/>
      <c r="AOK152" s="70"/>
      <c r="AOL152" s="70"/>
      <c r="AOM152" s="70"/>
      <c r="AON152" s="70"/>
      <c r="AOO152" s="70"/>
      <c r="AOP152" s="70"/>
      <c r="AOQ152" s="70"/>
      <c r="AOR152" s="70"/>
      <c r="AOS152" s="70"/>
      <c r="AOT152" s="70"/>
      <c r="AOU152" s="70"/>
      <c r="AOV152" s="70"/>
      <c r="AOW152" s="70"/>
      <c r="AOX152" s="70"/>
      <c r="AOY152" s="70"/>
      <c r="AOZ152" s="70"/>
      <c r="APA152" s="70"/>
      <c r="APB152" s="70"/>
      <c r="APC152" s="70"/>
      <c r="APD152" s="70"/>
      <c r="APE152" s="70"/>
      <c r="APF152" s="70"/>
      <c r="APG152" s="70"/>
      <c r="APH152" s="70"/>
      <c r="API152" s="70"/>
      <c r="APJ152" s="70"/>
      <c r="APK152" s="70"/>
      <c r="APL152" s="70"/>
      <c r="APM152" s="70"/>
      <c r="APN152" s="70"/>
      <c r="APO152" s="70"/>
      <c r="APP152" s="70"/>
      <c r="APQ152" s="70"/>
      <c r="APR152" s="70"/>
      <c r="APS152" s="70"/>
      <c r="APT152" s="70"/>
      <c r="APU152" s="70"/>
      <c r="APV152" s="70"/>
      <c r="APW152" s="70"/>
      <c r="APX152" s="70"/>
      <c r="APY152" s="70"/>
      <c r="APZ152" s="70"/>
      <c r="AQA152" s="70"/>
      <c r="AQB152" s="70"/>
      <c r="AQC152" s="70"/>
      <c r="AQD152" s="70"/>
      <c r="AQE152" s="70"/>
      <c r="AQF152" s="70"/>
      <c r="AQG152" s="70"/>
      <c r="AQH152" s="70"/>
      <c r="AQI152" s="70"/>
      <c r="AQJ152" s="70"/>
      <c r="AQK152" s="70"/>
      <c r="AQL152" s="70"/>
      <c r="AQM152" s="70"/>
      <c r="AQN152" s="70"/>
      <c r="AQO152" s="70"/>
      <c r="AQP152" s="70"/>
      <c r="AQQ152" s="70"/>
      <c r="AQR152" s="70"/>
      <c r="AQS152" s="70"/>
      <c r="AQT152" s="70"/>
      <c r="AQU152" s="70"/>
      <c r="AQV152" s="70"/>
      <c r="AQW152" s="70"/>
      <c r="AQX152" s="70"/>
      <c r="AQY152" s="70"/>
      <c r="AQZ152" s="70"/>
      <c r="ARA152" s="70"/>
      <c r="ARB152" s="70"/>
      <c r="ARC152" s="70"/>
      <c r="ARD152" s="70"/>
      <c r="ARE152" s="70"/>
      <c r="ARF152" s="70"/>
      <c r="ARG152" s="70"/>
      <c r="ARH152" s="70"/>
      <c r="ARI152" s="70"/>
      <c r="ARJ152" s="70"/>
      <c r="ARK152" s="70"/>
      <c r="ARL152" s="70"/>
      <c r="ARM152" s="70"/>
      <c r="ARN152" s="70"/>
      <c r="ARO152" s="70"/>
      <c r="ARP152" s="70"/>
      <c r="ARQ152" s="70"/>
      <c r="ARR152" s="70"/>
      <c r="ARS152" s="70"/>
      <c r="ART152" s="70"/>
      <c r="ARU152" s="70"/>
      <c r="ARV152" s="70"/>
      <c r="ARW152" s="70"/>
      <c r="ARX152" s="70"/>
      <c r="ARY152" s="70"/>
      <c r="ARZ152" s="70"/>
      <c r="ASA152" s="70"/>
      <c r="ASB152" s="70"/>
      <c r="ASC152" s="70"/>
      <c r="ASD152" s="70"/>
      <c r="ASE152" s="70"/>
      <c r="ASF152" s="70"/>
      <c r="ASG152" s="70"/>
      <c r="ASH152" s="70"/>
      <c r="ASI152" s="70"/>
      <c r="ASJ152" s="70"/>
      <c r="ASK152" s="70"/>
      <c r="ASL152" s="70"/>
      <c r="ASM152" s="70"/>
      <c r="ASN152" s="70"/>
      <c r="ASO152" s="70"/>
      <c r="ASP152" s="70"/>
      <c r="ASQ152" s="70"/>
      <c r="ASR152" s="70"/>
      <c r="ASS152" s="70"/>
      <c r="AST152" s="70"/>
      <c r="ASU152" s="70"/>
      <c r="ASV152" s="70"/>
      <c r="ASW152" s="70"/>
      <c r="ASX152" s="70"/>
      <c r="ASY152" s="70"/>
      <c r="ASZ152" s="70"/>
      <c r="ATA152" s="70"/>
      <c r="ATB152" s="70"/>
      <c r="ATC152" s="70"/>
      <c r="ATD152" s="70"/>
      <c r="ATE152" s="70"/>
      <c r="ATF152" s="70"/>
      <c r="ATG152" s="70"/>
      <c r="ATH152" s="70"/>
      <c r="ATI152" s="70"/>
      <c r="ATJ152" s="70"/>
      <c r="ATK152" s="70"/>
      <c r="ATL152" s="70"/>
      <c r="ATM152" s="70"/>
      <c r="ATN152" s="70"/>
      <c r="ATO152" s="70"/>
      <c r="ATP152" s="70"/>
      <c r="ATQ152" s="70"/>
      <c r="ATR152" s="70"/>
      <c r="ATS152" s="70"/>
      <c r="ATT152" s="70"/>
      <c r="ATU152" s="70"/>
      <c r="ATV152" s="70"/>
      <c r="ATW152" s="70"/>
      <c r="ATX152" s="70"/>
      <c r="ATY152" s="70"/>
      <c r="ATZ152" s="70"/>
      <c r="AUA152" s="70"/>
      <c r="AUB152" s="70"/>
      <c r="AUC152" s="70"/>
      <c r="AUD152" s="70"/>
      <c r="AUE152" s="70"/>
      <c r="AUF152" s="70"/>
      <c r="AUG152" s="70"/>
      <c r="AUH152" s="70"/>
      <c r="AUI152" s="70"/>
      <c r="AUJ152" s="70"/>
      <c r="AUK152" s="70"/>
      <c r="AUL152" s="70"/>
      <c r="AUM152" s="70"/>
      <c r="AUN152" s="70"/>
      <c r="AUO152" s="70"/>
      <c r="AUP152" s="70"/>
      <c r="AUQ152" s="70"/>
      <c r="AUR152" s="70"/>
      <c r="AUS152" s="70"/>
      <c r="AUT152" s="70"/>
      <c r="AUU152" s="70"/>
      <c r="AUV152" s="70"/>
      <c r="AUW152" s="70"/>
      <c r="AUX152" s="70"/>
      <c r="AUY152" s="70"/>
      <c r="AUZ152" s="70"/>
      <c r="AVA152" s="70"/>
      <c r="AVB152" s="70"/>
      <c r="AVC152" s="70"/>
      <c r="AVD152" s="70"/>
      <c r="AVE152" s="70"/>
      <c r="AVF152" s="70"/>
      <c r="AVG152" s="70"/>
      <c r="AVH152" s="70"/>
      <c r="AVI152" s="70"/>
      <c r="AVJ152" s="70"/>
      <c r="AVK152" s="70"/>
      <c r="AVL152" s="70"/>
      <c r="AVM152" s="70"/>
      <c r="AVN152" s="70"/>
      <c r="AVO152" s="70"/>
      <c r="AVP152" s="70"/>
      <c r="AVQ152" s="70"/>
      <c r="AVR152" s="70"/>
      <c r="AVS152" s="70"/>
      <c r="AVT152" s="70"/>
      <c r="AVU152" s="70"/>
      <c r="AVV152" s="70"/>
      <c r="AVW152" s="70"/>
      <c r="AVX152" s="70"/>
      <c r="AVY152" s="70"/>
      <c r="AVZ152" s="70"/>
      <c r="AWA152" s="70"/>
      <c r="AWB152" s="70"/>
      <c r="AWC152" s="70"/>
      <c r="AWD152" s="70"/>
      <c r="AWE152" s="70"/>
      <c r="AWF152" s="70"/>
      <c r="AWG152" s="70"/>
      <c r="AWH152" s="70"/>
      <c r="AWI152" s="70"/>
      <c r="AWJ152" s="70"/>
      <c r="AWK152" s="70"/>
      <c r="AWL152" s="70"/>
      <c r="AWM152" s="70"/>
      <c r="AWN152" s="70"/>
      <c r="AWO152" s="70"/>
      <c r="AWP152" s="70"/>
      <c r="AWQ152" s="70"/>
      <c r="AWR152" s="70"/>
      <c r="AWS152" s="70"/>
      <c r="AWT152" s="70"/>
      <c r="AWU152" s="70"/>
      <c r="AWV152" s="70"/>
      <c r="AWW152" s="70"/>
      <c r="AWX152" s="70"/>
      <c r="AWY152" s="70"/>
      <c r="AWZ152" s="70"/>
      <c r="AXA152" s="70"/>
      <c r="AXB152" s="70"/>
      <c r="AXC152" s="70"/>
      <c r="AXD152" s="70"/>
      <c r="AXE152" s="70"/>
      <c r="AXF152" s="70"/>
      <c r="AXG152" s="70"/>
      <c r="AXH152" s="70"/>
      <c r="AXI152" s="70"/>
      <c r="AXJ152" s="70"/>
      <c r="AXK152" s="70"/>
      <c r="AXL152" s="70"/>
      <c r="AXM152" s="70"/>
      <c r="AXN152" s="70"/>
      <c r="AXO152" s="70"/>
      <c r="AXP152" s="70"/>
      <c r="AXQ152" s="70"/>
      <c r="AXR152" s="70"/>
      <c r="AXS152" s="70"/>
      <c r="AXT152" s="70"/>
      <c r="AXU152" s="70"/>
      <c r="AXV152" s="70"/>
      <c r="AXW152" s="70"/>
      <c r="AXX152" s="70"/>
      <c r="AXY152" s="70"/>
      <c r="AXZ152" s="70"/>
      <c r="AYA152" s="70"/>
      <c r="AYB152" s="70"/>
      <c r="AYC152" s="70"/>
      <c r="AYD152" s="70"/>
      <c r="AYE152" s="70"/>
      <c r="AYF152" s="70"/>
      <c r="AYG152" s="70"/>
      <c r="AYH152" s="70"/>
      <c r="AYI152" s="70"/>
      <c r="AYJ152" s="70"/>
      <c r="AYK152" s="70"/>
      <c r="AYL152" s="70"/>
      <c r="AYM152" s="70"/>
      <c r="AYN152" s="70"/>
      <c r="AYO152" s="70"/>
      <c r="AYP152" s="70"/>
      <c r="AYQ152" s="70"/>
      <c r="AYR152" s="70"/>
      <c r="AYS152" s="70"/>
      <c r="AYT152" s="70"/>
      <c r="AYU152" s="70"/>
      <c r="AYV152" s="70"/>
      <c r="AYW152" s="70"/>
      <c r="AYX152" s="70"/>
      <c r="AYY152" s="70"/>
      <c r="AYZ152" s="70"/>
      <c r="AZA152" s="70"/>
      <c r="AZB152" s="70"/>
      <c r="AZC152" s="70"/>
      <c r="AZD152" s="70"/>
      <c r="AZE152" s="70"/>
      <c r="AZF152" s="70"/>
      <c r="AZG152" s="70"/>
      <c r="AZH152" s="70"/>
      <c r="AZI152" s="70"/>
      <c r="AZJ152" s="70"/>
      <c r="AZK152" s="70"/>
      <c r="AZL152" s="70"/>
      <c r="AZM152" s="70"/>
      <c r="AZN152" s="70"/>
      <c r="AZO152" s="70"/>
      <c r="AZP152" s="70"/>
      <c r="AZQ152" s="70"/>
      <c r="AZR152" s="70"/>
      <c r="AZS152" s="70"/>
      <c r="AZT152" s="70"/>
      <c r="AZU152" s="70"/>
      <c r="AZV152" s="70"/>
      <c r="AZW152" s="70"/>
      <c r="AZX152" s="70"/>
      <c r="AZY152" s="70"/>
      <c r="AZZ152" s="70"/>
      <c r="BAA152" s="70"/>
      <c r="BAB152" s="70"/>
      <c r="BAC152" s="70"/>
      <c r="BAD152" s="70"/>
      <c r="BAE152" s="70"/>
      <c r="BAF152" s="70"/>
      <c r="BAG152" s="70"/>
      <c r="BAH152" s="70"/>
      <c r="BAI152" s="70"/>
      <c r="BAJ152" s="70"/>
      <c r="BAK152" s="70"/>
      <c r="BAL152" s="70"/>
      <c r="BAM152" s="70"/>
      <c r="BAN152" s="70"/>
      <c r="BAO152" s="70"/>
      <c r="BAP152" s="70"/>
      <c r="BAQ152" s="70"/>
      <c r="BAR152" s="70"/>
      <c r="BAS152" s="70"/>
      <c r="BAT152" s="70"/>
      <c r="BAU152" s="70"/>
      <c r="BAV152" s="70"/>
      <c r="BAW152" s="70"/>
      <c r="BAX152" s="70"/>
      <c r="BAY152" s="70"/>
      <c r="BAZ152" s="70"/>
      <c r="BBA152" s="70"/>
      <c r="BBB152" s="70"/>
      <c r="BBC152" s="70"/>
      <c r="BBD152" s="70"/>
      <c r="BBE152" s="70"/>
      <c r="BBF152" s="70"/>
      <c r="BBG152" s="70"/>
      <c r="BBH152" s="70"/>
      <c r="BBI152" s="70"/>
      <c r="BBJ152" s="70"/>
      <c r="BBK152" s="70"/>
      <c r="BBL152" s="70"/>
      <c r="BBM152" s="70"/>
      <c r="BBN152" s="70"/>
      <c r="BBO152" s="70"/>
      <c r="BBP152" s="70"/>
      <c r="BBQ152" s="70"/>
      <c r="BBR152" s="70"/>
      <c r="BBS152" s="70"/>
      <c r="BBT152" s="70"/>
      <c r="BBU152" s="70"/>
      <c r="BBV152" s="70"/>
      <c r="BBW152" s="70"/>
      <c r="BBX152" s="70"/>
      <c r="BBY152" s="70"/>
      <c r="BBZ152" s="70"/>
      <c r="BCA152" s="70"/>
      <c r="BCB152" s="70"/>
      <c r="BCC152" s="70"/>
      <c r="BCD152" s="70"/>
      <c r="BCE152" s="70"/>
      <c r="BCF152" s="70"/>
      <c r="BCG152" s="70"/>
      <c r="BCH152" s="70"/>
      <c r="BCI152" s="70"/>
      <c r="BCJ152" s="70"/>
      <c r="BCK152" s="70"/>
      <c r="BCL152" s="70"/>
      <c r="BCM152" s="70"/>
      <c r="BCN152" s="70"/>
      <c r="BCO152" s="70"/>
      <c r="BCP152" s="70"/>
      <c r="BCQ152" s="70"/>
      <c r="BCR152" s="70"/>
      <c r="BCS152" s="70"/>
      <c r="BCT152" s="70"/>
      <c r="BCU152" s="70"/>
      <c r="BCV152" s="70"/>
      <c r="BCW152" s="70"/>
    </row>
    <row r="153" spans="1:1453" ht="21.75" hidden="1" customHeight="1" x14ac:dyDescent="0.25">
      <c r="A153" s="108" t="s">
        <v>86</v>
      </c>
      <c r="B153" s="109"/>
      <c r="C153" s="109"/>
      <c r="D153" s="109"/>
      <c r="E153" s="109"/>
      <c r="F153" s="109"/>
      <c r="G153" s="109"/>
      <c r="H153" s="109"/>
      <c r="I153" s="69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 spans="1:1453" ht="26.25" hidden="1" customHeight="1" x14ac:dyDescent="0.25">
      <c r="A154" s="25">
        <v>1</v>
      </c>
      <c r="B154" s="10" t="s">
        <v>74</v>
      </c>
      <c r="C154" s="10" t="s">
        <v>75</v>
      </c>
      <c r="D154" s="8">
        <v>12000</v>
      </c>
      <c r="E154" s="43" t="s">
        <v>25</v>
      </c>
      <c r="F154" s="25" t="s">
        <v>55</v>
      </c>
      <c r="G154" s="12" t="s">
        <v>107</v>
      </c>
      <c r="H154" s="8" t="s">
        <v>110</v>
      </c>
      <c r="I154" s="69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 spans="1:1453" ht="26.25" hidden="1" customHeight="1" x14ac:dyDescent="0.25">
      <c r="A155" s="25">
        <v>2</v>
      </c>
      <c r="B155" s="10" t="s">
        <v>76</v>
      </c>
      <c r="C155" s="10" t="s">
        <v>77</v>
      </c>
      <c r="D155" s="8">
        <v>190000</v>
      </c>
      <c r="E155" s="43" t="s">
        <v>78</v>
      </c>
      <c r="F155" s="25" t="s">
        <v>68</v>
      </c>
      <c r="G155" s="12" t="s">
        <v>115</v>
      </c>
      <c r="H155" s="8">
        <v>190000</v>
      </c>
      <c r="I155" s="69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 spans="1:1453" ht="26.25" hidden="1" customHeight="1" x14ac:dyDescent="0.25">
      <c r="A156" s="60">
        <v>3</v>
      </c>
      <c r="B156" s="30" t="s">
        <v>139</v>
      </c>
      <c r="C156" s="30" t="s">
        <v>140</v>
      </c>
      <c r="D156" s="8">
        <v>6000</v>
      </c>
      <c r="E156" s="43" t="s">
        <v>141</v>
      </c>
      <c r="F156" s="60" t="s">
        <v>68</v>
      </c>
      <c r="G156" s="60" t="s">
        <v>510</v>
      </c>
      <c r="H156" s="62">
        <v>6000</v>
      </c>
      <c r="I156" s="69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1453" hidden="1" x14ac:dyDescent="0.25">
      <c r="A157" s="61"/>
      <c r="B157" s="61"/>
      <c r="C157" s="61"/>
      <c r="D157" s="45">
        <f>SUM(D154:D156)</f>
        <v>208000</v>
      </c>
      <c r="E157" s="25"/>
      <c r="F157" s="25"/>
      <c r="G157" s="41"/>
      <c r="H157" s="29"/>
      <c r="I157" s="69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1453" ht="20.25" hidden="1" customHeight="1" x14ac:dyDescent="0.25">
      <c r="A158" s="108" t="s">
        <v>87</v>
      </c>
      <c r="B158" s="109"/>
      <c r="C158" s="109"/>
      <c r="D158" s="109"/>
      <c r="E158" s="109"/>
      <c r="F158" s="109"/>
      <c r="G158" s="109"/>
      <c r="H158" s="109"/>
      <c r="I158" s="69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1453" ht="36" hidden="1" customHeight="1" x14ac:dyDescent="0.25">
      <c r="A159" s="25">
        <v>1</v>
      </c>
      <c r="B159" s="10" t="s">
        <v>91</v>
      </c>
      <c r="C159" s="10" t="s">
        <v>88</v>
      </c>
      <c r="D159" s="8">
        <v>67200</v>
      </c>
      <c r="E159" s="10" t="s">
        <v>89</v>
      </c>
      <c r="F159" s="10" t="s">
        <v>90</v>
      </c>
      <c r="G159" s="25" t="s">
        <v>113</v>
      </c>
      <c r="H159" s="24">
        <v>67200</v>
      </c>
      <c r="I159" s="6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1453" ht="36" hidden="1" customHeight="1" x14ac:dyDescent="0.25">
      <c r="A160" s="60">
        <v>2</v>
      </c>
      <c r="B160" s="30" t="s">
        <v>215</v>
      </c>
      <c r="C160" s="30" t="s">
        <v>216</v>
      </c>
      <c r="D160" s="8">
        <v>8400</v>
      </c>
      <c r="E160" s="60"/>
      <c r="F160" s="60"/>
      <c r="G160" s="60" t="s">
        <v>511</v>
      </c>
      <c r="H160" s="63"/>
      <c r="I160" s="69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hidden="1" x14ac:dyDescent="0.25">
      <c r="A161" s="61"/>
      <c r="B161" s="61"/>
      <c r="C161" s="61"/>
      <c r="D161" s="45">
        <f>SUM(D159:D160)</f>
        <v>75600</v>
      </c>
      <c r="E161" s="25"/>
      <c r="F161" s="25"/>
      <c r="G161" s="41"/>
      <c r="H161" s="64"/>
      <c r="I161" s="69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ht="21" customHeight="1" x14ac:dyDescent="0.25">
      <c r="A162" s="108" t="s">
        <v>305</v>
      </c>
      <c r="B162" s="109"/>
      <c r="C162" s="109"/>
      <c r="D162" s="109"/>
      <c r="E162" s="109"/>
      <c r="F162" s="109"/>
      <c r="G162" s="109"/>
      <c r="H162" s="109"/>
      <c r="I162" s="69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ht="24.75" customHeight="1" x14ac:dyDescent="0.25">
      <c r="A163" s="7">
        <v>1</v>
      </c>
      <c r="B163" s="7" t="s">
        <v>306</v>
      </c>
      <c r="C163" s="7" t="s">
        <v>307</v>
      </c>
      <c r="D163" s="8">
        <v>168200</v>
      </c>
      <c r="E163" s="43" t="s">
        <v>312</v>
      </c>
      <c r="F163" s="7" t="s">
        <v>308</v>
      </c>
      <c r="G163" s="7" t="s">
        <v>500</v>
      </c>
      <c r="H163" s="8">
        <v>168200</v>
      </c>
      <c r="I163" s="69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ht="24.75" customHeight="1" x14ac:dyDescent="0.25">
      <c r="A164" s="7">
        <v>2</v>
      </c>
      <c r="B164" s="7" t="s">
        <v>309</v>
      </c>
      <c r="C164" s="7" t="s">
        <v>310</v>
      </c>
      <c r="D164" s="8">
        <v>1499300</v>
      </c>
      <c r="E164" s="43" t="s">
        <v>311</v>
      </c>
      <c r="F164" s="7" t="s">
        <v>293</v>
      </c>
      <c r="G164" s="7" t="s">
        <v>501</v>
      </c>
      <c r="H164" s="8">
        <v>1499300</v>
      </c>
      <c r="I164" s="69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ht="24.75" customHeight="1" x14ac:dyDescent="0.25">
      <c r="A165" s="7">
        <v>3</v>
      </c>
      <c r="B165" s="7" t="s">
        <v>388</v>
      </c>
      <c r="C165" s="7" t="s">
        <v>389</v>
      </c>
      <c r="D165" s="8">
        <v>725000</v>
      </c>
      <c r="E165" s="43" t="s">
        <v>390</v>
      </c>
      <c r="F165" s="7" t="s">
        <v>68</v>
      </c>
      <c r="G165" s="65"/>
      <c r="H165" s="65"/>
      <c r="I165" s="69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ht="24.75" customHeight="1" x14ac:dyDescent="0.25">
      <c r="A166" s="7">
        <v>4</v>
      </c>
      <c r="B166" s="7" t="s">
        <v>402</v>
      </c>
      <c r="C166" s="7" t="s">
        <v>403</v>
      </c>
      <c r="D166" s="8">
        <v>2027100</v>
      </c>
      <c r="E166" s="43" t="s">
        <v>404</v>
      </c>
      <c r="F166" s="7" t="s">
        <v>405</v>
      </c>
      <c r="G166" s="65"/>
      <c r="H166" s="65"/>
      <c r="I166" s="69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7.25" customHeight="1" x14ac:dyDescent="0.25">
      <c r="A167" s="108" t="s">
        <v>793</v>
      </c>
      <c r="B167" s="109"/>
      <c r="C167" s="109"/>
      <c r="D167" s="109"/>
      <c r="E167" s="109"/>
      <c r="F167" s="109"/>
      <c r="G167" s="109"/>
      <c r="H167" s="109"/>
      <c r="I167" s="69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ht="35.25" customHeight="1" x14ac:dyDescent="0.25">
      <c r="A168" s="25">
        <v>1</v>
      </c>
      <c r="B168" s="25" t="s">
        <v>359</v>
      </c>
      <c r="C168" s="25"/>
      <c r="D168" s="8">
        <v>4978456.8</v>
      </c>
      <c r="E168" s="10" t="s">
        <v>360</v>
      </c>
      <c r="F168" s="87" t="s">
        <v>367</v>
      </c>
      <c r="G168" s="41"/>
      <c r="H168" s="41"/>
      <c r="I168" s="69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ht="20.25" hidden="1" customHeight="1" x14ac:dyDescent="0.25">
      <c r="A169" s="119" t="s">
        <v>375</v>
      </c>
      <c r="B169" s="119"/>
      <c r="C169" s="119"/>
      <c r="D169" s="119"/>
      <c r="E169" s="119"/>
      <c r="F169" s="119"/>
      <c r="G169" s="119"/>
      <c r="H169" s="119"/>
      <c r="I169" s="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ht="25.5" hidden="1" x14ac:dyDescent="0.25">
      <c r="A170" s="25">
        <v>1</v>
      </c>
      <c r="B170" s="25" t="s">
        <v>362</v>
      </c>
      <c r="C170" s="7" t="s">
        <v>361</v>
      </c>
      <c r="D170" s="8">
        <v>752500</v>
      </c>
      <c r="E170" s="10" t="s">
        <v>363</v>
      </c>
      <c r="F170" s="7" t="s">
        <v>364</v>
      </c>
      <c r="G170" s="41"/>
      <c r="H170" s="41"/>
      <c r="I170" s="69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s="2" customFormat="1" hidden="1" x14ac:dyDescent="0.25">
      <c r="A171" s="79"/>
      <c r="B171" s="78"/>
      <c r="C171" s="78"/>
      <c r="D171" s="80">
        <f>D170</f>
        <v>752500</v>
      </c>
      <c r="E171" s="78"/>
      <c r="F171" s="78"/>
      <c r="G171" s="78"/>
      <c r="H171" s="78"/>
      <c r="I171" s="69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ht="18.75" customHeight="1" x14ac:dyDescent="0.25">
      <c r="A172" s="122" t="s">
        <v>794</v>
      </c>
      <c r="B172" s="122"/>
      <c r="C172" s="122"/>
      <c r="D172" s="122"/>
      <c r="E172" s="122"/>
      <c r="F172" s="122"/>
      <c r="G172" s="122"/>
      <c r="H172" s="122"/>
      <c r="I172" s="69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ht="60.75" customHeight="1" x14ac:dyDescent="0.25">
      <c r="A173" s="10">
        <v>1</v>
      </c>
      <c r="B173" s="10" t="s">
        <v>446</v>
      </c>
      <c r="C173" s="10" t="s">
        <v>447</v>
      </c>
      <c r="D173" s="8">
        <v>7660000</v>
      </c>
      <c r="E173" s="10" t="s">
        <v>448</v>
      </c>
      <c r="F173" s="10" t="s">
        <v>68</v>
      </c>
      <c r="G173" s="10" t="s">
        <v>627</v>
      </c>
      <c r="H173" s="8">
        <v>7660000</v>
      </c>
      <c r="I173" s="69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ht="50.25" customHeight="1" x14ac:dyDescent="0.25">
      <c r="A174" s="10">
        <v>2</v>
      </c>
      <c r="B174" s="10" t="s">
        <v>449</v>
      </c>
      <c r="C174" s="10" t="s">
        <v>450</v>
      </c>
      <c r="D174" s="8">
        <v>5227500</v>
      </c>
      <c r="E174" s="10" t="s">
        <v>451</v>
      </c>
      <c r="F174" s="10" t="s">
        <v>55</v>
      </c>
      <c r="G174" s="10" t="s">
        <v>688</v>
      </c>
      <c r="H174" s="95">
        <v>5227500</v>
      </c>
      <c r="I174" s="69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ht="31.5" customHeight="1" x14ac:dyDescent="0.25">
      <c r="A175" s="10">
        <v>3</v>
      </c>
      <c r="B175" s="10" t="s">
        <v>452</v>
      </c>
      <c r="C175" s="10" t="s">
        <v>453</v>
      </c>
      <c r="D175" s="8">
        <v>25000</v>
      </c>
      <c r="E175" s="10" t="s">
        <v>454</v>
      </c>
      <c r="F175" s="10" t="s">
        <v>455</v>
      </c>
      <c r="G175" s="10" t="s">
        <v>683</v>
      </c>
      <c r="H175" s="95">
        <v>25000</v>
      </c>
      <c r="I175" s="69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ht="33.75" customHeight="1" x14ac:dyDescent="0.25">
      <c r="A176" s="10">
        <v>4</v>
      </c>
      <c r="B176" s="10" t="s">
        <v>580</v>
      </c>
      <c r="C176" s="10" t="s">
        <v>581</v>
      </c>
      <c r="D176" s="8">
        <v>1610000</v>
      </c>
      <c r="E176" s="10" t="s">
        <v>582</v>
      </c>
      <c r="F176" s="10" t="s">
        <v>455</v>
      </c>
      <c r="G176" s="10" t="s">
        <v>684</v>
      </c>
      <c r="H176" s="95">
        <v>1610000</v>
      </c>
      <c r="I176" s="69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ht="63" customHeight="1" x14ac:dyDescent="0.25">
      <c r="A177" s="10">
        <v>5</v>
      </c>
      <c r="B177" s="10" t="s">
        <v>791</v>
      </c>
      <c r="C177" s="10" t="s">
        <v>792</v>
      </c>
      <c r="D177" s="8">
        <v>12095000</v>
      </c>
      <c r="E177" s="10" t="s">
        <v>584</v>
      </c>
      <c r="F177" s="10" t="s">
        <v>68</v>
      </c>
      <c r="G177" s="10" t="s">
        <v>759</v>
      </c>
      <c r="H177" s="95">
        <v>12095000</v>
      </c>
      <c r="I177" s="69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ht="33.75" customHeight="1" x14ac:dyDescent="0.25">
      <c r="A178" s="25">
        <v>6</v>
      </c>
      <c r="B178" s="10" t="s">
        <v>742</v>
      </c>
      <c r="C178" s="10" t="s">
        <v>583</v>
      </c>
      <c r="D178" s="8">
        <v>5490000</v>
      </c>
      <c r="E178" s="10" t="s">
        <v>440</v>
      </c>
      <c r="F178" s="25" t="s">
        <v>55</v>
      </c>
      <c r="G178" s="88" t="s">
        <v>758</v>
      </c>
      <c r="H178" s="95">
        <v>5490000</v>
      </c>
      <c r="I178" s="69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ht="36.75" customHeight="1" x14ac:dyDescent="0.25">
      <c r="A179" s="25">
        <v>7</v>
      </c>
      <c r="B179" s="10" t="s">
        <v>602</v>
      </c>
      <c r="C179" s="10" t="s">
        <v>603</v>
      </c>
      <c r="D179" s="8">
        <v>165000</v>
      </c>
      <c r="E179" s="10" t="s">
        <v>604</v>
      </c>
      <c r="F179" s="25" t="s">
        <v>455</v>
      </c>
      <c r="G179" s="10" t="s">
        <v>754</v>
      </c>
      <c r="H179" s="95">
        <v>165000</v>
      </c>
      <c r="I179" s="6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ht="27" customHeight="1" x14ac:dyDescent="0.25">
      <c r="A180" s="93">
        <v>8</v>
      </c>
      <c r="B180" s="71" t="s">
        <v>631</v>
      </c>
      <c r="C180" s="71" t="s">
        <v>605</v>
      </c>
      <c r="D180" s="52">
        <v>1732500</v>
      </c>
      <c r="E180" s="74" t="s">
        <v>606</v>
      </c>
      <c r="F180" s="93" t="s">
        <v>55</v>
      </c>
      <c r="G180" s="71" t="s">
        <v>632</v>
      </c>
      <c r="H180" s="106"/>
      <c r="I180" s="69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ht="21" customHeight="1" x14ac:dyDescent="0.25">
      <c r="A181" s="25">
        <v>9</v>
      </c>
      <c r="B181" s="10" t="s">
        <v>607</v>
      </c>
      <c r="C181" s="10" t="s">
        <v>608</v>
      </c>
      <c r="D181" s="8">
        <v>5332500</v>
      </c>
      <c r="E181" s="10" t="s">
        <v>609</v>
      </c>
      <c r="F181" s="25" t="s">
        <v>68</v>
      </c>
      <c r="G181" s="10" t="s">
        <v>757</v>
      </c>
      <c r="H181" s="95">
        <v>5332500</v>
      </c>
      <c r="I181" s="69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ht="27.75" customHeight="1" x14ac:dyDescent="0.25">
      <c r="A182" s="25">
        <v>10</v>
      </c>
      <c r="B182" s="10" t="s">
        <v>743</v>
      </c>
      <c r="C182" s="10" t="s">
        <v>610</v>
      </c>
      <c r="D182" s="8">
        <v>2802500</v>
      </c>
      <c r="E182" s="10" t="s">
        <v>611</v>
      </c>
      <c r="F182" s="25" t="s">
        <v>55</v>
      </c>
      <c r="G182" s="10" t="s">
        <v>663</v>
      </c>
      <c r="H182" s="95"/>
      <c r="I182" s="69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5">
      <c r="A183" s="25">
        <v>11</v>
      </c>
      <c r="B183" s="10" t="s">
        <v>612</v>
      </c>
      <c r="C183" s="10" t="s">
        <v>613</v>
      </c>
      <c r="D183" s="8">
        <v>5135000</v>
      </c>
      <c r="E183" s="10" t="s">
        <v>614</v>
      </c>
      <c r="F183" s="25" t="s">
        <v>68</v>
      </c>
      <c r="G183" s="10" t="s">
        <v>756</v>
      </c>
      <c r="H183" s="95">
        <v>5135000</v>
      </c>
      <c r="I183" s="69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5">
      <c r="A184" s="25">
        <v>12</v>
      </c>
      <c r="B184" s="10" t="s">
        <v>616</v>
      </c>
      <c r="C184" s="10" t="s">
        <v>615</v>
      </c>
      <c r="D184" s="8">
        <v>840000</v>
      </c>
      <c r="E184" s="10" t="s">
        <v>604</v>
      </c>
      <c r="F184" s="25" t="s">
        <v>455</v>
      </c>
      <c r="G184" s="10" t="s">
        <v>755</v>
      </c>
      <c r="H184" s="95">
        <v>840000</v>
      </c>
      <c r="I184" s="69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ht="25.5" x14ac:dyDescent="0.25">
      <c r="A185" s="25">
        <v>13</v>
      </c>
      <c r="B185" s="10" t="s">
        <v>634</v>
      </c>
      <c r="C185" s="10" t="s">
        <v>635</v>
      </c>
      <c r="D185" s="8">
        <v>5390000</v>
      </c>
      <c r="E185" s="10" t="s">
        <v>636</v>
      </c>
      <c r="F185" s="25" t="s">
        <v>68</v>
      </c>
      <c r="G185" s="10"/>
      <c r="H185" s="95"/>
      <c r="I185" s="69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ht="25.5" x14ac:dyDescent="0.25">
      <c r="A186" s="25">
        <v>14</v>
      </c>
      <c r="B186" s="10" t="s">
        <v>637</v>
      </c>
      <c r="C186" s="10" t="s">
        <v>638</v>
      </c>
      <c r="D186" s="8">
        <v>162500</v>
      </c>
      <c r="E186" s="10" t="s">
        <v>639</v>
      </c>
      <c r="F186" s="25" t="s">
        <v>455</v>
      </c>
      <c r="G186" s="10" t="s">
        <v>753</v>
      </c>
      <c r="H186" s="95">
        <v>162500</v>
      </c>
      <c r="I186" s="69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ht="25.5" x14ac:dyDescent="0.25">
      <c r="A187" s="25">
        <v>15</v>
      </c>
      <c r="B187" s="10" t="s">
        <v>704</v>
      </c>
      <c r="C187" s="10" t="s">
        <v>734</v>
      </c>
      <c r="D187" s="8">
        <v>6252500</v>
      </c>
      <c r="E187" s="10" t="s">
        <v>705</v>
      </c>
      <c r="F187" s="25" t="s">
        <v>68</v>
      </c>
      <c r="G187" s="10"/>
      <c r="H187" s="95"/>
      <c r="I187" s="69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ht="25.5" x14ac:dyDescent="0.25">
      <c r="A188" s="25">
        <v>16</v>
      </c>
      <c r="B188" s="10" t="s">
        <v>706</v>
      </c>
      <c r="C188" s="10" t="s">
        <v>733</v>
      </c>
      <c r="D188" s="8">
        <v>332500</v>
      </c>
      <c r="E188" s="10" t="s">
        <v>707</v>
      </c>
      <c r="F188" s="25" t="s">
        <v>55</v>
      </c>
      <c r="G188" s="10"/>
      <c r="H188" s="95"/>
      <c r="I188" s="69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x14ac:dyDescent="0.25">
      <c r="A189" s="25">
        <v>17</v>
      </c>
      <c r="B189" s="10" t="s">
        <v>708</v>
      </c>
      <c r="C189" s="10" t="s">
        <v>732</v>
      </c>
      <c r="D189" s="8">
        <v>72500</v>
      </c>
      <c r="E189" s="74" t="s">
        <v>709</v>
      </c>
      <c r="F189" s="25" t="s">
        <v>710</v>
      </c>
      <c r="G189" s="10"/>
      <c r="H189" s="95"/>
      <c r="I189" s="6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ht="38.25" x14ac:dyDescent="0.25">
      <c r="A190" s="25">
        <v>18</v>
      </c>
      <c r="B190" s="10" t="s">
        <v>763</v>
      </c>
      <c r="C190" s="10" t="s">
        <v>764</v>
      </c>
      <c r="D190" s="8">
        <v>15000</v>
      </c>
      <c r="E190" s="74" t="s">
        <v>765</v>
      </c>
      <c r="F190" s="10" t="s">
        <v>766</v>
      </c>
      <c r="G190" s="10"/>
      <c r="H190" s="95"/>
      <c r="I190" s="69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ht="25.5" x14ac:dyDescent="0.25">
      <c r="A191" s="25">
        <v>19</v>
      </c>
      <c r="B191" s="10" t="s">
        <v>770</v>
      </c>
      <c r="C191" s="10" t="s">
        <v>771</v>
      </c>
      <c r="D191" s="8">
        <v>2632500</v>
      </c>
      <c r="E191" s="74" t="s">
        <v>772</v>
      </c>
      <c r="F191" s="10" t="s">
        <v>55</v>
      </c>
      <c r="G191" s="10"/>
      <c r="H191" s="95"/>
      <c r="I191" s="69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ht="25.5" x14ac:dyDescent="0.25">
      <c r="A192" s="25">
        <v>20</v>
      </c>
      <c r="B192" s="10" t="s">
        <v>773</v>
      </c>
      <c r="C192" s="10" t="s">
        <v>774</v>
      </c>
      <c r="D192" s="8">
        <v>1465000</v>
      </c>
      <c r="E192" s="74" t="s">
        <v>772</v>
      </c>
      <c r="F192" s="10" t="s">
        <v>455</v>
      </c>
      <c r="G192" s="10"/>
      <c r="H192" s="95"/>
      <c r="I192" s="69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ht="38.25" x14ac:dyDescent="0.25">
      <c r="A193" s="25">
        <v>21</v>
      </c>
      <c r="B193" s="10" t="s">
        <v>789</v>
      </c>
      <c r="C193" s="10" t="s">
        <v>790</v>
      </c>
      <c r="D193" s="8">
        <v>2362500</v>
      </c>
      <c r="E193" s="74" t="s">
        <v>772</v>
      </c>
      <c r="F193" s="10" t="s">
        <v>68</v>
      </c>
      <c r="G193" s="10"/>
      <c r="H193" s="95"/>
      <c r="I193" s="69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ht="17.25" hidden="1" customHeight="1" x14ac:dyDescent="0.25">
      <c r="A194" s="119" t="s">
        <v>554</v>
      </c>
      <c r="B194" s="119"/>
      <c r="C194" s="119"/>
      <c r="D194" s="119"/>
      <c r="E194" s="119"/>
      <c r="F194" s="119"/>
      <c r="G194" s="119"/>
      <c r="H194" s="119"/>
      <c r="I194" s="69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ht="32.25" hidden="1" customHeight="1" x14ac:dyDescent="0.25">
      <c r="A195" s="25">
        <v>1</v>
      </c>
      <c r="B195" s="10" t="s">
        <v>292</v>
      </c>
      <c r="C195" s="66"/>
      <c r="D195" s="8">
        <v>339080</v>
      </c>
      <c r="E195" s="10" t="s">
        <v>555</v>
      </c>
      <c r="F195" s="25"/>
      <c r="G195" s="81" t="s">
        <v>556</v>
      </c>
      <c r="H195" s="82">
        <v>339080</v>
      </c>
      <c r="I195" s="69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hidden="1" x14ac:dyDescent="0.25">
      <c r="A196" s="6"/>
      <c r="B196" s="5"/>
      <c r="C196" s="5"/>
      <c r="D196" s="4">
        <v>339080</v>
      </c>
      <c r="E196" s="6"/>
      <c r="F196" s="6"/>
      <c r="G196" s="5"/>
      <c r="H196" s="5"/>
      <c r="I196" s="69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x14ac:dyDescent="0.25">
      <c r="I197" s="69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5">
      <c r="B198" s="14"/>
      <c r="C198" s="14"/>
      <c r="E198" s="92"/>
      <c r="I198" s="69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5">
      <c r="I199" s="6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5">
      <c r="I200" s="69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x14ac:dyDescent="0.25">
      <c r="I201" s="69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5">
      <c r="I202" s="69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5">
      <c r="I203" s="69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5">
      <c r="I204" s="69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5">
      <c r="I205" s="69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5">
      <c r="I206" s="69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x14ac:dyDescent="0.25">
      <c r="I207" s="69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5">
      <c r="I208" s="69"/>
      <c r="J208"/>
      <c r="K208"/>
      <c r="L208"/>
      <c r="M208"/>
      <c r="N208"/>
      <c r="O208"/>
      <c r="P208"/>
      <c r="Q208"/>
      <c r="R208"/>
      <c r="S208"/>
      <c r="T208"/>
      <c r="U208"/>
    </row>
    <row r="209" spans="9:40" x14ac:dyDescent="0.25">
      <c r="I209" s="6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9:40" x14ac:dyDescent="0.25">
      <c r="I210" s="69"/>
      <c r="J210"/>
      <c r="K210"/>
      <c r="L210"/>
      <c r="M210"/>
      <c r="N210"/>
      <c r="O210"/>
      <c r="P210"/>
      <c r="Q210"/>
      <c r="R210"/>
      <c r="S210"/>
      <c r="T210"/>
      <c r="U210"/>
    </row>
    <row r="211" spans="9:40" x14ac:dyDescent="0.25"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</row>
    <row r="212" spans="9:40" x14ac:dyDescent="0.25"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</row>
    <row r="213" spans="9:40" x14ac:dyDescent="0.25"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</row>
    <row r="214" spans="9:40" x14ac:dyDescent="0.25"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</row>
    <row r="215" spans="9:40" x14ac:dyDescent="0.25"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</row>
    <row r="216" spans="9:40" x14ac:dyDescent="0.25"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</row>
    <row r="217" spans="9:40" x14ac:dyDescent="0.25"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</row>
    <row r="218" spans="9:40" x14ac:dyDescent="0.25"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</row>
    <row r="219" spans="9:40" x14ac:dyDescent="0.25"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</row>
    <row r="220" spans="9:40" x14ac:dyDescent="0.25"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</row>
    <row r="221" spans="9:40" x14ac:dyDescent="0.25"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</row>
    <row r="222" spans="9:40" x14ac:dyDescent="0.25"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</row>
    <row r="223" spans="9:40" x14ac:dyDescent="0.25"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</row>
    <row r="224" spans="9:40" x14ac:dyDescent="0.25"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</row>
    <row r="225" spans="9:40" x14ac:dyDescent="0.25"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</row>
    <row r="226" spans="9:40" x14ac:dyDescent="0.25"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</row>
    <row r="227" spans="9:40" x14ac:dyDescent="0.25"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</row>
    <row r="228" spans="9:40" x14ac:dyDescent="0.25"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</row>
    <row r="229" spans="9:40" x14ac:dyDescent="0.25"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</row>
    <row r="230" spans="9:40" x14ac:dyDescent="0.25"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</row>
    <row r="231" spans="9:40" x14ac:dyDescent="0.25"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</row>
    <row r="232" spans="9:40" x14ac:dyDescent="0.25"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</row>
    <row r="233" spans="9:40" x14ac:dyDescent="0.25"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</row>
    <row r="234" spans="9:40" x14ac:dyDescent="0.25"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</row>
    <row r="235" spans="9:40" x14ac:dyDescent="0.25"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</row>
    <row r="236" spans="9:40" x14ac:dyDescent="0.25"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</row>
    <row r="237" spans="9:40" x14ac:dyDescent="0.25"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</row>
    <row r="238" spans="9:40" x14ac:dyDescent="0.25"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</row>
    <row r="239" spans="9:40" x14ac:dyDescent="0.25"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</row>
    <row r="240" spans="9:40" x14ac:dyDescent="0.25"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</row>
    <row r="241" spans="9:40" x14ac:dyDescent="0.25"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</row>
    <row r="242" spans="9:40" x14ac:dyDescent="0.25"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</row>
    <row r="243" spans="9:40" x14ac:dyDescent="0.25"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</row>
    <row r="244" spans="9:40" x14ac:dyDescent="0.25"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</row>
    <row r="245" spans="9:40" x14ac:dyDescent="0.25"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</row>
    <row r="246" spans="9:40" x14ac:dyDescent="0.25"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</row>
    <row r="247" spans="9:40" x14ac:dyDescent="0.25"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</row>
    <row r="248" spans="9:40" x14ac:dyDescent="0.25"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</row>
    <row r="249" spans="9:40" x14ac:dyDescent="0.25"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</row>
    <row r="250" spans="9:40" x14ac:dyDescent="0.25"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</row>
    <row r="251" spans="9:40" x14ac:dyDescent="0.25"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</row>
    <row r="252" spans="9:40" x14ac:dyDescent="0.25"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</row>
    <row r="253" spans="9:40" x14ac:dyDescent="0.25"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</row>
    <row r="254" spans="9:40" x14ac:dyDescent="0.25"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</row>
    <row r="255" spans="9:40" x14ac:dyDescent="0.25"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</row>
    <row r="256" spans="9:40" x14ac:dyDescent="0.25"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</row>
    <row r="257" spans="9:40" x14ac:dyDescent="0.25"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</row>
    <row r="258" spans="9:40" x14ac:dyDescent="0.25"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</row>
    <row r="259" spans="9:40" x14ac:dyDescent="0.25"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</row>
    <row r="260" spans="9:40" x14ac:dyDescent="0.25"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</row>
    <row r="261" spans="9:40" x14ac:dyDescent="0.25"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</row>
    <row r="262" spans="9:40" x14ac:dyDescent="0.25"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</row>
    <row r="263" spans="9:40" x14ac:dyDescent="0.25"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</row>
    <row r="264" spans="9:40" x14ac:dyDescent="0.25"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</row>
    <row r="265" spans="9:40" x14ac:dyDescent="0.25"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</row>
    <row r="266" spans="9:40" x14ac:dyDescent="0.25"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</row>
    <row r="267" spans="9:40" x14ac:dyDescent="0.25"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</row>
    <row r="268" spans="9:40" x14ac:dyDescent="0.25"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</row>
    <row r="269" spans="9:40" x14ac:dyDescent="0.25"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</row>
    <row r="270" spans="9:40" x14ac:dyDescent="0.25"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</row>
    <row r="271" spans="9:40" x14ac:dyDescent="0.25"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</row>
    <row r="272" spans="9:40" x14ac:dyDescent="0.25"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</row>
    <row r="273" spans="9:40" x14ac:dyDescent="0.25"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</row>
    <row r="274" spans="9:40" x14ac:dyDescent="0.25"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</row>
    <row r="275" spans="9:40" x14ac:dyDescent="0.25"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</row>
    <row r="276" spans="9:40" x14ac:dyDescent="0.25"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</row>
    <row r="277" spans="9:40" x14ac:dyDescent="0.25"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</row>
    <row r="278" spans="9:40" x14ac:dyDescent="0.25"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</row>
    <row r="279" spans="9:40" x14ac:dyDescent="0.25"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</row>
    <row r="280" spans="9:40" x14ac:dyDescent="0.25"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</row>
    <row r="281" spans="9:40" x14ac:dyDescent="0.25"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</row>
    <row r="282" spans="9:40" x14ac:dyDescent="0.25"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</row>
    <row r="283" spans="9:40" x14ac:dyDescent="0.25"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</row>
    <row r="284" spans="9:40" x14ac:dyDescent="0.25"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</row>
    <row r="285" spans="9:40" x14ac:dyDescent="0.25"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</row>
    <row r="286" spans="9:40" x14ac:dyDescent="0.25"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</row>
    <row r="287" spans="9:40" x14ac:dyDescent="0.25"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</row>
    <row r="288" spans="9:40" x14ac:dyDescent="0.25"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</row>
    <row r="289" spans="9:40" x14ac:dyDescent="0.25"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</row>
    <row r="290" spans="9:40" x14ac:dyDescent="0.25"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</row>
    <row r="291" spans="9:40" x14ac:dyDescent="0.25"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</row>
    <row r="292" spans="9:40" x14ac:dyDescent="0.25"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</row>
    <row r="293" spans="9:40" x14ac:dyDescent="0.25"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</row>
    <row r="294" spans="9:40" x14ac:dyDescent="0.25"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</row>
    <row r="295" spans="9:40" x14ac:dyDescent="0.25"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</row>
    <row r="296" spans="9:40" x14ac:dyDescent="0.25"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</row>
    <row r="297" spans="9:40" x14ac:dyDescent="0.25"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</row>
    <row r="298" spans="9:40" x14ac:dyDescent="0.25"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</row>
    <row r="299" spans="9:40" x14ac:dyDescent="0.25"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</row>
    <row r="300" spans="9:40" x14ac:dyDescent="0.25"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</row>
    <row r="301" spans="9:40" x14ac:dyDescent="0.25"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</row>
    <row r="302" spans="9:40" x14ac:dyDescent="0.25"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</row>
    <row r="303" spans="9:40" x14ac:dyDescent="0.25">
      <c r="I303" s="69"/>
    </row>
    <row r="304" spans="9:40" x14ac:dyDescent="0.25">
      <c r="I304" s="69"/>
    </row>
  </sheetData>
  <mergeCells count="93">
    <mergeCell ref="A58:A59"/>
    <mergeCell ref="H85:H93"/>
    <mergeCell ref="H100:H105"/>
    <mergeCell ref="A169:H169"/>
    <mergeCell ref="G122:G123"/>
    <mergeCell ref="A120:A121"/>
    <mergeCell ref="B120:B121"/>
    <mergeCell ref="C120:C121"/>
    <mergeCell ref="D120:D121"/>
    <mergeCell ref="E120:E121"/>
    <mergeCell ref="G120:G121"/>
    <mergeCell ref="H120:H121"/>
    <mergeCell ref="A124:A125"/>
    <mergeCell ref="D122:D123"/>
    <mergeCell ref="E142:E145"/>
    <mergeCell ref="E138:E141"/>
    <mergeCell ref="B124:B125"/>
    <mergeCell ref="C124:C125"/>
    <mergeCell ref="C132:C133"/>
    <mergeCell ref="A132:A133"/>
    <mergeCell ref="E132:E133"/>
    <mergeCell ref="B132:B133"/>
    <mergeCell ref="G100:G105"/>
    <mergeCell ref="G98:G99"/>
    <mergeCell ref="H122:H123"/>
    <mergeCell ref="A122:A123"/>
    <mergeCell ref="B122:B123"/>
    <mergeCell ref="C122:C123"/>
    <mergeCell ref="E122:E123"/>
    <mergeCell ref="H98:H99"/>
    <mergeCell ref="G133:G134"/>
    <mergeCell ref="H133:H134"/>
    <mergeCell ref="G94:G96"/>
    <mergeCell ref="H94:H96"/>
    <mergeCell ref="B41:B43"/>
    <mergeCell ref="C41:C43"/>
    <mergeCell ref="D41:D43"/>
    <mergeCell ref="F41:F43"/>
    <mergeCell ref="B44:B46"/>
    <mergeCell ref="E41:E43"/>
    <mergeCell ref="G85:G93"/>
    <mergeCell ref="A50:A52"/>
    <mergeCell ref="B50:B52"/>
    <mergeCell ref="C50:C52"/>
    <mergeCell ref="D50:D52"/>
    <mergeCell ref="E50:E52"/>
    <mergeCell ref="F50:F52"/>
    <mergeCell ref="A28:C28"/>
    <mergeCell ref="A34:A36"/>
    <mergeCell ref="F44:F46"/>
    <mergeCell ref="C34:C36"/>
    <mergeCell ref="D34:D36"/>
    <mergeCell ref="E34:E36"/>
    <mergeCell ref="D47:D49"/>
    <mergeCell ref="E47:E49"/>
    <mergeCell ref="F47:F49"/>
    <mergeCell ref="F34:F36"/>
    <mergeCell ref="C44:C46"/>
    <mergeCell ref="A44:A46"/>
    <mergeCell ref="D44:D46"/>
    <mergeCell ref="E44:E46"/>
    <mergeCell ref="A194:H194"/>
    <mergeCell ref="G34:G36"/>
    <mergeCell ref="H34:H36"/>
    <mergeCell ref="H44:H46"/>
    <mergeCell ref="G50:G52"/>
    <mergeCell ref="H50:H52"/>
    <mergeCell ref="G41:G43"/>
    <mergeCell ref="H41:H43"/>
    <mergeCell ref="A47:A49"/>
    <mergeCell ref="B47:B49"/>
    <mergeCell ref="C47:C49"/>
    <mergeCell ref="A162:H162"/>
    <mergeCell ref="A167:H167"/>
    <mergeCell ref="A172:H172"/>
    <mergeCell ref="G47:G49"/>
    <mergeCell ref="H47:H49"/>
    <mergeCell ref="B34:B36"/>
    <mergeCell ref="A41:A43"/>
    <mergeCell ref="G44:G46"/>
    <mergeCell ref="G81:G83"/>
    <mergeCell ref="H81:H83"/>
    <mergeCell ref="A65:C65"/>
    <mergeCell ref="A2:H2"/>
    <mergeCell ref="A29:H29"/>
    <mergeCell ref="A63:H63"/>
    <mergeCell ref="A66:H66"/>
    <mergeCell ref="A74:H74"/>
    <mergeCell ref="A119:H119"/>
    <mergeCell ref="A153:H153"/>
    <mergeCell ref="A158:H158"/>
    <mergeCell ref="H3:H12"/>
    <mergeCell ref="H14:H27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C62-6D0D-49CF-91FD-09CF6553433C}">
  <sheetPr>
    <pageSetUpPr fitToPage="1"/>
  </sheetPr>
  <dimension ref="A1:K92"/>
  <sheetViews>
    <sheetView tabSelected="1" workbookViewId="0">
      <selection activeCell="G57" sqref="G57"/>
    </sheetView>
  </sheetViews>
  <sheetFormatPr defaultRowHeight="15" x14ac:dyDescent="0.25"/>
  <cols>
    <col min="1" max="1" width="8.28515625" customWidth="1"/>
    <col min="2" max="3" width="21.28515625" customWidth="1"/>
    <col min="4" max="4" width="19.85546875" customWidth="1"/>
    <col min="5" max="5" width="17" customWidth="1"/>
    <col min="6" max="6" width="22.5703125" customWidth="1"/>
    <col min="7" max="7" width="17.85546875" customWidth="1"/>
    <col min="8" max="8" width="20.5703125" customWidth="1"/>
    <col min="9" max="9" width="22" customWidth="1"/>
    <col min="10" max="11" width="16.5703125" customWidth="1"/>
  </cols>
  <sheetData>
    <row r="1" spans="1:11" x14ac:dyDescent="0.25">
      <c r="A1" s="155" t="s">
        <v>194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45" x14ac:dyDescent="0.25">
      <c r="A2" s="22" t="s">
        <v>125</v>
      </c>
      <c r="B2" s="22" t="s">
        <v>795</v>
      </c>
      <c r="C2" s="22" t="s">
        <v>796</v>
      </c>
      <c r="D2" s="22" t="s">
        <v>163</v>
      </c>
      <c r="E2" s="22" t="s">
        <v>164</v>
      </c>
      <c r="F2" s="22" t="s">
        <v>165</v>
      </c>
      <c r="G2" s="22" t="s">
        <v>166</v>
      </c>
      <c r="H2" s="22" t="s">
        <v>167</v>
      </c>
      <c r="I2" s="22" t="s">
        <v>183</v>
      </c>
      <c r="J2" s="22" t="s">
        <v>181</v>
      </c>
      <c r="K2" s="22" t="s">
        <v>324</v>
      </c>
    </row>
    <row r="3" spans="1:11" ht="24.75" customHeight="1" x14ac:dyDescent="0.25">
      <c r="A3" s="156" t="s">
        <v>184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</row>
    <row r="4" spans="1:11" ht="41.1" customHeight="1" x14ac:dyDescent="0.25">
      <c r="A4" s="18">
        <v>1</v>
      </c>
      <c r="B4" s="11" t="s">
        <v>184</v>
      </c>
      <c r="C4" s="11" t="s">
        <v>797</v>
      </c>
      <c r="D4" s="11" t="s">
        <v>185</v>
      </c>
      <c r="E4" s="16">
        <v>43200</v>
      </c>
      <c r="F4" s="11" t="s">
        <v>186</v>
      </c>
      <c r="G4" s="11" t="s">
        <v>161</v>
      </c>
      <c r="H4" s="17">
        <v>45231</v>
      </c>
      <c r="I4" s="11" t="s">
        <v>187</v>
      </c>
      <c r="J4" s="11" t="s">
        <v>332</v>
      </c>
      <c r="K4" s="16">
        <v>43200</v>
      </c>
    </row>
    <row r="5" spans="1:11" ht="41.1" customHeight="1" x14ac:dyDescent="0.25">
      <c r="A5" s="18">
        <v>2</v>
      </c>
      <c r="B5" s="11" t="s">
        <v>184</v>
      </c>
      <c r="C5" s="11" t="s">
        <v>797</v>
      </c>
      <c r="D5" s="11" t="s">
        <v>197</v>
      </c>
      <c r="E5" s="16">
        <v>922900</v>
      </c>
      <c r="F5" s="11" t="s">
        <v>186</v>
      </c>
      <c r="G5" s="11" t="s">
        <v>161</v>
      </c>
      <c r="H5" s="17">
        <v>44896</v>
      </c>
      <c r="I5" s="11" t="s">
        <v>187</v>
      </c>
      <c r="J5" s="11" t="s">
        <v>788</v>
      </c>
      <c r="K5" s="19"/>
    </row>
    <row r="6" spans="1:11" ht="26.25" customHeight="1" x14ac:dyDescent="0.25">
      <c r="A6" s="156" t="s">
        <v>188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</row>
    <row r="7" spans="1:11" ht="41.1" customHeight="1" x14ac:dyDescent="0.25">
      <c r="A7" s="18">
        <v>1</v>
      </c>
      <c r="B7" s="11" t="s">
        <v>188</v>
      </c>
      <c r="C7" s="11" t="s">
        <v>797</v>
      </c>
      <c r="D7" s="11" t="s">
        <v>199</v>
      </c>
      <c r="E7" s="16">
        <v>9163800</v>
      </c>
      <c r="F7" s="11" t="s">
        <v>200</v>
      </c>
      <c r="G7" s="11" t="s">
        <v>161</v>
      </c>
      <c r="H7" s="17" t="s">
        <v>202</v>
      </c>
      <c r="I7" s="11" t="s">
        <v>187</v>
      </c>
      <c r="J7" s="15" t="s">
        <v>96</v>
      </c>
      <c r="K7" s="19"/>
    </row>
    <row r="8" spans="1:11" ht="41.1" customHeight="1" x14ac:dyDescent="0.25">
      <c r="A8" s="18">
        <v>2</v>
      </c>
      <c r="B8" s="11" t="s">
        <v>188</v>
      </c>
      <c r="C8" s="11" t="s">
        <v>797</v>
      </c>
      <c r="D8" s="11" t="s">
        <v>189</v>
      </c>
      <c r="E8" s="16">
        <v>893700</v>
      </c>
      <c r="F8" s="11" t="s">
        <v>200</v>
      </c>
      <c r="G8" s="11" t="s">
        <v>161</v>
      </c>
      <c r="H8" s="11" t="s">
        <v>190</v>
      </c>
      <c r="I8" s="11" t="s">
        <v>187</v>
      </c>
      <c r="J8" s="11"/>
      <c r="K8" s="16"/>
    </row>
    <row r="9" spans="1:11" ht="41.1" customHeight="1" x14ac:dyDescent="0.25">
      <c r="A9" s="18">
        <v>3</v>
      </c>
      <c r="B9" s="11" t="s">
        <v>188</v>
      </c>
      <c r="C9" s="11" t="s">
        <v>797</v>
      </c>
      <c r="D9" s="11" t="s">
        <v>198</v>
      </c>
      <c r="E9" s="16">
        <v>823900</v>
      </c>
      <c r="F9" s="11" t="s">
        <v>200</v>
      </c>
      <c r="G9" s="11" t="s">
        <v>161</v>
      </c>
      <c r="H9" s="17" t="s">
        <v>201</v>
      </c>
      <c r="I9" s="11" t="s">
        <v>187</v>
      </c>
      <c r="J9" s="15" t="s">
        <v>96</v>
      </c>
      <c r="K9" s="19"/>
    </row>
    <row r="10" spans="1:11" ht="33.75" customHeight="1" x14ac:dyDescent="0.25">
      <c r="A10" s="158" t="s">
        <v>168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 ht="30" customHeight="1" x14ac:dyDescent="0.25">
      <c r="A11" s="97" t="s">
        <v>125</v>
      </c>
      <c r="B11" s="97" t="s">
        <v>162</v>
      </c>
      <c r="C11" s="97"/>
      <c r="D11" s="97" t="s">
        <v>163</v>
      </c>
      <c r="E11" s="97" t="s">
        <v>164</v>
      </c>
      <c r="F11" s="97" t="s">
        <v>165</v>
      </c>
      <c r="G11" s="97" t="s">
        <v>166</v>
      </c>
      <c r="H11" s="97" t="s">
        <v>167</v>
      </c>
      <c r="I11" s="97" t="s">
        <v>183</v>
      </c>
      <c r="J11" s="97" t="s">
        <v>181</v>
      </c>
      <c r="K11" s="97" t="s">
        <v>324</v>
      </c>
    </row>
    <row r="12" spans="1:11" ht="32.25" customHeight="1" x14ac:dyDescent="0.25">
      <c r="A12" s="34">
        <v>1</v>
      </c>
      <c r="B12" s="34" t="s">
        <v>168</v>
      </c>
      <c r="C12" s="11" t="s">
        <v>797</v>
      </c>
      <c r="D12" s="34" t="s">
        <v>182</v>
      </c>
      <c r="E12" s="35">
        <v>132000</v>
      </c>
      <c r="F12" s="34" t="s">
        <v>169</v>
      </c>
      <c r="G12" s="34" t="s">
        <v>170</v>
      </c>
      <c r="H12" s="36" t="s">
        <v>131</v>
      </c>
      <c r="I12" s="34" t="s">
        <v>160</v>
      </c>
      <c r="J12" s="34" t="s">
        <v>328</v>
      </c>
      <c r="K12" s="35">
        <v>132000</v>
      </c>
    </row>
    <row r="13" spans="1:11" ht="31.5" customHeight="1" x14ac:dyDescent="0.25">
      <c r="A13" s="11">
        <v>2</v>
      </c>
      <c r="B13" s="11" t="s">
        <v>168</v>
      </c>
      <c r="C13" s="11" t="s">
        <v>797</v>
      </c>
      <c r="D13" s="11" t="s">
        <v>319</v>
      </c>
      <c r="E13" s="16">
        <v>668800</v>
      </c>
      <c r="F13" s="11" t="s">
        <v>169</v>
      </c>
      <c r="G13" s="11" t="s">
        <v>170</v>
      </c>
      <c r="H13" s="17" t="s">
        <v>296</v>
      </c>
      <c r="I13" s="11" t="s">
        <v>320</v>
      </c>
      <c r="J13" s="11" t="s">
        <v>323</v>
      </c>
      <c r="K13" s="16">
        <v>668800</v>
      </c>
    </row>
    <row r="14" spans="1:11" ht="63.75" customHeight="1" x14ac:dyDescent="0.25">
      <c r="A14" s="11">
        <v>3</v>
      </c>
      <c r="B14" s="11" t="s">
        <v>168</v>
      </c>
      <c r="C14" s="11" t="s">
        <v>797</v>
      </c>
      <c r="D14" s="11" t="s">
        <v>321</v>
      </c>
      <c r="E14" s="16">
        <v>1702800</v>
      </c>
      <c r="F14" s="11" t="s">
        <v>169</v>
      </c>
      <c r="G14" s="11" t="s">
        <v>170</v>
      </c>
      <c r="H14" s="17" t="s">
        <v>322</v>
      </c>
      <c r="I14" s="10" t="s">
        <v>370</v>
      </c>
      <c r="J14" s="11" t="s">
        <v>327</v>
      </c>
      <c r="K14" s="16">
        <v>1702800</v>
      </c>
    </row>
    <row r="15" spans="1:11" ht="39.75" customHeight="1" x14ac:dyDescent="0.25">
      <c r="A15" s="34">
        <v>4</v>
      </c>
      <c r="B15" s="11" t="s">
        <v>168</v>
      </c>
      <c r="C15" s="11" t="s">
        <v>797</v>
      </c>
      <c r="D15" s="11" t="s">
        <v>193</v>
      </c>
      <c r="E15" s="16">
        <v>312400</v>
      </c>
      <c r="F15" s="11" t="s">
        <v>169</v>
      </c>
      <c r="G15" s="11" t="s">
        <v>170</v>
      </c>
      <c r="H15" s="23" t="s">
        <v>191</v>
      </c>
      <c r="I15" s="10" t="s">
        <v>192</v>
      </c>
      <c r="J15" s="11" t="s">
        <v>331</v>
      </c>
      <c r="K15" s="16">
        <v>312400</v>
      </c>
    </row>
    <row r="16" spans="1:11" ht="95.25" customHeight="1" x14ac:dyDescent="0.25">
      <c r="A16" s="11">
        <v>5</v>
      </c>
      <c r="B16" s="11" t="s">
        <v>168</v>
      </c>
      <c r="C16" s="11" t="s">
        <v>797</v>
      </c>
      <c r="D16" s="11" t="s">
        <v>317</v>
      </c>
      <c r="E16" s="16">
        <v>2235600</v>
      </c>
      <c r="F16" s="11" t="s">
        <v>169</v>
      </c>
      <c r="G16" s="11" t="s">
        <v>170</v>
      </c>
      <c r="H16" s="20" t="s">
        <v>318</v>
      </c>
      <c r="I16" s="11" t="s">
        <v>369</v>
      </c>
      <c r="J16" s="11" t="s">
        <v>356</v>
      </c>
      <c r="K16" s="16">
        <v>2235600</v>
      </c>
    </row>
    <row r="17" spans="1:11" ht="42.75" customHeight="1" x14ac:dyDescent="0.25">
      <c r="A17" s="11">
        <v>6</v>
      </c>
      <c r="B17" s="11" t="s">
        <v>168</v>
      </c>
      <c r="C17" s="11" t="s">
        <v>797</v>
      </c>
      <c r="D17" s="11" t="s">
        <v>217</v>
      </c>
      <c r="E17" s="16">
        <v>13849800</v>
      </c>
      <c r="F17" s="11" t="s">
        <v>169</v>
      </c>
      <c r="G17" s="11" t="s">
        <v>170</v>
      </c>
      <c r="H17" s="11" t="s">
        <v>218</v>
      </c>
      <c r="I17" s="11" t="s">
        <v>219</v>
      </c>
      <c r="J17" s="10" t="s">
        <v>329</v>
      </c>
      <c r="K17" s="16">
        <f>360000+13489800</f>
        <v>13849800</v>
      </c>
    </row>
    <row r="18" spans="1:11" ht="43.5" customHeight="1" x14ac:dyDescent="0.25">
      <c r="A18" s="34">
        <v>7</v>
      </c>
      <c r="B18" s="11" t="s">
        <v>168</v>
      </c>
      <c r="C18" s="11" t="s">
        <v>797</v>
      </c>
      <c r="D18" s="11" t="s">
        <v>243</v>
      </c>
      <c r="E18" s="16">
        <v>1135200</v>
      </c>
      <c r="F18" s="11" t="s">
        <v>169</v>
      </c>
      <c r="G18" s="11" t="s">
        <v>170</v>
      </c>
      <c r="H18" s="11" t="s">
        <v>244</v>
      </c>
      <c r="I18" s="11" t="s">
        <v>245</v>
      </c>
      <c r="J18" s="11" t="s">
        <v>330</v>
      </c>
      <c r="K18" s="16">
        <v>1135200</v>
      </c>
    </row>
    <row r="19" spans="1:11" ht="35.25" customHeight="1" x14ac:dyDescent="0.25">
      <c r="A19" s="11">
        <v>8</v>
      </c>
      <c r="B19" s="11" t="s">
        <v>168</v>
      </c>
      <c r="C19" s="11" t="s">
        <v>797</v>
      </c>
      <c r="D19" s="11" t="s">
        <v>272</v>
      </c>
      <c r="E19" s="16">
        <v>79200</v>
      </c>
      <c r="F19" s="11" t="s">
        <v>169</v>
      </c>
      <c r="G19" s="11" t="s">
        <v>170</v>
      </c>
      <c r="H19" s="11" t="s">
        <v>273</v>
      </c>
      <c r="I19" s="11" t="s">
        <v>274</v>
      </c>
      <c r="J19" s="11" t="s">
        <v>326</v>
      </c>
      <c r="K19" s="16">
        <v>79200</v>
      </c>
    </row>
    <row r="20" spans="1:11" ht="35.25" customHeight="1" x14ac:dyDescent="0.25">
      <c r="A20" s="11">
        <v>9</v>
      </c>
      <c r="B20" s="11" t="s">
        <v>168</v>
      </c>
      <c r="C20" s="11" t="s">
        <v>797</v>
      </c>
      <c r="D20" s="11" t="s">
        <v>354</v>
      </c>
      <c r="E20" s="16">
        <v>29810000</v>
      </c>
      <c r="F20" s="11" t="s">
        <v>169</v>
      </c>
      <c r="G20" s="11" t="s">
        <v>170</v>
      </c>
      <c r="H20" s="13" t="s">
        <v>33</v>
      </c>
      <c r="I20" s="11" t="s">
        <v>368</v>
      </c>
      <c r="J20" s="11" t="s">
        <v>716</v>
      </c>
      <c r="K20" s="16">
        <v>29810000</v>
      </c>
    </row>
    <row r="21" spans="1:11" ht="61.5" customHeight="1" x14ac:dyDescent="0.25">
      <c r="A21" s="34">
        <v>10</v>
      </c>
      <c r="B21" s="11" t="s">
        <v>168</v>
      </c>
      <c r="C21" s="11" t="s">
        <v>797</v>
      </c>
      <c r="D21" s="11" t="s">
        <v>457</v>
      </c>
      <c r="E21" s="16">
        <v>316800</v>
      </c>
      <c r="F21" s="11" t="s">
        <v>169</v>
      </c>
      <c r="G21" s="11" t="s">
        <v>170</v>
      </c>
      <c r="H21" s="11" t="s">
        <v>171</v>
      </c>
      <c r="I21" s="11" t="s">
        <v>180</v>
      </c>
      <c r="J21" s="11" t="s">
        <v>357</v>
      </c>
      <c r="K21" s="16">
        <v>316800</v>
      </c>
    </row>
    <row r="22" spans="1:11" ht="39.75" customHeight="1" x14ac:dyDescent="0.25">
      <c r="A22" s="11">
        <v>11</v>
      </c>
      <c r="B22" s="11" t="s">
        <v>168</v>
      </c>
      <c r="C22" s="11" t="s">
        <v>797</v>
      </c>
      <c r="D22" s="11" t="s">
        <v>365</v>
      </c>
      <c r="E22" s="16">
        <v>63000</v>
      </c>
      <c r="F22" s="11" t="s">
        <v>169</v>
      </c>
      <c r="G22" s="10" t="s">
        <v>161</v>
      </c>
      <c r="H22" s="11" t="s">
        <v>366</v>
      </c>
      <c r="I22" s="11" t="s">
        <v>373</v>
      </c>
      <c r="J22" s="11" t="s">
        <v>717</v>
      </c>
      <c r="K22" s="16">
        <v>63000</v>
      </c>
    </row>
    <row r="23" spans="1:11" ht="39.75" customHeight="1" x14ac:dyDescent="0.25">
      <c r="A23" s="11">
        <v>12</v>
      </c>
      <c r="B23" s="11" t="s">
        <v>168</v>
      </c>
      <c r="C23" s="11" t="s">
        <v>797</v>
      </c>
      <c r="D23" s="11" t="s">
        <v>411</v>
      </c>
      <c r="E23" s="16">
        <v>3787200</v>
      </c>
      <c r="F23" s="11" t="s">
        <v>169</v>
      </c>
      <c r="G23" s="11" t="s">
        <v>170</v>
      </c>
      <c r="H23" s="11" t="s">
        <v>412</v>
      </c>
      <c r="I23" s="11" t="s">
        <v>427</v>
      </c>
      <c r="J23" s="11" t="s">
        <v>718</v>
      </c>
      <c r="K23" s="16">
        <v>3787200</v>
      </c>
    </row>
    <row r="24" spans="1:11" ht="39.75" customHeight="1" x14ac:dyDescent="0.25">
      <c r="A24" s="34">
        <v>13</v>
      </c>
      <c r="B24" s="11" t="s">
        <v>168</v>
      </c>
      <c r="C24" s="11" t="s">
        <v>797</v>
      </c>
      <c r="D24" s="11" t="s">
        <v>413</v>
      </c>
      <c r="E24" s="16">
        <v>2196000</v>
      </c>
      <c r="F24" s="11" t="s">
        <v>169</v>
      </c>
      <c r="G24" s="11" t="s">
        <v>170</v>
      </c>
      <c r="H24" s="11" t="s">
        <v>415</v>
      </c>
      <c r="I24" s="11" t="s">
        <v>428</v>
      </c>
      <c r="J24" s="11" t="s">
        <v>719</v>
      </c>
      <c r="K24" s="16">
        <v>2196000</v>
      </c>
    </row>
    <row r="25" spans="1:11" ht="39.75" customHeight="1" x14ac:dyDescent="0.25">
      <c r="A25" s="11">
        <v>14</v>
      </c>
      <c r="B25" s="11" t="s">
        <v>168</v>
      </c>
      <c r="C25" s="11" t="s">
        <v>797</v>
      </c>
      <c r="D25" s="11" t="s">
        <v>414</v>
      </c>
      <c r="E25" s="16">
        <v>7154400</v>
      </c>
      <c r="F25" s="11" t="s">
        <v>169</v>
      </c>
      <c r="G25" s="11" t="s">
        <v>170</v>
      </c>
      <c r="H25" s="11" t="s">
        <v>416</v>
      </c>
      <c r="I25" s="11" t="s">
        <v>429</v>
      </c>
      <c r="J25" s="11" t="s">
        <v>720</v>
      </c>
      <c r="K25" s="16">
        <v>7154400</v>
      </c>
    </row>
    <row r="26" spans="1:11" ht="39.75" customHeight="1" x14ac:dyDescent="0.25">
      <c r="A26" s="11">
        <v>15</v>
      </c>
      <c r="B26" s="11" t="s">
        <v>168</v>
      </c>
      <c r="C26" s="11" t="s">
        <v>797</v>
      </c>
      <c r="D26" s="11" t="s">
        <v>577</v>
      </c>
      <c r="E26" s="16">
        <v>3180000</v>
      </c>
      <c r="F26" s="11" t="s">
        <v>169</v>
      </c>
      <c r="G26" s="11" t="s">
        <v>170</v>
      </c>
      <c r="H26" s="11" t="s">
        <v>578</v>
      </c>
      <c r="I26" s="11" t="s">
        <v>579</v>
      </c>
      <c r="J26" s="11" t="s">
        <v>721</v>
      </c>
      <c r="K26" s="16">
        <v>3180000</v>
      </c>
    </row>
    <row r="27" spans="1:11" ht="64.5" customHeight="1" x14ac:dyDescent="0.25">
      <c r="A27" s="34">
        <v>16</v>
      </c>
      <c r="B27" s="32" t="s">
        <v>168</v>
      </c>
      <c r="C27" s="11" t="s">
        <v>797</v>
      </c>
      <c r="D27" s="32" t="s">
        <v>473</v>
      </c>
      <c r="E27" s="33">
        <v>2980200</v>
      </c>
      <c r="F27" s="11" t="s">
        <v>169</v>
      </c>
      <c r="G27" s="32" t="s">
        <v>170</v>
      </c>
      <c r="H27" s="32" t="s">
        <v>456</v>
      </c>
      <c r="I27" s="32" t="s">
        <v>696</v>
      </c>
      <c r="J27" s="32" t="s">
        <v>722</v>
      </c>
      <c r="K27" s="33">
        <v>2980200</v>
      </c>
    </row>
    <row r="28" spans="1:11" ht="37.5" customHeight="1" x14ac:dyDescent="0.25">
      <c r="A28" s="11">
        <v>17</v>
      </c>
      <c r="B28" s="11" t="s">
        <v>168</v>
      </c>
      <c r="C28" s="11" t="s">
        <v>797</v>
      </c>
      <c r="D28" s="31" t="s">
        <v>585</v>
      </c>
      <c r="E28" s="16">
        <v>2849500</v>
      </c>
      <c r="F28" s="11" t="s">
        <v>169</v>
      </c>
      <c r="G28" s="11" t="s">
        <v>694</v>
      </c>
      <c r="H28" s="11" t="s">
        <v>587</v>
      </c>
      <c r="I28" s="11" t="s">
        <v>588</v>
      </c>
      <c r="J28" s="32" t="s">
        <v>723</v>
      </c>
      <c r="K28" s="16">
        <v>2849500</v>
      </c>
    </row>
    <row r="29" spans="1:11" ht="37.5" customHeight="1" x14ac:dyDescent="0.25">
      <c r="A29" s="11">
        <v>18</v>
      </c>
      <c r="B29" s="11" t="s">
        <v>168</v>
      </c>
      <c r="C29" s="11" t="s">
        <v>797</v>
      </c>
      <c r="D29" s="104" t="s">
        <v>713</v>
      </c>
      <c r="E29" s="103">
        <v>1436600</v>
      </c>
      <c r="F29" s="11" t="s">
        <v>169</v>
      </c>
      <c r="G29" s="11" t="s">
        <v>170</v>
      </c>
      <c r="H29" s="11" t="s">
        <v>575</v>
      </c>
      <c r="I29" s="11" t="s">
        <v>576</v>
      </c>
      <c r="J29" s="11"/>
      <c r="K29" s="5"/>
    </row>
    <row r="30" spans="1:11" ht="37.5" customHeight="1" x14ac:dyDescent="0.25">
      <c r="A30" s="34">
        <v>19</v>
      </c>
      <c r="B30" s="11" t="s">
        <v>168</v>
      </c>
      <c r="C30" s="11" t="s">
        <v>797</v>
      </c>
      <c r="D30" s="31" t="s">
        <v>618</v>
      </c>
      <c r="E30" s="16">
        <v>9087000</v>
      </c>
      <c r="F30" s="11" t="s">
        <v>169</v>
      </c>
      <c r="G30" s="11" t="s">
        <v>170</v>
      </c>
      <c r="H30" s="6" t="s">
        <v>621</v>
      </c>
      <c r="I30" s="11" t="s">
        <v>617</v>
      </c>
      <c r="J30" s="23" t="s">
        <v>714</v>
      </c>
      <c r="K30" s="16">
        <v>9087000</v>
      </c>
    </row>
    <row r="31" spans="1:11" ht="37.5" customHeight="1" x14ac:dyDescent="0.25">
      <c r="A31" s="11">
        <v>20</v>
      </c>
      <c r="B31" s="89" t="s">
        <v>168</v>
      </c>
      <c r="C31" s="11" t="s">
        <v>797</v>
      </c>
      <c r="D31" s="90" t="s">
        <v>626</v>
      </c>
      <c r="E31" s="91">
        <v>2460000</v>
      </c>
      <c r="F31" s="89" t="s">
        <v>169</v>
      </c>
      <c r="G31" s="89" t="s">
        <v>170</v>
      </c>
      <c r="H31" s="6" t="s">
        <v>628</v>
      </c>
      <c r="I31" s="89" t="s">
        <v>617</v>
      </c>
      <c r="J31" s="89" t="s">
        <v>715</v>
      </c>
      <c r="K31" s="91">
        <v>2460000</v>
      </c>
    </row>
    <row r="32" spans="1:11" ht="42" customHeight="1" x14ac:dyDescent="0.25">
      <c r="A32" s="11">
        <v>21</v>
      </c>
      <c r="B32" s="11" t="s">
        <v>168</v>
      </c>
      <c r="C32" s="11" t="s">
        <v>797</v>
      </c>
      <c r="D32" s="11" t="s">
        <v>657</v>
      </c>
      <c r="E32" s="16">
        <v>2551000</v>
      </c>
      <c r="F32" s="11" t="s">
        <v>169</v>
      </c>
      <c r="G32" s="11" t="s">
        <v>161</v>
      </c>
      <c r="H32" s="6" t="s">
        <v>655</v>
      </c>
      <c r="I32" s="11" t="s">
        <v>625</v>
      </c>
      <c r="J32" s="11"/>
      <c r="K32" s="5"/>
    </row>
    <row r="33" spans="1:11" ht="37.5" customHeight="1" x14ac:dyDescent="0.25">
      <c r="A33" s="34">
        <v>22</v>
      </c>
      <c r="B33" s="11" t="s">
        <v>168</v>
      </c>
      <c r="C33" s="11" t="s">
        <v>797</v>
      </c>
      <c r="D33" s="31" t="s">
        <v>664</v>
      </c>
      <c r="E33" s="16">
        <v>5212200</v>
      </c>
      <c r="F33" s="11" t="s">
        <v>169</v>
      </c>
      <c r="G33" s="11" t="s">
        <v>170</v>
      </c>
      <c r="H33" s="11" t="s">
        <v>665</v>
      </c>
      <c r="I33" s="11" t="s">
        <v>625</v>
      </c>
      <c r="J33" s="11"/>
      <c r="K33" s="5"/>
    </row>
    <row r="34" spans="1:11" ht="37.5" customHeight="1" x14ac:dyDescent="0.25">
      <c r="A34" s="11">
        <v>23</v>
      </c>
      <c r="B34" s="11" t="s">
        <v>168</v>
      </c>
      <c r="C34" s="11" t="s">
        <v>797</v>
      </c>
      <c r="D34" s="31" t="s">
        <v>661</v>
      </c>
      <c r="E34" s="16">
        <v>2802500</v>
      </c>
      <c r="F34" s="11" t="s">
        <v>169</v>
      </c>
      <c r="G34" s="11" t="s">
        <v>170</v>
      </c>
      <c r="H34" s="11" t="s">
        <v>611</v>
      </c>
      <c r="I34" s="11" t="s">
        <v>617</v>
      </c>
      <c r="J34" s="11"/>
      <c r="K34" s="5"/>
    </row>
    <row r="35" spans="1:11" ht="37.5" customHeight="1" x14ac:dyDescent="0.25">
      <c r="A35" s="11">
        <v>24</v>
      </c>
      <c r="B35" s="11" t="s">
        <v>168</v>
      </c>
      <c r="C35" s="11" t="s">
        <v>797</v>
      </c>
      <c r="D35" s="31" t="s">
        <v>662</v>
      </c>
      <c r="E35" s="16">
        <v>6162000</v>
      </c>
      <c r="F35" s="11" t="s">
        <v>169</v>
      </c>
      <c r="G35" s="11" t="s">
        <v>170</v>
      </c>
      <c r="H35" s="11" t="s">
        <v>672</v>
      </c>
      <c r="I35" s="11" t="s">
        <v>617</v>
      </c>
      <c r="J35" s="11"/>
      <c r="K35" s="5"/>
    </row>
    <row r="36" spans="1:11" ht="37.5" customHeight="1" x14ac:dyDescent="0.25">
      <c r="A36" s="34">
        <v>25</v>
      </c>
      <c r="B36" s="11" t="s">
        <v>168</v>
      </c>
      <c r="C36" s="11" t="s">
        <v>797</v>
      </c>
      <c r="D36" s="31" t="s">
        <v>673</v>
      </c>
      <c r="E36" s="16">
        <v>5490000</v>
      </c>
      <c r="F36" s="11" t="s">
        <v>169</v>
      </c>
      <c r="G36" s="11" t="s">
        <v>586</v>
      </c>
      <c r="H36" s="11" t="s">
        <v>672</v>
      </c>
      <c r="I36" s="11" t="s">
        <v>617</v>
      </c>
      <c r="J36" s="11"/>
      <c r="K36" s="5"/>
    </row>
    <row r="37" spans="1:11" ht="37.5" customHeight="1" x14ac:dyDescent="0.25">
      <c r="A37" s="11">
        <v>26</v>
      </c>
      <c r="B37" s="11" t="s">
        <v>168</v>
      </c>
      <c r="C37" s="11" t="s">
        <v>797</v>
      </c>
      <c r="D37" s="31" t="s">
        <v>670</v>
      </c>
      <c r="E37" s="16">
        <v>2169000</v>
      </c>
      <c r="F37" s="11" t="s">
        <v>169</v>
      </c>
      <c r="G37" s="11" t="s">
        <v>170</v>
      </c>
      <c r="H37" s="11" t="s">
        <v>671</v>
      </c>
      <c r="I37" s="11" t="s">
        <v>617</v>
      </c>
      <c r="J37" s="11"/>
      <c r="K37" s="5"/>
    </row>
    <row r="38" spans="1:11" ht="37.5" customHeight="1" x14ac:dyDescent="0.25">
      <c r="A38" s="11">
        <v>27</v>
      </c>
      <c r="B38" s="11" t="s">
        <v>168</v>
      </c>
      <c r="C38" s="11" t="s">
        <v>797</v>
      </c>
      <c r="D38" s="31" t="s">
        <v>668</v>
      </c>
      <c r="E38" s="16">
        <v>4809000</v>
      </c>
      <c r="F38" s="11" t="s">
        <v>169</v>
      </c>
      <c r="G38" s="11" t="s">
        <v>170</v>
      </c>
      <c r="H38" s="11" t="s">
        <v>667</v>
      </c>
      <c r="I38" s="11" t="s">
        <v>669</v>
      </c>
      <c r="J38" s="11"/>
      <c r="K38" s="5"/>
    </row>
    <row r="39" spans="1:11" ht="37.5" customHeight="1" x14ac:dyDescent="0.25">
      <c r="A39" s="34">
        <v>28</v>
      </c>
      <c r="B39" s="11" t="s">
        <v>168</v>
      </c>
      <c r="C39" s="11" t="s">
        <v>797</v>
      </c>
      <c r="D39" s="11" t="s">
        <v>677</v>
      </c>
      <c r="E39" s="16">
        <v>3940550</v>
      </c>
      <c r="F39" s="11" t="s">
        <v>169</v>
      </c>
      <c r="G39" s="11" t="s">
        <v>675</v>
      </c>
      <c r="H39" s="11" t="s">
        <v>676</v>
      </c>
      <c r="I39" s="11" t="s">
        <v>669</v>
      </c>
      <c r="J39" s="11"/>
      <c r="K39" s="5"/>
    </row>
    <row r="40" spans="1:11" ht="37.5" customHeight="1" x14ac:dyDescent="0.25">
      <c r="A40" s="11">
        <v>29</v>
      </c>
      <c r="B40" s="11" t="s">
        <v>168</v>
      </c>
      <c r="C40" s="11" t="s">
        <v>797</v>
      </c>
      <c r="D40" s="11" t="s">
        <v>680</v>
      </c>
      <c r="E40" s="16">
        <v>6468000</v>
      </c>
      <c r="F40" s="11" t="s">
        <v>682</v>
      </c>
      <c r="G40" s="11" t="s">
        <v>170</v>
      </c>
      <c r="H40" s="11" t="s">
        <v>636</v>
      </c>
      <c r="I40" s="11" t="s">
        <v>617</v>
      </c>
      <c r="J40" s="11"/>
      <c r="K40" s="5"/>
    </row>
    <row r="41" spans="1:11" ht="37.5" customHeight="1" x14ac:dyDescent="0.25">
      <c r="A41" s="11">
        <v>30</v>
      </c>
      <c r="B41" s="11" t="s">
        <v>168</v>
      </c>
      <c r="C41" s="11" t="s">
        <v>797</v>
      </c>
      <c r="D41" s="11" t="s">
        <v>681</v>
      </c>
      <c r="E41" s="16">
        <v>6399000</v>
      </c>
      <c r="F41" s="11" t="s">
        <v>169</v>
      </c>
      <c r="G41" s="11" t="s">
        <v>170</v>
      </c>
      <c r="H41" s="11" t="s">
        <v>609</v>
      </c>
      <c r="I41" s="11" t="s">
        <v>617</v>
      </c>
      <c r="J41" s="11"/>
      <c r="K41" s="5"/>
    </row>
    <row r="42" spans="1:11" ht="37.5" customHeight="1" x14ac:dyDescent="0.25">
      <c r="A42" s="34">
        <v>31</v>
      </c>
      <c r="B42" s="11" t="s">
        <v>168</v>
      </c>
      <c r="C42" s="11" t="s">
        <v>797</v>
      </c>
      <c r="D42" s="31" t="s">
        <v>692</v>
      </c>
      <c r="E42" s="16">
        <v>850500</v>
      </c>
      <c r="F42" s="11" t="s">
        <v>169</v>
      </c>
      <c r="G42" s="11" t="s">
        <v>675</v>
      </c>
      <c r="H42" s="11" t="s">
        <v>676</v>
      </c>
      <c r="I42" s="11" t="s">
        <v>625</v>
      </c>
      <c r="J42" s="11"/>
      <c r="K42" s="5"/>
    </row>
    <row r="43" spans="1:11" ht="37.5" customHeight="1" x14ac:dyDescent="0.25">
      <c r="A43" s="11">
        <v>32</v>
      </c>
      <c r="B43" s="11" t="s">
        <v>168</v>
      </c>
      <c r="C43" s="11" t="s">
        <v>797</v>
      </c>
      <c r="D43" s="31" t="s">
        <v>698</v>
      </c>
      <c r="E43" s="16">
        <v>5227500</v>
      </c>
      <c r="F43" s="11" t="s">
        <v>169</v>
      </c>
      <c r="G43" s="11" t="s">
        <v>694</v>
      </c>
      <c r="H43" s="11" t="s">
        <v>697</v>
      </c>
      <c r="I43" s="11" t="s">
        <v>617</v>
      </c>
      <c r="J43" s="11"/>
      <c r="K43" s="5"/>
    </row>
    <row r="44" spans="1:11" ht="37.5" customHeight="1" x14ac:dyDescent="0.25">
      <c r="A44" s="11">
        <v>33</v>
      </c>
      <c r="B44" s="11" t="s">
        <v>168</v>
      </c>
      <c r="C44" s="11" t="s">
        <v>797</v>
      </c>
      <c r="D44" s="11" t="s">
        <v>699</v>
      </c>
      <c r="E44" s="16">
        <v>14514000</v>
      </c>
      <c r="F44" s="11" t="s">
        <v>169</v>
      </c>
      <c r="G44" s="11" t="s">
        <v>700</v>
      </c>
      <c r="H44" s="11" t="s">
        <v>701</v>
      </c>
      <c r="I44" s="11" t="s">
        <v>617</v>
      </c>
      <c r="J44" s="11"/>
      <c r="K44" s="5"/>
    </row>
    <row r="45" spans="1:11" ht="37.5" customHeight="1" x14ac:dyDescent="0.25">
      <c r="A45" s="34">
        <v>34</v>
      </c>
      <c r="B45" s="11" t="s">
        <v>168</v>
      </c>
      <c r="C45" s="11" t="s">
        <v>797</v>
      </c>
      <c r="D45" s="31" t="s">
        <v>724</v>
      </c>
      <c r="E45" s="21">
        <v>6452797.4800000004</v>
      </c>
      <c r="F45" s="11" t="s">
        <v>169</v>
      </c>
      <c r="G45" s="11" t="s">
        <v>694</v>
      </c>
      <c r="H45" s="11" t="s">
        <v>727</v>
      </c>
      <c r="I45" s="11" t="s">
        <v>588</v>
      </c>
      <c r="J45" s="11"/>
      <c r="K45" s="5"/>
    </row>
    <row r="46" spans="1:11" ht="37.5" customHeight="1" x14ac:dyDescent="0.25">
      <c r="A46" s="11">
        <v>35</v>
      </c>
      <c r="B46" s="11" t="s">
        <v>168</v>
      </c>
      <c r="C46" s="11" t="s">
        <v>797</v>
      </c>
      <c r="D46" s="31" t="s">
        <v>725</v>
      </c>
      <c r="E46" s="83">
        <v>8134073.5199999996</v>
      </c>
      <c r="F46" s="11" t="s">
        <v>169</v>
      </c>
      <c r="G46" s="11" t="s">
        <v>694</v>
      </c>
      <c r="H46" s="17" t="s">
        <v>728</v>
      </c>
      <c r="I46" s="11" t="s">
        <v>588</v>
      </c>
      <c r="J46" s="11"/>
      <c r="K46" s="5"/>
    </row>
    <row r="47" spans="1:11" ht="37.5" customHeight="1" x14ac:dyDescent="0.25">
      <c r="A47" s="11">
        <v>36</v>
      </c>
      <c r="B47" s="11" t="s">
        <v>168</v>
      </c>
      <c r="C47" s="11" t="s">
        <v>797</v>
      </c>
      <c r="D47" s="11" t="s">
        <v>726</v>
      </c>
      <c r="E47" s="21">
        <v>10231951.67</v>
      </c>
      <c r="F47" s="11" t="s">
        <v>169</v>
      </c>
      <c r="G47" s="11" t="s">
        <v>694</v>
      </c>
      <c r="H47" s="17" t="s">
        <v>729</v>
      </c>
      <c r="I47" s="11" t="s">
        <v>588</v>
      </c>
      <c r="J47" s="11"/>
      <c r="K47" s="5"/>
    </row>
    <row r="48" spans="1:11" ht="37.5" customHeight="1" x14ac:dyDescent="0.25">
      <c r="A48" s="34">
        <v>37</v>
      </c>
      <c r="B48" s="11" t="s">
        <v>168</v>
      </c>
      <c r="C48" s="11" t="s">
        <v>797</v>
      </c>
      <c r="D48" s="11" t="s">
        <v>737</v>
      </c>
      <c r="E48" s="21">
        <v>332500</v>
      </c>
      <c r="F48" s="11" t="s">
        <v>169</v>
      </c>
      <c r="G48" s="11" t="s">
        <v>694</v>
      </c>
      <c r="H48" s="17" t="s">
        <v>738</v>
      </c>
      <c r="I48" s="11" t="s">
        <v>617</v>
      </c>
      <c r="J48" s="11"/>
      <c r="K48" s="5"/>
    </row>
    <row r="49" spans="1:11" ht="37.5" customHeight="1" x14ac:dyDescent="0.25">
      <c r="A49" s="11">
        <v>38</v>
      </c>
      <c r="B49" s="11" t="s">
        <v>168</v>
      </c>
      <c r="C49" s="11" t="s">
        <v>797</v>
      </c>
      <c r="D49" s="11" t="s">
        <v>739</v>
      </c>
      <c r="E49" s="21">
        <v>7341000</v>
      </c>
      <c r="F49" s="11" t="s">
        <v>169</v>
      </c>
      <c r="G49" s="11" t="s">
        <v>170</v>
      </c>
      <c r="H49" s="17" t="s">
        <v>740</v>
      </c>
      <c r="I49" s="11" t="s">
        <v>617</v>
      </c>
      <c r="J49" s="11"/>
      <c r="K49" s="5"/>
    </row>
    <row r="50" spans="1:11" ht="37.5" customHeight="1" x14ac:dyDescent="0.25">
      <c r="A50" s="11">
        <v>39</v>
      </c>
      <c r="B50" s="11" t="s">
        <v>168</v>
      </c>
      <c r="C50" s="11" t="s">
        <v>797</v>
      </c>
      <c r="D50" s="11" t="s">
        <v>741</v>
      </c>
      <c r="E50" s="21">
        <v>87000</v>
      </c>
      <c r="F50" s="11" t="s">
        <v>169</v>
      </c>
      <c r="G50" s="11" t="s">
        <v>170</v>
      </c>
      <c r="H50" s="17" t="s">
        <v>738</v>
      </c>
      <c r="I50" s="11" t="s">
        <v>617</v>
      </c>
      <c r="J50" s="11"/>
      <c r="K50" s="5"/>
    </row>
    <row r="51" spans="1:11" ht="37.5" customHeight="1" x14ac:dyDescent="0.25">
      <c r="A51" s="107">
        <v>40</v>
      </c>
      <c r="B51" s="11" t="s">
        <v>168</v>
      </c>
      <c r="C51" s="11" t="s">
        <v>797</v>
      </c>
      <c r="D51" s="31" t="s">
        <v>767</v>
      </c>
      <c r="E51" s="21">
        <v>15000</v>
      </c>
      <c r="F51" s="11" t="s">
        <v>169</v>
      </c>
      <c r="G51" s="11" t="s">
        <v>768</v>
      </c>
      <c r="H51" s="17" t="s">
        <v>769</v>
      </c>
      <c r="I51" s="11" t="s">
        <v>617</v>
      </c>
      <c r="J51" s="11"/>
      <c r="K51" s="5"/>
    </row>
    <row r="52" spans="1:11" ht="37.5" customHeight="1" x14ac:dyDescent="0.25">
      <c r="A52" s="107">
        <v>41</v>
      </c>
      <c r="B52" s="11" t="s">
        <v>168</v>
      </c>
      <c r="C52" s="11" t="s">
        <v>797</v>
      </c>
      <c r="D52" s="31" t="s">
        <v>775</v>
      </c>
      <c r="E52" s="21">
        <v>3069000</v>
      </c>
      <c r="F52" s="11" t="s">
        <v>169</v>
      </c>
      <c r="G52" s="11" t="s">
        <v>170</v>
      </c>
      <c r="H52" s="17" t="s">
        <v>776</v>
      </c>
      <c r="I52" s="11" t="s">
        <v>617</v>
      </c>
      <c r="J52" s="11"/>
      <c r="K52" s="5"/>
    </row>
    <row r="53" spans="1:11" ht="37.5" customHeight="1" x14ac:dyDescent="0.25">
      <c r="A53" s="107">
        <v>42</v>
      </c>
      <c r="B53" s="11" t="s">
        <v>168</v>
      </c>
      <c r="C53" s="11" t="s">
        <v>797</v>
      </c>
      <c r="D53" s="31" t="s">
        <v>777</v>
      </c>
      <c r="E53" s="21">
        <v>2632500</v>
      </c>
      <c r="F53" s="11" t="s">
        <v>169</v>
      </c>
      <c r="G53" s="11" t="s">
        <v>768</v>
      </c>
      <c r="H53" s="17" t="s">
        <v>780</v>
      </c>
      <c r="I53" s="11" t="s">
        <v>617</v>
      </c>
      <c r="J53" s="11"/>
      <c r="K53" s="5"/>
    </row>
    <row r="54" spans="1:11" ht="37.5" customHeight="1" x14ac:dyDescent="0.25">
      <c r="A54" s="107">
        <v>43</v>
      </c>
      <c r="B54" s="11" t="s">
        <v>168</v>
      </c>
      <c r="C54" s="11" t="s">
        <v>797</v>
      </c>
      <c r="D54" s="31" t="s">
        <v>778</v>
      </c>
      <c r="E54" s="21">
        <v>2769000</v>
      </c>
      <c r="F54" s="11" t="s">
        <v>169</v>
      </c>
      <c r="G54" s="11" t="s">
        <v>170</v>
      </c>
      <c r="H54" s="17" t="s">
        <v>779</v>
      </c>
      <c r="I54" s="11" t="s">
        <v>617</v>
      </c>
      <c r="J54" s="11"/>
      <c r="K54" s="5"/>
    </row>
    <row r="55" spans="1:11" ht="37.5" customHeight="1" x14ac:dyDescent="0.25">
      <c r="A55" s="107">
        <v>44</v>
      </c>
      <c r="B55" s="11" t="s">
        <v>168</v>
      </c>
      <c r="C55" s="11" t="s">
        <v>797</v>
      </c>
      <c r="D55" s="31" t="s">
        <v>781</v>
      </c>
      <c r="E55" s="21">
        <v>8385000</v>
      </c>
      <c r="F55" s="11" t="s">
        <v>169</v>
      </c>
      <c r="G55" s="11" t="s">
        <v>170</v>
      </c>
      <c r="H55" s="13" t="s">
        <v>782</v>
      </c>
      <c r="I55" s="11" t="s">
        <v>783</v>
      </c>
      <c r="J55" s="11"/>
      <c r="K55" s="5"/>
    </row>
    <row r="56" spans="1:11" ht="48" customHeight="1" x14ac:dyDescent="0.25">
      <c r="A56" s="156" t="s">
        <v>172</v>
      </c>
      <c r="B56" s="157"/>
      <c r="C56" s="157"/>
      <c r="D56" s="157"/>
      <c r="E56" s="157"/>
      <c r="F56" s="157"/>
      <c r="G56" s="157"/>
      <c r="H56" s="157"/>
      <c r="I56" s="157"/>
      <c r="J56" s="157"/>
      <c r="K56" s="157"/>
    </row>
    <row r="57" spans="1:11" ht="45" x14ac:dyDescent="0.25">
      <c r="A57" s="18">
        <v>1</v>
      </c>
      <c r="B57" s="11" t="s">
        <v>172</v>
      </c>
      <c r="C57" s="11" t="s">
        <v>797</v>
      </c>
      <c r="D57" s="11" t="s">
        <v>173</v>
      </c>
      <c r="E57" s="33">
        <v>30030200</v>
      </c>
      <c r="F57" s="32" t="s">
        <v>798</v>
      </c>
      <c r="G57" s="11" t="s">
        <v>161</v>
      </c>
      <c r="H57" s="11" t="s">
        <v>174</v>
      </c>
      <c r="I57" s="11" t="s">
        <v>179</v>
      </c>
      <c r="J57" s="11" t="s">
        <v>325</v>
      </c>
      <c r="K57" s="16">
        <v>16021800</v>
      </c>
    </row>
    <row r="58" spans="1:11" ht="45" x14ac:dyDescent="0.25">
      <c r="A58" s="18">
        <v>2</v>
      </c>
      <c r="B58" s="11" t="s">
        <v>172</v>
      </c>
      <c r="C58" s="11" t="s">
        <v>797</v>
      </c>
      <c r="D58" s="11" t="s">
        <v>343</v>
      </c>
      <c r="E58" s="33">
        <v>12708000</v>
      </c>
      <c r="F58" s="32" t="s">
        <v>798</v>
      </c>
      <c r="G58" s="11" t="s">
        <v>161</v>
      </c>
      <c r="H58" s="11" t="s">
        <v>344</v>
      </c>
      <c r="I58" s="11" t="s">
        <v>433</v>
      </c>
      <c r="J58" s="11" t="s">
        <v>355</v>
      </c>
      <c r="K58" s="16">
        <v>12693000</v>
      </c>
    </row>
    <row r="59" spans="1:11" ht="45" x14ac:dyDescent="0.25">
      <c r="A59" s="18">
        <v>3</v>
      </c>
      <c r="B59" s="11" t="s">
        <v>172</v>
      </c>
      <c r="C59" s="11" t="s">
        <v>797</v>
      </c>
      <c r="D59" s="11" t="s">
        <v>417</v>
      </c>
      <c r="E59" s="33">
        <v>1140000</v>
      </c>
      <c r="F59" s="32" t="s">
        <v>798</v>
      </c>
      <c r="G59" s="11" t="s">
        <v>161</v>
      </c>
      <c r="H59" s="11" t="s">
        <v>418</v>
      </c>
      <c r="I59" s="11" t="s">
        <v>431</v>
      </c>
      <c r="J59" s="11"/>
      <c r="K59" s="16"/>
    </row>
    <row r="60" spans="1:11" ht="45" x14ac:dyDescent="0.25">
      <c r="A60" s="18">
        <v>4</v>
      </c>
      <c r="B60" s="11" t="s">
        <v>172</v>
      </c>
      <c r="C60" s="11" t="s">
        <v>797</v>
      </c>
      <c r="D60" s="11" t="s">
        <v>420</v>
      </c>
      <c r="E60" s="33">
        <v>25716300</v>
      </c>
      <c r="F60" s="32" t="s">
        <v>798</v>
      </c>
      <c r="G60" s="11" t="s">
        <v>161</v>
      </c>
      <c r="H60" s="11" t="s">
        <v>421</v>
      </c>
      <c r="I60" s="11" t="s">
        <v>179</v>
      </c>
      <c r="J60" s="11"/>
      <c r="K60" s="16"/>
    </row>
    <row r="61" spans="1:11" ht="45" x14ac:dyDescent="0.25">
      <c r="A61" s="18">
        <v>5</v>
      </c>
      <c r="B61" s="11" t="s">
        <v>172</v>
      </c>
      <c r="C61" s="11" t="s">
        <v>797</v>
      </c>
      <c r="D61" s="11" t="s">
        <v>422</v>
      </c>
      <c r="E61" s="33">
        <v>573000</v>
      </c>
      <c r="F61" s="32" t="s">
        <v>798</v>
      </c>
      <c r="G61" s="11" t="s">
        <v>161</v>
      </c>
      <c r="H61" s="11" t="s">
        <v>415</v>
      </c>
      <c r="I61" s="11" t="s">
        <v>430</v>
      </c>
      <c r="J61" s="11"/>
      <c r="K61" s="16"/>
    </row>
    <row r="62" spans="1:11" ht="45" x14ac:dyDescent="0.25">
      <c r="A62" s="18">
        <v>6</v>
      </c>
      <c r="B62" s="11" t="s">
        <v>172</v>
      </c>
      <c r="C62" s="11" t="s">
        <v>797</v>
      </c>
      <c r="D62" s="11" t="s">
        <v>660</v>
      </c>
      <c r="E62" s="16">
        <v>764300</v>
      </c>
      <c r="F62" s="32" t="s">
        <v>798</v>
      </c>
      <c r="G62" s="11" t="s">
        <v>474</v>
      </c>
      <c r="H62" s="11" t="s">
        <v>475</v>
      </c>
      <c r="I62" s="11" t="s">
        <v>476</v>
      </c>
      <c r="J62" s="11"/>
      <c r="K62" s="16"/>
    </row>
    <row r="63" spans="1:11" ht="90" x14ac:dyDescent="0.25">
      <c r="A63" s="100">
        <v>7</v>
      </c>
      <c r="B63" s="32" t="s">
        <v>172</v>
      </c>
      <c r="C63" s="11" t="s">
        <v>797</v>
      </c>
      <c r="D63" s="32" t="s">
        <v>702</v>
      </c>
      <c r="E63" s="33">
        <v>39605300</v>
      </c>
      <c r="F63" s="32" t="s">
        <v>798</v>
      </c>
      <c r="G63" s="32" t="s">
        <v>170</v>
      </c>
      <c r="H63" s="32">
        <v>2024</v>
      </c>
      <c r="I63" s="32" t="s">
        <v>497</v>
      </c>
      <c r="J63" s="32"/>
      <c r="K63" s="33"/>
    </row>
    <row r="64" spans="1:11" ht="30" x14ac:dyDescent="0.25">
      <c r="A64" s="18">
        <v>8</v>
      </c>
      <c r="B64" s="11" t="s">
        <v>172</v>
      </c>
      <c r="C64" s="11" t="s">
        <v>797</v>
      </c>
      <c r="D64" s="11" t="s">
        <v>658</v>
      </c>
      <c r="E64" s="16">
        <v>687000</v>
      </c>
      <c r="F64" s="32" t="s">
        <v>798</v>
      </c>
      <c r="G64" s="11" t="s">
        <v>170</v>
      </c>
      <c r="H64" s="11" t="s">
        <v>659</v>
      </c>
      <c r="I64" s="11" t="s">
        <v>372</v>
      </c>
      <c r="J64" s="11"/>
      <c r="K64" s="16"/>
    </row>
    <row r="65" spans="1:11" ht="30" x14ac:dyDescent="0.25">
      <c r="A65" s="18">
        <v>9</v>
      </c>
      <c r="B65" s="11" t="s">
        <v>172</v>
      </c>
      <c r="C65" s="11" t="s">
        <v>797</v>
      </c>
      <c r="D65" s="11" t="s">
        <v>649</v>
      </c>
      <c r="E65" s="16">
        <v>12939300</v>
      </c>
      <c r="F65" s="32" t="s">
        <v>798</v>
      </c>
      <c r="G65" s="11" t="s">
        <v>170</v>
      </c>
      <c r="H65" s="11" t="s">
        <v>650</v>
      </c>
      <c r="I65" s="11" t="s">
        <v>372</v>
      </c>
      <c r="J65" s="11"/>
      <c r="K65" s="16"/>
    </row>
    <row r="66" spans="1:11" ht="45" x14ac:dyDescent="0.25">
      <c r="A66" s="18">
        <v>10</v>
      </c>
      <c r="B66" s="11" t="s">
        <v>172</v>
      </c>
      <c r="C66" s="11" t="s">
        <v>797</v>
      </c>
      <c r="D66" s="11" t="s">
        <v>656</v>
      </c>
      <c r="E66" s="16">
        <v>2307000</v>
      </c>
      <c r="F66" s="32" t="s">
        <v>798</v>
      </c>
      <c r="G66" s="11" t="s">
        <v>161</v>
      </c>
      <c r="H66" s="11" t="s">
        <v>655</v>
      </c>
      <c r="I66" s="11" t="s">
        <v>372</v>
      </c>
      <c r="J66" s="11"/>
      <c r="K66" s="16"/>
    </row>
    <row r="67" spans="1:11" ht="30" x14ac:dyDescent="0.25">
      <c r="A67" s="18">
        <v>11</v>
      </c>
      <c r="B67" s="11" t="s">
        <v>172</v>
      </c>
      <c r="C67" s="11" t="s">
        <v>797</v>
      </c>
      <c r="D67" s="11" t="s">
        <v>666</v>
      </c>
      <c r="E67" s="16">
        <v>9084000</v>
      </c>
      <c r="F67" s="32" t="s">
        <v>798</v>
      </c>
      <c r="G67" s="11" t="s">
        <v>170</v>
      </c>
      <c r="H67" s="11" t="s">
        <v>667</v>
      </c>
      <c r="I67" s="11" t="s">
        <v>495</v>
      </c>
      <c r="J67" s="11"/>
      <c r="K67" s="16"/>
    </row>
    <row r="68" spans="1:11" ht="30" x14ac:dyDescent="0.25">
      <c r="A68" s="18">
        <v>12</v>
      </c>
      <c r="B68" s="11" t="s">
        <v>172</v>
      </c>
      <c r="C68" s="11" t="s">
        <v>797</v>
      </c>
      <c r="D68" s="11" t="s">
        <v>674</v>
      </c>
      <c r="E68" s="16">
        <v>4028950</v>
      </c>
      <c r="F68" s="32" t="s">
        <v>798</v>
      </c>
      <c r="G68" s="11" t="s">
        <v>675</v>
      </c>
      <c r="H68" s="11" t="s">
        <v>676</v>
      </c>
      <c r="I68" s="11" t="s">
        <v>495</v>
      </c>
      <c r="J68" s="11"/>
      <c r="K68" s="16"/>
    </row>
    <row r="69" spans="1:11" ht="30" x14ac:dyDescent="0.25">
      <c r="A69" s="18">
        <v>13</v>
      </c>
      <c r="B69" s="11" t="s">
        <v>172</v>
      </c>
      <c r="C69" s="11" t="s">
        <v>797</v>
      </c>
      <c r="D69" s="11" t="s">
        <v>689</v>
      </c>
      <c r="E69" s="16">
        <v>24541500</v>
      </c>
      <c r="F69" s="32" t="s">
        <v>798</v>
      </c>
      <c r="G69" s="11" t="s">
        <v>675</v>
      </c>
      <c r="H69" s="11" t="s">
        <v>690</v>
      </c>
      <c r="I69" s="11" t="s">
        <v>372</v>
      </c>
      <c r="J69" s="11"/>
      <c r="K69" s="16"/>
    </row>
    <row r="70" spans="1:11" ht="45" x14ac:dyDescent="0.25">
      <c r="A70" s="18">
        <v>14</v>
      </c>
      <c r="B70" s="11" t="s">
        <v>172</v>
      </c>
      <c r="C70" s="11" t="s">
        <v>797</v>
      </c>
      <c r="D70" s="11" t="s">
        <v>730</v>
      </c>
      <c r="E70" s="16">
        <v>310087.93</v>
      </c>
      <c r="F70" s="32" t="s">
        <v>798</v>
      </c>
      <c r="G70" s="11" t="s">
        <v>161</v>
      </c>
      <c r="H70" s="11" t="s">
        <v>555</v>
      </c>
      <c r="I70" s="11" t="s">
        <v>476</v>
      </c>
      <c r="J70" s="11" t="s">
        <v>786</v>
      </c>
      <c r="K70" s="16">
        <v>310087.93</v>
      </c>
    </row>
    <row r="71" spans="1:11" ht="30" x14ac:dyDescent="0.25">
      <c r="A71" s="18">
        <v>15</v>
      </c>
      <c r="B71" s="11" t="s">
        <v>172</v>
      </c>
      <c r="C71" s="11" t="s">
        <v>797</v>
      </c>
      <c r="D71" s="11" t="s">
        <v>750</v>
      </c>
      <c r="E71" s="16">
        <v>16272900</v>
      </c>
      <c r="F71" s="32" t="s">
        <v>798</v>
      </c>
      <c r="G71" s="11" t="s">
        <v>170</v>
      </c>
      <c r="H71" s="11" t="s">
        <v>751</v>
      </c>
      <c r="I71" s="11" t="s">
        <v>752</v>
      </c>
      <c r="J71" s="11"/>
      <c r="K71" s="16"/>
    </row>
    <row r="72" spans="1:11" ht="30" x14ac:dyDescent="0.25">
      <c r="A72" s="18">
        <v>16</v>
      </c>
      <c r="B72" s="11" t="s">
        <v>172</v>
      </c>
      <c r="C72" s="11" t="s">
        <v>797</v>
      </c>
      <c r="D72" s="11" t="s">
        <v>784</v>
      </c>
      <c r="E72" s="16">
        <v>5489100</v>
      </c>
      <c r="F72" s="32" t="s">
        <v>798</v>
      </c>
      <c r="G72" s="11" t="s">
        <v>170</v>
      </c>
      <c r="H72" s="11" t="s">
        <v>785</v>
      </c>
      <c r="I72" s="11" t="s">
        <v>495</v>
      </c>
      <c r="J72" s="11"/>
      <c r="K72" s="16"/>
    </row>
    <row r="73" spans="1:11" ht="48" customHeight="1" x14ac:dyDescent="0.25">
      <c r="A73" s="156" t="s">
        <v>316</v>
      </c>
      <c r="B73" s="157"/>
      <c r="C73" s="157"/>
      <c r="D73" s="157"/>
      <c r="E73" s="157"/>
      <c r="F73" s="157"/>
      <c r="G73" s="157"/>
      <c r="H73" s="157"/>
      <c r="I73" s="157"/>
      <c r="J73" s="157"/>
      <c r="K73" s="157"/>
    </row>
    <row r="74" spans="1:11" ht="45" x14ac:dyDescent="0.25">
      <c r="A74" s="18">
        <v>1</v>
      </c>
      <c r="B74" s="11" t="s">
        <v>175</v>
      </c>
      <c r="C74" s="11" t="s">
        <v>797</v>
      </c>
      <c r="D74" s="11" t="s">
        <v>176</v>
      </c>
      <c r="E74" s="16">
        <v>721100</v>
      </c>
      <c r="F74" s="11" t="s">
        <v>177</v>
      </c>
      <c r="G74" s="11" t="s">
        <v>161</v>
      </c>
      <c r="H74" s="11" t="s">
        <v>178</v>
      </c>
      <c r="I74" s="11" t="s">
        <v>179</v>
      </c>
      <c r="J74" s="11"/>
      <c r="K74" s="16"/>
    </row>
    <row r="75" spans="1:11" ht="45" x14ac:dyDescent="0.25">
      <c r="A75" s="18">
        <v>2</v>
      </c>
      <c r="B75" s="11" t="s">
        <v>175</v>
      </c>
      <c r="C75" s="11" t="s">
        <v>797</v>
      </c>
      <c r="D75" s="11" t="s">
        <v>419</v>
      </c>
      <c r="E75" s="16">
        <v>2745600</v>
      </c>
      <c r="F75" s="11" t="s">
        <v>177</v>
      </c>
      <c r="G75" s="11" t="s">
        <v>161</v>
      </c>
      <c r="H75" s="11" t="s">
        <v>416</v>
      </c>
      <c r="I75" s="11" t="s">
        <v>432</v>
      </c>
      <c r="J75" s="11"/>
      <c r="K75" s="16"/>
    </row>
    <row r="76" spans="1:11" ht="45" x14ac:dyDescent="0.25">
      <c r="A76" s="98">
        <v>3</v>
      </c>
      <c r="B76" s="32" t="s">
        <v>175</v>
      </c>
      <c r="C76" s="11" t="s">
        <v>797</v>
      </c>
      <c r="D76" s="99" t="s">
        <v>703</v>
      </c>
      <c r="E76" s="33">
        <v>10140200</v>
      </c>
      <c r="F76" s="32" t="s">
        <v>498</v>
      </c>
      <c r="G76" s="32" t="s">
        <v>170</v>
      </c>
      <c r="H76" s="32">
        <v>2024</v>
      </c>
      <c r="I76" s="32" t="s">
        <v>499</v>
      </c>
      <c r="J76" s="32"/>
      <c r="K76" s="33"/>
    </row>
    <row r="77" spans="1:11" ht="30" x14ac:dyDescent="0.25">
      <c r="A77" s="37">
        <v>4</v>
      </c>
      <c r="B77" s="11" t="s">
        <v>175</v>
      </c>
      <c r="C77" s="11" t="s">
        <v>797</v>
      </c>
      <c r="D77" s="31" t="s">
        <v>651</v>
      </c>
      <c r="E77" s="16">
        <v>84000</v>
      </c>
      <c r="F77" s="11" t="s">
        <v>498</v>
      </c>
      <c r="G77" s="11" t="s">
        <v>170</v>
      </c>
      <c r="H77" s="11" t="s">
        <v>652</v>
      </c>
      <c r="I77" s="11" t="s">
        <v>653</v>
      </c>
      <c r="J77" s="11"/>
      <c r="K77" s="16"/>
    </row>
    <row r="78" spans="1:11" ht="45" x14ac:dyDescent="0.25">
      <c r="A78" s="37">
        <v>5</v>
      </c>
      <c r="B78" s="11" t="s">
        <v>175</v>
      </c>
      <c r="C78" s="11" t="s">
        <v>797</v>
      </c>
      <c r="D78" s="31" t="s">
        <v>654</v>
      </c>
      <c r="E78" s="16">
        <v>1249000</v>
      </c>
      <c r="F78" s="11" t="s">
        <v>498</v>
      </c>
      <c r="G78" s="11" t="s">
        <v>161</v>
      </c>
      <c r="H78" s="11" t="s">
        <v>655</v>
      </c>
      <c r="I78" s="11" t="s">
        <v>653</v>
      </c>
      <c r="J78" s="11" t="s">
        <v>787</v>
      </c>
      <c r="K78" s="16">
        <v>1249000</v>
      </c>
    </row>
    <row r="79" spans="1:11" ht="30" x14ac:dyDescent="0.25">
      <c r="A79" s="37">
        <v>6</v>
      </c>
      <c r="B79" s="11" t="s">
        <v>175</v>
      </c>
      <c r="C79" s="11" t="s">
        <v>797</v>
      </c>
      <c r="D79" s="31" t="s">
        <v>678</v>
      </c>
      <c r="E79" s="16">
        <v>84800</v>
      </c>
      <c r="F79" s="11" t="s">
        <v>498</v>
      </c>
      <c r="G79" s="11" t="s">
        <v>675</v>
      </c>
      <c r="H79" s="11" t="s">
        <v>676</v>
      </c>
      <c r="I79" s="11" t="s">
        <v>679</v>
      </c>
      <c r="J79" s="11"/>
      <c r="K79" s="16"/>
    </row>
    <row r="80" spans="1:11" ht="45" x14ac:dyDescent="0.25">
      <c r="A80" s="37">
        <v>7</v>
      </c>
      <c r="B80" s="11" t="s">
        <v>175</v>
      </c>
      <c r="C80" s="11" t="s">
        <v>797</v>
      </c>
      <c r="D80" s="31" t="s">
        <v>691</v>
      </c>
      <c r="E80" s="16">
        <v>4466250</v>
      </c>
      <c r="F80" s="11" t="s">
        <v>498</v>
      </c>
      <c r="G80" s="11" t="s">
        <v>161</v>
      </c>
      <c r="H80" s="11" t="s">
        <v>676</v>
      </c>
      <c r="I80" s="11" t="s">
        <v>372</v>
      </c>
      <c r="J80" s="11"/>
      <c r="K80" s="16"/>
    </row>
    <row r="81" spans="1:11" x14ac:dyDescent="0.25">
      <c r="A81" s="160" t="s">
        <v>304</v>
      </c>
      <c r="B81" s="161"/>
      <c r="C81" s="161"/>
      <c r="D81" s="162"/>
      <c r="E81" s="19">
        <f>E74+E75+E77+E78+E79+E80</f>
        <v>9350750</v>
      </c>
      <c r="F81" s="11"/>
      <c r="G81" s="18"/>
      <c r="H81" s="11"/>
      <c r="I81" s="11"/>
      <c r="J81" s="16"/>
      <c r="K81" s="16"/>
    </row>
    <row r="82" spans="1:11" ht="22.5" customHeight="1" x14ac:dyDescent="0.25">
      <c r="A82" s="156" t="s">
        <v>275</v>
      </c>
      <c r="B82" s="157"/>
      <c r="C82" s="157"/>
      <c r="D82" s="157"/>
      <c r="E82" s="157"/>
      <c r="F82" s="157"/>
      <c r="G82" s="157"/>
      <c r="H82" s="157"/>
      <c r="I82" s="157"/>
      <c r="J82" s="157"/>
      <c r="K82" s="157"/>
    </row>
    <row r="83" spans="1:11" ht="84.75" customHeight="1" x14ac:dyDescent="0.25">
      <c r="A83" s="11">
        <v>1</v>
      </c>
      <c r="B83" s="11" t="s">
        <v>275</v>
      </c>
      <c r="C83" s="11" t="s">
        <v>797</v>
      </c>
      <c r="D83" s="11" t="s">
        <v>276</v>
      </c>
      <c r="E83" s="16">
        <v>1614450</v>
      </c>
      <c r="F83" s="11" t="s">
        <v>277</v>
      </c>
      <c r="G83" s="11" t="s">
        <v>214</v>
      </c>
      <c r="H83" s="11" t="s">
        <v>376</v>
      </c>
      <c r="I83" s="11"/>
      <c r="J83" s="11"/>
      <c r="K83" s="16"/>
    </row>
    <row r="84" spans="1:11" ht="26.25" customHeight="1" x14ac:dyDescent="0.25">
      <c r="A84" s="156" t="s">
        <v>619</v>
      </c>
      <c r="B84" s="157"/>
      <c r="C84" s="157"/>
      <c r="D84" s="157"/>
      <c r="E84" s="157"/>
      <c r="F84" s="157"/>
      <c r="G84" s="157"/>
      <c r="H84" s="157"/>
      <c r="I84" s="157"/>
      <c r="J84" s="157"/>
      <c r="K84" s="157"/>
    </row>
    <row r="85" spans="1:11" ht="45" x14ac:dyDescent="0.25">
      <c r="A85" s="84">
        <v>1</v>
      </c>
      <c r="B85" s="84" t="s">
        <v>619</v>
      </c>
      <c r="C85" s="11" t="s">
        <v>797</v>
      </c>
      <c r="D85" s="84" t="s">
        <v>620</v>
      </c>
      <c r="E85" s="85">
        <v>201000</v>
      </c>
      <c r="F85" s="84" t="s">
        <v>622</v>
      </c>
      <c r="G85" s="84" t="s">
        <v>170</v>
      </c>
      <c r="H85" s="84" t="s">
        <v>621</v>
      </c>
      <c r="I85" s="84" t="s">
        <v>617</v>
      </c>
      <c r="J85" s="84"/>
      <c r="K85" s="85"/>
    </row>
    <row r="86" spans="1:11" ht="45" x14ac:dyDescent="0.25">
      <c r="A86" s="84">
        <v>2</v>
      </c>
      <c r="B86" s="84" t="s">
        <v>619</v>
      </c>
      <c r="C86" s="11" t="s">
        <v>797</v>
      </c>
      <c r="D86" s="84" t="s">
        <v>623</v>
      </c>
      <c r="E86" s="85">
        <v>534000</v>
      </c>
      <c r="F86" s="84" t="s">
        <v>622</v>
      </c>
      <c r="G86" s="84" t="s">
        <v>170</v>
      </c>
      <c r="H86" s="84" t="s">
        <v>624</v>
      </c>
      <c r="I86" s="86" t="s">
        <v>625</v>
      </c>
      <c r="J86" s="84"/>
      <c r="K86" s="85"/>
    </row>
    <row r="87" spans="1:11" ht="45" x14ac:dyDescent="0.25">
      <c r="A87" s="84">
        <v>3</v>
      </c>
      <c r="B87" s="84" t="s">
        <v>619</v>
      </c>
      <c r="C87" s="11" t="s">
        <v>797</v>
      </c>
      <c r="D87" s="96" t="s">
        <v>693</v>
      </c>
      <c r="E87" s="85">
        <v>2605500</v>
      </c>
      <c r="F87" s="84" t="s">
        <v>622</v>
      </c>
      <c r="G87" s="96" t="s">
        <v>694</v>
      </c>
      <c r="H87" s="96" t="s">
        <v>695</v>
      </c>
      <c r="I87" s="96" t="s">
        <v>625</v>
      </c>
      <c r="J87" s="84"/>
      <c r="K87" s="85"/>
    </row>
    <row r="92" spans="1:11" x14ac:dyDescent="0.25">
      <c r="E92" s="14"/>
    </row>
  </sheetData>
  <autoFilter ref="A11:K87" xr:uid="{FBD86C62-6D0D-49CF-91FD-09CF6553433C}"/>
  <mergeCells count="9">
    <mergeCell ref="A1:K1"/>
    <mergeCell ref="A3:K3"/>
    <mergeCell ref="A6:K6"/>
    <mergeCell ref="A10:K10"/>
    <mergeCell ref="A56:K56"/>
    <mergeCell ref="A81:D81"/>
    <mergeCell ref="A84:K84"/>
    <mergeCell ref="A73:K73"/>
    <mergeCell ref="A82:K82"/>
  </mergeCells>
  <phoneticPr fontId="14" type="noConversion"/>
  <pageMargins left="0.25" right="0.25" top="0.75" bottom="0.75" header="0.3" footer="0.3"/>
  <pageSetup paperSize="9" scale="6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РИ-ТРАНС вх. претензии</vt:lpstr>
      <vt:lpstr>Претензии исх. РИ-ТРАНС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Красильникова Наталья Константиновна</dc:creator>
  <cp:lastModifiedBy>Гетмоненко Полина Дмитриевна</cp:lastModifiedBy>
  <cp:lastPrinted>2025-12-30T09:32:45Z</cp:lastPrinted>
  <dcterms:created xsi:type="dcterms:W3CDTF">2015-06-05T18:19:34Z</dcterms:created>
  <dcterms:modified xsi:type="dcterms:W3CDTF">2026-04-14T12:26:12Z</dcterms:modified>
</cp:coreProperties>
</file>