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Z:\Backup\RI-TRANS\Docs\Простои\"/>
    </mc:Choice>
  </mc:AlternateContent>
  <bookViews>
    <workbookView xWindow="-120" yWindow="-120" windowWidth="29040" windowHeight="15840"/>
  </bookViews>
  <sheets>
    <sheet name="Лист1" sheetId="2" r:id="rId1"/>
  </sheets>
  <definedNames>
    <definedName name="_xlnm._FilterDatabase" localSheetId="0" hidden="1">Лист1!$A$3:$W$6</definedName>
  </definedNames>
  <calcPr calcId="162913"/>
</workbook>
</file>

<file path=xl/calcChain.xml><?xml version="1.0" encoding="utf-8"?>
<calcChain xmlns="http://schemas.openxmlformats.org/spreadsheetml/2006/main">
  <c r="Q5" i="2" l="1"/>
  <c r="N5" i="2"/>
  <c r="O5" i="2" s="1"/>
  <c r="S5" i="2" s="1"/>
  <c r="N4" i="2"/>
  <c r="O4" i="2" s="1"/>
  <c r="Q4" i="2" l="1"/>
  <c r="S4" i="2" s="1"/>
  <c r="S6" i="2" l="1"/>
</calcChain>
</file>

<file path=xl/sharedStrings.xml><?xml version="1.0" encoding="utf-8"?>
<sst xmlns="http://schemas.openxmlformats.org/spreadsheetml/2006/main" count="32" uniqueCount="30">
  <si>
    <t>Вагон</t>
  </si>
  <si>
    <t>Накладная</t>
  </si>
  <si>
    <t>Станция отправления</t>
  </si>
  <si>
    <t>Станция назначения</t>
  </si>
  <si>
    <t>Дата прибытия</t>
  </si>
  <si>
    <t>Грузоотправитель</t>
  </si>
  <si>
    <t>Грузополучатель</t>
  </si>
  <si>
    <t>Груз</t>
  </si>
  <si>
    <t>Простой под выгрузкой</t>
  </si>
  <si>
    <t>Контрагент</t>
  </si>
  <si>
    <t>Вид деятельности</t>
  </si>
  <si>
    <t>№ п/п</t>
  </si>
  <si>
    <t>Плательщик</t>
  </si>
  <si>
    <t>Дата оформления порожней цистерны к перевозке</t>
  </si>
  <si>
    <t>Норматив</t>
  </si>
  <si>
    <t>Сверхнормативный простой</t>
  </si>
  <si>
    <t>В т.ч. Сверхнормативный простой от 1 до 4 суток</t>
  </si>
  <si>
    <t>Сумма штрафа за 1 вагон в сутки</t>
  </si>
  <si>
    <t>В т.ч. Сверхнормативный простой свыше 5 суток</t>
  </si>
  <si>
    <t>Размер начисленной неустойки</t>
  </si>
  <si>
    <t>№ сделки</t>
  </si>
  <si>
    <t>Дата сделки</t>
  </si>
  <si>
    <t>Генеральное соглашение</t>
  </si>
  <si>
    <t>Оператор</t>
  </si>
  <si>
    <t xml:space="preserve">Собственник </t>
  </si>
  <si>
    <t>Приложение №1 к претензии</t>
  </si>
  <si>
    <t>Расчет претензионных требований</t>
  </si>
  <si>
    <t>ИТОГО СУММА ПРЕТЕНЗИОННЫХ ТРЕБОВАНИЙ:</t>
  </si>
  <si>
    <t>Заместитель генерального директора ООО "РИ-ИНВЕСТ" по правовым вопросам</t>
  </si>
  <si>
    <t>Ю.С. Тюрин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</si>
</sst>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_-"/>
  </numFmts>
  <fonts count="12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rgb="FF000000"/>
      <name val="Calibri"/>
      <family val="2"/>
      <scheme val="minor"/>
    </font>
    <font>
      <b/>
      <sz val="11"/>
      <name val="Segoe UI"/>
      <family val="2"/>
      <charset val="204"/>
    </font>
    <font>
      <sz val="11"/>
      <name val="Calibri"/>
      <family val="2"/>
      <scheme val="minor"/>
    </font>
    <font>
      <b/>
      <sz val="12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</font>
    <font>
      <sz val="8"/>
      <name val="Calibri"/>
      <family val="2"/>
      <scheme val="minor"/>
    </font>
    <font>
      <b/>
      <sz val="12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4" fillId="0" borderId="0"/>
    <xf numFmtId="0" fontId="2" fillId="0" borderId="0"/>
    <xf numFmtId="164" fontId="4" fillId="0" borderId="0" applyFont="0" applyFill="0" applyBorder="0" applyAlignment="0" applyProtection="0"/>
    <xf numFmtId="0" fontId="1" fillId="0" borderId="0"/>
  </cellStyleXfs>
  <cellXfs count="26"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5" fillId="0" borderId="1" xfId="1" applyFont="1" applyBorder="1" applyAlignment="1">
      <alignment horizontal="center" vertical="center" wrapText="1" readingOrder="1"/>
    </xf>
    <xf numFmtId="14" fontId="5" fillId="0" borderId="1" xfId="1" applyNumberFormat="1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6" fillId="0" borderId="1" xfId="3" applyFont="1" applyBorder="1" applyAlignment="1">
      <alignment horizontal="center" vertical="center" wrapText="1"/>
    </xf>
    <xf numFmtId="164" fontId="7" fillId="0" borderId="1" xfId="3" applyFon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 readingOrder="1"/>
    </xf>
    <xf numFmtId="0" fontId="6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3" xfId="0" applyFont="1" applyBorder="1" applyAlignment="1">
      <alignment horizontal="right"/>
    </xf>
    <xf numFmtId="0" fontId="7" fillId="0" borderId="4" xfId="0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9" fillId="0" borderId="0" xfId="0" applyFont="1" applyAlignment="1">
      <alignment horizontal="right"/>
    </xf>
    <xf numFmtId="0" fontId="7" fillId="0" borderId="0" xfId="0" applyFont="1" applyAlignment="1">
      <alignment horizontal="right"/>
    </xf>
  </cellXfs>
  <cellStyles count="5">
    <cellStyle name="Normal" xfId="1"/>
    <cellStyle name="Обычный" xfId="0" builtinId="0"/>
    <cellStyle name="Обычный 2" xfId="2"/>
    <cellStyle name="Обычный 3" xfId="4"/>
    <cellStyle name="Финансовый" xfId="3" builtin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666666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A8"/>
  <sheetViews>
    <sheetView tabSelected="1" topLeftCell="M1" zoomScale="70" zoomScaleNormal="70" workbookViewId="0">
      <selection activeCell="Z4" sqref="Z4"/>
    </sheetView>
  </sheetViews>
  <sheetFormatPr defaultRowHeight="14.25" outlineLevelCol="1" x14ac:dyDescent="0.45"/>
  <cols>
    <col min="1" max="1" width="6.59765625" customWidth="1"/>
    <col min="2" max="2" width="13.265625" customWidth="1"/>
    <col min="3" max="3" width="12.6640625" customWidth="1"/>
    <col min="4" max="4" width="14.19921875" customWidth="1"/>
    <col min="5" max="5" width="15.73046875" customWidth="1"/>
    <col min="6" max="6" width="14" customWidth="1"/>
    <col min="7" max="7" width="19.59765625" bestFit="1" customWidth="1"/>
    <col min="8" max="8" width="19.1328125" customWidth="1"/>
    <col min="9" max="9" width="19.53125" customWidth="1"/>
    <col min="10" max="10" width="18.3984375" customWidth="1"/>
    <col min="11" max="11" width="16" customWidth="1"/>
    <col min="12" max="12" width="12.59765625" customWidth="1"/>
    <col min="13" max="13" width="11.265625" customWidth="1"/>
    <col min="14" max="14" width="10.53125" customWidth="1"/>
    <col min="15" max="15" width="14.3984375" customWidth="1" outlineLevel="1"/>
    <col min="16" max="16" width="11.265625" customWidth="1" outlineLevel="1"/>
    <col min="17" max="17" width="13.796875" customWidth="1" outlineLevel="1"/>
    <col min="18" max="18" width="16" customWidth="1" outlineLevel="1"/>
    <col min="19" max="19" width="14.3984375" customWidth="1"/>
    <col min="20" max="20" width="13.3984375" bestFit="1" customWidth="1"/>
    <col min="21" max="21" width="15.59765625" customWidth="1"/>
    <col min="22" max="22" width="14.3984375" bestFit="1" customWidth="1"/>
    <col min="23" max="23" width="32.86328125" style="1" customWidth="1"/>
    <col min="24" max="24" width="24.1328125" bestFit="1" customWidth="1"/>
    <col min="25" max="25" width="29.265625" bestFit="1" customWidth="1"/>
    <col min="26" max="26" width="29.265625" customWidth="1"/>
    <col min="27" max="27" width="14.86328125" customWidth="1"/>
  </cols>
  <sheetData>
    <row r="1" spans="1:27" ht="15.75" x14ac:dyDescent="0.5">
      <c r="S1" s="24" t="s">
        <v>25</v>
      </c>
      <c r="T1" s="24"/>
      <c r="U1" s="24"/>
      <c r="V1" s="24"/>
      <c r="W1" s="24"/>
      <c r="X1" s="24"/>
      <c r="Y1" s="24"/>
      <c r="Z1" s="18"/>
    </row>
    <row r="2" spans="1:27" ht="15.75" x14ac:dyDescent="0.5">
      <c r="A2" s="20" t="s">
        <v>26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17"/>
    </row>
    <row r="3" spans="1:27" ht="109.5" customHeight="1" x14ac:dyDescent="0.45">
      <c r="A3" s="4" t="s">
        <v>11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14" t="s">
        <v>5</v>
      </c>
      <c r="H3" s="14" t="s">
        <v>6</v>
      </c>
      <c r="I3" s="15" t="s">
        <v>7</v>
      </c>
      <c r="J3" s="14" t="s">
        <v>12</v>
      </c>
      <c r="K3" s="5" t="s">
        <v>13</v>
      </c>
      <c r="L3" s="4" t="s">
        <v>8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17</v>
      </c>
      <c r="S3" s="4" t="s">
        <v>19</v>
      </c>
      <c r="T3" s="4" t="s">
        <v>9</v>
      </c>
      <c r="U3" s="4" t="s">
        <v>20</v>
      </c>
      <c r="V3" s="4" t="s">
        <v>21</v>
      </c>
      <c r="W3" s="4" t="s">
        <v>22</v>
      </c>
      <c r="X3" s="12" t="s">
        <v>23</v>
      </c>
      <c r="Y3" s="12" t="s">
        <v>24</v>
      </c>
      <c r="Z3" s="12" t="s">
        <v>12</v>
      </c>
      <c r="AA3" s="4" t="s">
        <v>10</v>
      </c>
    </row>
    <row r="4" spans="1:27" ht="29.25" customHeight="1" x14ac:dyDescent="0.45">
      <c r="A4" s="6"/>
      <c r="B4" s="6"/>
      <c r="C4" s="6"/>
      <c r="D4" s="6"/>
      <c r="E4" s="6"/>
      <c r="F4" s="7"/>
      <c r="G4" s="16"/>
      <c r="H4" s="16"/>
      <c r="I4" s="16"/>
      <c r="J4" s="16"/>
      <c r="K4" s="7"/>
      <c r="L4" s="6"/>
      <c r="M4" s="6"/>
      <c r="N4" s="6">
        <f>IF(L4-M4&gt;0,L4-M4,0)</f>
        <v>0</v>
      </c>
      <c r="O4" s="6">
        <f>IF(N4&lt;=4,N4,4)</f>
        <v>0</v>
      </c>
      <c r="P4" s="6"/>
      <c r="Q4" s="6">
        <f>IF(N4&gt;=5,N4-4,0)</f>
        <v>0</v>
      </c>
      <c r="R4" s="6"/>
      <c r="S4" s="9">
        <f t="shared" ref="S4" si="0">O4*P4+Q4*R4</f>
        <v>0</v>
      </c>
      <c r="T4" s="6"/>
      <c r="U4" s="6"/>
      <c r="V4" s="11"/>
      <c r="W4" s="8"/>
      <c r="X4" s="13"/>
      <c r="Y4" s="13"/>
      <c r="Z4" s="13"/>
      <c r="AA4" s="8"/>
    </row>
    <row r="5" spans="1:27" ht="28.9" customHeight="1" x14ac:dyDescent="0.45">
      <c r="A5" s="6"/>
      <c r="B5" s="6"/>
      <c r="C5" s="6"/>
      <c r="D5" s="6"/>
      <c r="E5" s="6"/>
      <c r="F5" s="7"/>
      <c r="G5" s="16"/>
      <c r="H5" s="16"/>
      <c r="I5" s="16"/>
      <c r="J5" s="16"/>
      <c r="K5" s="7"/>
      <c r="L5" s="6"/>
      <c r="M5" s="6"/>
      <c r="N5" s="6">
        <f>IF(L5-M5&gt;0,L5-M5,0)</f>
        <v>0</v>
      </c>
      <c r="O5" s="6">
        <f>IF(N5&lt;=4,N5,4)</f>
        <v>0</v>
      </c>
      <c r="P5" s="6"/>
      <c r="Q5" s="6">
        <f>IF(N5&gt;=5,N5-4,0)</f>
        <v>0</v>
      </c>
      <c r="R5" s="6"/>
      <c r="S5" s="9">
        <f t="shared" ref="S5" si="1">O5*P5+Q5*R5</f>
        <v>0</v>
      </c>
      <c r="T5" s="6"/>
      <c r="U5" s="6"/>
      <c r="V5" s="11"/>
      <c r="W5" s="8"/>
      <c r="X5" s="13"/>
      <c r="Y5" s="13"/>
      <c r="Z5" s="13"/>
      <c r="AA5" s="8"/>
    </row>
    <row r="6" spans="1:27" ht="15.75" x14ac:dyDescent="0.5">
      <c r="A6" s="21" t="s">
        <v>27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3"/>
      <c r="S6" s="10">
        <f>SUM(S4:S5)</f>
        <v>0</v>
      </c>
      <c r="T6" s="2"/>
      <c r="U6" s="2"/>
      <c r="V6" s="2"/>
      <c r="W6" s="3"/>
      <c r="X6" s="2"/>
      <c r="Y6" s="2"/>
      <c r="Z6" s="2"/>
      <c r="AA6" s="2"/>
    </row>
    <row r="8" spans="1:27" ht="15.75" x14ac:dyDescent="0.5">
      <c r="A8" s="19" t="s">
        <v>28</v>
      </c>
      <c r="B8" s="19"/>
      <c r="C8" s="19"/>
      <c r="D8" s="19"/>
      <c r="E8" s="19"/>
      <c r="F8" s="19"/>
      <c r="G8" s="19"/>
      <c r="H8" s="19"/>
      <c r="I8" s="19"/>
      <c r="J8" s="19"/>
      <c r="R8" s="25" t="s">
        <v>29</v>
      </c>
      <c r="S8" s="25"/>
      <c r="T8" s="25"/>
      <c r="U8" s="25"/>
      <c r="V8" s="25"/>
      <c r="W8" s="25"/>
      <c r="X8" s="25"/>
      <c r="Y8" s="25"/>
      <c r="Z8" s="25"/>
      <c r="AA8" s="25"/>
    </row>
  </sheetData>
  <autoFilter ref="A3:W6"/>
  <mergeCells count="5">
    <mergeCell ref="A8:J8"/>
    <mergeCell ref="A2:Y2"/>
    <mergeCell ref="A6:R6"/>
    <mergeCell ref="S1:Y1"/>
    <mergeCell ref="R8:AA8"/>
  </mergeCells>
  <phoneticPr fontId="1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Редель Максим Александрович</dc:creator>
  <cp:lastModifiedBy>fedu</cp:lastModifiedBy>
  <dcterms:created xsi:type="dcterms:W3CDTF">2025-10-02T05:49:48Z</dcterms:created>
  <dcterms:modified xsi:type="dcterms:W3CDTF">2026-02-16T11:11:00Z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