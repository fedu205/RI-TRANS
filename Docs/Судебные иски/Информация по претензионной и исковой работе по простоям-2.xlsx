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etmonenko_p\Desktop\Полина\ЛИС\"/>
    </mc:Choice>
  </mc:AlternateContent>
  <xr:revisionPtr revIDLastSave="0" documentId="13_ncr:1_{ABEC7CD9-423A-41AC-AB43-811432D556A9}" xr6:coauthVersionLast="47" xr6:coauthVersionMax="47" xr10:uidLastSave="{00000000-0000-0000-0000-000000000000}"/>
  <bookViews>
    <workbookView xWindow="-120" yWindow="-120" windowWidth="29040" windowHeight="15840" tabRatio="727" activeTab="1" xr2:uid="{00000000-000D-0000-FFFF-FFFF00000000}"/>
  </bookViews>
  <sheets>
    <sheet name="СУДЫ исх. РИ-ИНВЕСТ" sheetId="6" r:id="rId1"/>
    <sheet name="СУДЫ вх. РИ-ИНВЕСТ" sheetId="8" r:id="rId2"/>
    <sheet name="РИ-ИНВЕСТ 3-е лицо" sheetId="7" r:id="rId3"/>
    <sheet name="СУДЫ РИ-ТРАНС" sheetId="4" r:id="rId4"/>
  </sheets>
  <definedNames>
    <definedName name="_xlnm._FilterDatabase" localSheetId="2" hidden="1">'РИ-ИНВЕСТ 3-е лицо'!$A$2:$N$21</definedName>
    <definedName name="_xlnm._FilterDatabase" localSheetId="1" hidden="1">'СУДЫ вх. РИ-ИНВЕСТ'!$A$2:$U$8</definedName>
    <definedName name="_xlnm._FilterDatabase" localSheetId="0" hidden="1">'СУДЫ исх. РИ-ИНВЕСТ'!$A$2:$X$68</definedName>
    <definedName name="_xlnm._FilterDatabase" localSheetId="3" hidden="1">'СУДЫ РИ-ТРАНС'!$A$2:$W$21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4" i="6" l="1"/>
  <c r="W30" i="6"/>
  <c r="Q48" i="6"/>
  <c r="P48" i="6"/>
  <c r="V48" i="6" s="1"/>
  <c r="U32" i="6"/>
  <c r="P44" i="6"/>
  <c r="U17" i="6"/>
  <c r="W32" i="6"/>
  <c r="V29" i="6"/>
  <c r="U5" i="6"/>
  <c r="V17" i="6"/>
  <c r="V33" i="6"/>
  <c r="V56" i="6"/>
  <c r="V53" i="6"/>
  <c r="V49" i="6"/>
  <c r="U18" i="6"/>
  <c r="U15" i="6"/>
  <c r="U25" i="6"/>
  <c r="P25" i="6"/>
  <c r="U44" i="6"/>
  <c r="W40" i="6"/>
  <c r="W15" i="6"/>
  <c r="U27" i="6"/>
  <c r="U14" i="6"/>
  <c r="U20" i="6"/>
  <c r="U19" i="6"/>
  <c r="U23" i="6"/>
  <c r="U34" i="6"/>
  <c r="U31" i="6"/>
  <c r="U21" i="6"/>
  <c r="U35" i="6"/>
</calcChain>
</file>

<file path=xl/sharedStrings.xml><?xml version="1.0" encoding="utf-8"?>
<sst xmlns="http://schemas.openxmlformats.org/spreadsheetml/2006/main" count="1141" uniqueCount="835">
  <si>
    <t>№ п/п</t>
  </si>
  <si>
    <t>Контрагент</t>
  </si>
  <si>
    <t>-</t>
  </si>
  <si>
    <t>погашено</t>
  </si>
  <si>
    <t>№ претензии и сумма требования по ней</t>
  </si>
  <si>
    <t>ООО "Уником"</t>
  </si>
  <si>
    <t>№1 от 15.02.2024</t>
  </si>
  <si>
    <t>Период простоя</t>
  </si>
  <si>
    <t>октябрь-ноябрь 2023</t>
  </si>
  <si>
    <t>июнь 2023 - январь 2024</t>
  </si>
  <si>
    <t>А70-18961/2023</t>
  </si>
  <si>
    <t>Номер дела</t>
  </si>
  <si>
    <t>А07-10667/2024</t>
  </si>
  <si>
    <t>А46-2182/2024</t>
  </si>
  <si>
    <t>Номер Генерального соглашения и дата</t>
  </si>
  <si>
    <t>№205ГС/23 от 11.10.2023</t>
  </si>
  <si>
    <t>Номера претензий</t>
  </si>
  <si>
    <t>№40ГС/21 от 12.10.2021</t>
  </si>
  <si>
    <t>Наименование суда</t>
  </si>
  <si>
    <t>АС Московской области</t>
  </si>
  <si>
    <t>АС г. Москвы</t>
  </si>
  <si>
    <t>№43ГС/21 от 13.10.2021</t>
  </si>
  <si>
    <t>№166ГС/23 от 17.05.2023</t>
  </si>
  <si>
    <t>№12ГС/21 от 04.10.2021</t>
  </si>
  <si>
    <t>АС Алтайского края</t>
  </si>
  <si>
    <t>№964 от 22.09.2023</t>
  </si>
  <si>
    <t>№251 от 28.03.2024</t>
  </si>
  <si>
    <t>АС Омской области</t>
  </si>
  <si>
    <t>№937 от 07.08.2024</t>
  </si>
  <si>
    <t>№263 от 01.04.2024</t>
  </si>
  <si>
    <t>№27ГС/21 от 07.10.2021</t>
  </si>
  <si>
    <t>№235 от 25.03.2024</t>
  </si>
  <si>
    <t>АС Красноярского края</t>
  </si>
  <si>
    <t>№225 от 22.03.2024</t>
  </si>
  <si>
    <t>№857 от 06.07.2024</t>
  </si>
  <si>
    <t>договор №1 от 01.08.2021</t>
  </si>
  <si>
    <t>№513 от 30.05.2024</t>
  </si>
  <si>
    <t>АС Амурской области</t>
  </si>
  <si>
    <t>№856 от 26.07.2024</t>
  </si>
  <si>
    <t>№13ГС/21 от 04.10.2021</t>
  </si>
  <si>
    <t>А04-7208/2024</t>
  </si>
  <si>
    <t>№936 от 07.08.2024</t>
  </si>
  <si>
    <t xml:space="preserve">Исковое заявление №720 от 01.08.2024 </t>
  </si>
  <si>
    <t>Исковое заявление №756 от 08.08.2024</t>
  </si>
  <si>
    <t>Исковое заявление №769 от 14.08.2024</t>
  </si>
  <si>
    <t>Исковое заявление №772 от 14.08.2024</t>
  </si>
  <si>
    <t>Исковое заявление №773 от 14.08.2024</t>
  </si>
  <si>
    <t>Исковое заявление №770 от 14.08.2024</t>
  </si>
  <si>
    <t>Исковое заявление №755 от 08.08.2024</t>
  </si>
  <si>
    <t>№7ГС/21 от 01.10.2021</t>
  </si>
  <si>
    <t>№984 от 19.08.2024</t>
  </si>
  <si>
    <t>№100ГС/22 от 02.06.2022</t>
  </si>
  <si>
    <t>Исковое заявление №784 от 19.08.2024</t>
  </si>
  <si>
    <t>АС Республики Башкортостан</t>
  </si>
  <si>
    <t>№986 от 19.08.2024</t>
  </si>
  <si>
    <t>№29ГС/21 от 07.10.2021</t>
  </si>
  <si>
    <t>АС Челябинской области</t>
  </si>
  <si>
    <t>№9ГС/21 от 01.10.2021</t>
  </si>
  <si>
    <t>Исковое заявление №783 от 19.08.2024</t>
  </si>
  <si>
    <t>№36ГС/21 от 11.10.2021</t>
  </si>
  <si>
    <t>Исковое заявление №785 от 19.08.2024</t>
  </si>
  <si>
    <t>АС Тюменской области</t>
  </si>
  <si>
    <t>№987 от 19.08.2024</t>
  </si>
  <si>
    <t>№32ГС/21 от 08.10.2021</t>
  </si>
  <si>
    <t>Исковое заявление №786 от 19.08.2024</t>
  </si>
  <si>
    <t>А40-195020/2024</t>
  </si>
  <si>
    <t>№964 от 15.08.2024</t>
  </si>
  <si>
    <t>№968 от 15.08.2024</t>
  </si>
  <si>
    <t>№965 от 15.08.2024</t>
  </si>
  <si>
    <t>№967 от 15.08.2024</t>
  </si>
  <si>
    <t>№966 от 15.08.2024</t>
  </si>
  <si>
    <t>№35ГС/21 от 11.10.2021</t>
  </si>
  <si>
    <t>ООО "ТД "ТРАНС-ОЙЛ"</t>
  </si>
  <si>
    <t>№65ГС/21 от 11.11.2021</t>
  </si>
  <si>
    <t>№679 от 03.11.2022, №32 от 17.01.2023, №572 от 17.05.2023</t>
  </si>
  <si>
    <t>ООО "ЭЛЕМЕНТ ОЙЛ ТРЕЙДИНГ"</t>
  </si>
  <si>
    <t>№33 ГС/21 от 08.10.2021</t>
  </si>
  <si>
    <t>№318 от 11.04.2024</t>
  </si>
  <si>
    <t>№988 от 18.08.2024</t>
  </si>
  <si>
    <t>№1022 от 10.10.2023, 
№445 от 13.05.2024</t>
  </si>
  <si>
    <t>Исковое заявление № 805 от 23.08.2024</t>
  </si>
  <si>
    <t>Исковое заявление №804 от 23.08.2024</t>
  </si>
  <si>
    <t>июнь 2022 - ноябрь 2023</t>
  </si>
  <si>
    <t>аперль 2022 - декабрь 2023</t>
  </si>
  <si>
    <t>декабрь 2022 - январь 2024</t>
  </si>
  <si>
    <t>ноябрь 2021 - декабрь 2023</t>
  </si>
  <si>
    <t>июнь 2023 - декабрь 2023</t>
  </si>
  <si>
    <t>август 2022 - май 2023</t>
  </si>
  <si>
    <t>май 2023 - декабрь 2023</t>
  </si>
  <si>
    <t>май 2023 - январь 2024</t>
  </si>
  <si>
    <t>декабрь 2021 - август 2023</t>
  </si>
  <si>
    <t xml:space="preserve">октябрь 2022 - ноябрь 2023 </t>
  </si>
  <si>
    <t>июнь 2022 - декабрь 2023</t>
  </si>
  <si>
    <t>№185ГС/23</t>
  </si>
  <si>
    <t>№132 от 21.03.2024</t>
  </si>
  <si>
    <t>июль 2023 - август 2023</t>
  </si>
  <si>
    <t>№2ГС/21 от 01.10.2021</t>
  </si>
  <si>
    <t>№282 от 04.04.2024</t>
  </si>
  <si>
    <t>06.2023-01.2024</t>
  </si>
  <si>
    <t>ООО "ТД "Сибирские нефтепродукты"</t>
  </si>
  <si>
    <t xml:space="preserve">АС Омской области </t>
  </si>
  <si>
    <t>№71ГС/21 от 01.12.2021</t>
  </si>
  <si>
    <t>№344 от 17.04.2024</t>
  </si>
  <si>
    <t>июль 2022 - декабрь 2023</t>
  </si>
  <si>
    <t>Исковое заявление №816 от 27.08.2024</t>
  </si>
  <si>
    <t>Исковое заявление №815 от 27.08.2024</t>
  </si>
  <si>
    <t>№105ГС/22 от 22.06.2022</t>
  </si>
  <si>
    <t>№277 от 03.04.2024</t>
  </si>
  <si>
    <t>Исковое заявление №818 от 27.08.2024</t>
  </si>
  <si>
    <t>Исковое заявление №817 от 27.08.2024</t>
  </si>
  <si>
    <t>N115ГС/22 от 18.08.2022</t>
  </si>
  <si>
    <t>08.2023-12.2023</t>
  </si>
  <si>
    <t>№441 от 13.05.2024</t>
  </si>
  <si>
    <t>Исковое заявление №819 от 27.08.2024</t>
  </si>
  <si>
    <t>№96ГС/22 от 04.05.2022 г.</t>
  </si>
  <si>
    <t>№320 от 11.04.2024</t>
  </si>
  <si>
    <t>А40-199704/2024</t>
  </si>
  <si>
    <t>№1015 от 26.08.2024</t>
  </si>
  <si>
    <t>июнь-август 2023</t>
  </si>
  <si>
    <t>АС Республики Алтай</t>
  </si>
  <si>
    <t>№01/32(2021) от 17.08.2021</t>
  </si>
  <si>
    <t>июль 2023-январь 2024</t>
  </si>
  <si>
    <t>апрель-август 2024</t>
  </si>
  <si>
    <t>Иск направлен в АС Омской области 28.08.2024</t>
  </si>
  <si>
    <t>Сумма иска, руб.</t>
  </si>
  <si>
    <t xml:space="preserve">Госпошлина, руб. </t>
  </si>
  <si>
    <t>Номер платежного поручения об оплате г/п</t>
  </si>
  <si>
    <t>№955 от 21.09.2023, 
№283 от 04.04.2024</t>
  </si>
  <si>
    <t>№1000 от 05.10.2023, 
№327 от 12.04.2024</t>
  </si>
  <si>
    <t>№855 от 28.12.2022, 
№166 от 27.02.2023, 
№925 от 15.09.2023, 
№326 от 12.04.2024</t>
  </si>
  <si>
    <t>№68 от 30.01.2023, 
№347 от 17.04.2024</t>
  </si>
  <si>
    <t>№525 от 26.04.2023, 
№346 от 17.04.2024</t>
  </si>
  <si>
    <t>№544 от 03.05.2023, 
№982 от 29.09.2023, 
№350 от 17.04.2024</t>
  </si>
  <si>
    <t>№45 от 19.01.2023, 
№524 от 26.04.2023</t>
  </si>
  <si>
    <t xml:space="preserve">№3ГС/21 от 01.10.2021 </t>
  </si>
  <si>
    <t>ООО "А-ТРЕЙД"</t>
  </si>
  <si>
    <t>ООО "Автостиль"</t>
  </si>
  <si>
    <t>ООО "Нафта"</t>
  </si>
  <si>
    <t>ООО "ТТК"</t>
  </si>
  <si>
    <t>ООО "Технология Сибири"</t>
  </si>
  <si>
    <t>ООО "УНП"</t>
  </si>
  <si>
    <t>ООО "Сибнефтехимтрейд"</t>
  </si>
  <si>
    <t>А41-75305/2024</t>
  </si>
  <si>
    <t>ООО "Мосрегионгаз"</t>
  </si>
  <si>
    <t>№114ГС/22 от 17.08.2022</t>
  </si>
  <si>
    <t>№289 от 05.04.2024</t>
  </si>
  <si>
    <t>июнь 2023 - ноябрь 2023</t>
  </si>
  <si>
    <t>Исковое заявление №867 от 03.09.2024</t>
  </si>
  <si>
    <t>ООО "Шелко"</t>
  </si>
  <si>
    <t>№19ГС/21 от 04.10.2021</t>
  </si>
  <si>
    <t xml:space="preserve">№446 от 13.05.2024 </t>
  </si>
  <si>
    <t>Исковое заявление №866 от 03.09.2024</t>
  </si>
  <si>
    <t>№8ГС/21 от 01.10.2021</t>
  </si>
  <si>
    <t>№304 от 09.04.2024</t>
  </si>
  <si>
    <t>июнь 2023 - декабрь 2024</t>
  </si>
  <si>
    <t>Исковое заявление №861 от 03.09.2024</t>
  </si>
  <si>
    <t>ООО "Торгальянс"</t>
  </si>
  <si>
    <t>Исковое заявление №860 от 03.09.2024</t>
  </si>
  <si>
    <t>№17ГС/21 от 04.10.2021</t>
  </si>
  <si>
    <t>Исковое заявление №807 от 23.08.2024</t>
  </si>
  <si>
    <t>Исковое заявление №806 от 23.08.2024</t>
  </si>
  <si>
    <t>А46-16484/2024</t>
  </si>
  <si>
    <t>А40-203526/2024</t>
  </si>
  <si>
    <t>А03-15366/2024</t>
  </si>
  <si>
    <t>А46-15822/2024</t>
  </si>
  <si>
    <t>№79ГС/21 от 16.12.2021</t>
  </si>
  <si>
    <t>Исковое заявление №808 от 23.08.2024</t>
  </si>
  <si>
    <t>№995 от 03.10.2023, №348 от 17.04.2024</t>
  </si>
  <si>
    <t>№1002 от 05.10.2023, №353 от 17.04.2024</t>
  </si>
  <si>
    <t>№395 от 23.04.2024</t>
  </si>
  <si>
    <t xml:space="preserve">сентябрь 2023 - декабрь 2023 </t>
  </si>
  <si>
    <t xml:space="preserve">апрель 2023 - февраль 2024 </t>
  </si>
  <si>
    <t xml:space="preserve">февраль 2023 - декабрь 2023 </t>
  </si>
  <si>
    <t xml:space="preserve">июня 2023 - январь 2024 </t>
  </si>
  <si>
    <t>октябрь 2021 - октябрь 2023</t>
  </si>
  <si>
    <t>А46-16483/2024</t>
  </si>
  <si>
    <t>Исковое заявление №709 от 05.07.2023</t>
  </si>
  <si>
    <t>Исковое заявление №771 от 14.08.2024</t>
  </si>
  <si>
    <t>ООО "Альтаир"</t>
  </si>
  <si>
    <t>ООО "МТК Нефтепродукты"</t>
  </si>
  <si>
    <t>№688 от 09.11.2022, 
№60 от 25.01.2023, 
№965 от 22.09.2023, 
№284 от 04.04.2024</t>
  </si>
  <si>
    <t>Исковое заявление №721 от 01.08.2024</t>
  </si>
  <si>
    <t>ООО "Агроторг ЮГ"</t>
  </si>
  <si>
    <t>ООО "АТИ"</t>
  </si>
  <si>
    <t>№281 от 04.04.2024</t>
  </si>
  <si>
    <t>А40-214683/2024</t>
  </si>
  <si>
    <t>№1017 от 26.08.2024</t>
  </si>
  <si>
    <t>ООО "Гордиум"</t>
  </si>
  <si>
    <t>ООО "ГАРТ"</t>
  </si>
  <si>
    <t>ООО "КД-ОЙЛ"</t>
  </si>
  <si>
    <t>АО "Компания Уфаойл"</t>
  </si>
  <si>
    <t>ООО "МИКОМ-С"</t>
  </si>
  <si>
    <t>ООО "ПРОКСИМА"</t>
  </si>
  <si>
    <t>ООО "Пролеум"</t>
  </si>
  <si>
    <t>ООО "ОПТАН-Уфа"</t>
  </si>
  <si>
    <t>ООО "ОТС-Групп"</t>
  </si>
  <si>
    <t>ООО "Регион"(Челябинск)</t>
  </si>
  <si>
    <t>ООО "Рекорд Трейд"</t>
  </si>
  <si>
    <t>АО "Солид-товарные рынки"</t>
  </si>
  <si>
    <t>АО "СУЭК"</t>
  </si>
  <si>
    <t>ООО "СОКАР РУС"</t>
  </si>
  <si>
    <t>ПАО "НК Роснефть"</t>
  </si>
  <si>
    <t>№1094 от 04.09.2024</t>
  </si>
  <si>
    <t>№178ГС/23 от 01.06.2023</t>
  </si>
  <si>
    <t>№299 от 08.04.2024</t>
  </si>
  <si>
    <t>06.2023-08.2023</t>
  </si>
  <si>
    <t>Исковое заявление №868 от 03.09.2024</t>
  </si>
  <si>
    <t>№1055 от 30.08.2024</t>
  </si>
  <si>
    <t>№1096 от 04.09.2024</t>
  </si>
  <si>
    <t>№1099 от 04.09.2024</t>
  </si>
  <si>
    <t>ООО "Нефтересурс"</t>
  </si>
  <si>
    <t>№1095 от 04.09.2024</t>
  </si>
  <si>
    <t>№61ГС/21 от 10.11.2021</t>
  </si>
  <si>
    <t>№297 от 08.04.2024</t>
  </si>
  <si>
    <t>06.2023--01.2024</t>
  </si>
  <si>
    <t>Исковое заявление №865 от 03.09.2024</t>
  </si>
  <si>
    <t xml:space="preserve">№123ГС/22 от 07.09.2022 </t>
  </si>
  <si>
    <t>№1063 от 30.08.2024</t>
  </si>
  <si>
    <t>Исковое заявление №830 от 30.08.2024</t>
  </si>
  <si>
    <t>№1005 от 22.08.2024</t>
  </si>
  <si>
    <t>А40-214587/2024</t>
  </si>
  <si>
    <t>№1014 от 26.08.2024</t>
  </si>
  <si>
    <t xml:space="preserve"> А40-214427/2024</t>
  </si>
  <si>
    <t>А33-27383/2024</t>
  </si>
  <si>
    <t>ООО "Агрофирма КРиММ"</t>
  </si>
  <si>
    <t>АС Тюменской обл.</t>
  </si>
  <si>
    <t>№1018 от 26.08.2024</t>
  </si>
  <si>
    <t>ООО "Проксима" (Челябинск)</t>
  </si>
  <si>
    <t>№1093 от 04.09.2024</t>
  </si>
  <si>
    <t xml:space="preserve">№1097 от 04.09.2024 </t>
  </si>
  <si>
    <t>№1057 от 30.08.2024</t>
  </si>
  <si>
    <t>№1058 от 30.08.2024</t>
  </si>
  <si>
    <t>№1056 от 30.08.2024</t>
  </si>
  <si>
    <t>№1054 от 30.08.2024</t>
  </si>
  <si>
    <t>Исковое заявление №831 от 30.08.2024</t>
  </si>
  <si>
    <t>№1064 от 30.08.2024</t>
  </si>
  <si>
    <t>Исковое заявление №1116 от 20.11.2023</t>
  </si>
  <si>
    <t>№26ГС/21 от 06.10.2021</t>
  </si>
  <si>
    <t>А70-20250/2024</t>
  </si>
  <si>
    <t>ООО "ТК Аксион"</t>
  </si>
  <si>
    <t>АС Саратовской области</t>
  </si>
  <si>
    <t>июль 2022-октябрь 2023</t>
  </si>
  <si>
    <t>№453 от 13.05.2024</t>
  </si>
  <si>
    <t>№1082 от 03.09.2024</t>
  </si>
  <si>
    <t>№136 от 22.02.2024, №390 от 23.04.2024</t>
  </si>
  <si>
    <t>п/п №1379 от 05.09.2024 (добровольно)</t>
  </si>
  <si>
    <t>п/п №809, №811, №808, №810 от 20.08.2024 (добровольно)</t>
  </si>
  <si>
    <t>№1106 от 05.09.2024</t>
  </si>
  <si>
    <t>ООО "Солид-Смоленск"</t>
  </si>
  <si>
    <t>АС Смоленской обл.</t>
  </si>
  <si>
    <t>№1098 от 04.09.2024</t>
  </si>
  <si>
    <t>№55ГС/21 от 26.10.2021</t>
  </si>
  <si>
    <t>№351 от 17.04.2024</t>
  </si>
  <si>
    <t>Исковое заявление №864 от 03.09.2024</t>
  </si>
  <si>
    <t>А40-219609/2024</t>
  </si>
  <si>
    <t>А76-31288/2024</t>
  </si>
  <si>
    <t>№99ГС/22 от 22.05.2022</t>
  </si>
  <si>
    <t>А41-73990/2024</t>
  </si>
  <si>
    <t>Исковое заявление № 866 от 04.09.2024</t>
  </si>
  <si>
    <t>А07-30983/2024</t>
  </si>
  <si>
    <t xml:space="preserve">А40-225335/2024 </t>
  </si>
  <si>
    <t>А62-9093/2024</t>
  </si>
  <si>
    <t xml:space="preserve">Реестр судебных дел ООО "РИ-ИНВЕСТ" </t>
  </si>
  <si>
    <t>А03-16810/2024</t>
  </si>
  <si>
    <t>ООО "ЭнергоТрансГрупп"</t>
  </si>
  <si>
    <t>Истец</t>
  </si>
  <si>
    <t>Ответчик</t>
  </si>
  <si>
    <t>ООО "РИ-ТРАНС"</t>
  </si>
  <si>
    <t xml:space="preserve"> - </t>
  </si>
  <si>
    <t>Исх № искового заявления</t>
  </si>
  <si>
    <t>А40-187352/2024</t>
  </si>
  <si>
    <t xml:space="preserve">ТОО "РТС Operator" </t>
  </si>
  <si>
    <t>Реестр судебных дел ООО "РИ-ТРАНС"</t>
  </si>
  <si>
    <t>п/п №4429 от 13.09.2024 (добровольно)</t>
  </si>
  <si>
    <t>Апелляционная инстанция</t>
  </si>
  <si>
    <t>А40-226697/2024</t>
  </si>
  <si>
    <t>А76-32966/2024</t>
  </si>
  <si>
    <t>А76-32932/2024</t>
  </si>
  <si>
    <t>А46-17528/2024</t>
  </si>
  <si>
    <t>А07-31813/2024</t>
  </si>
  <si>
    <t>А07-31843/2024</t>
  </si>
  <si>
    <t>п/п № 492 от 03.09.2024 (добровольно)</t>
  </si>
  <si>
    <t>А40-227000/2024</t>
  </si>
  <si>
    <t>А40-226833/2024</t>
  </si>
  <si>
    <t>А76-32963/2024</t>
  </si>
  <si>
    <t>Третье лицо</t>
  </si>
  <si>
    <t>АО "НефтеТрансСервис"</t>
  </si>
  <si>
    <t>А40-225353/2024</t>
  </si>
  <si>
    <t>№21 от 05.07.2024</t>
  </si>
  <si>
    <t>№8 от 07.05.2024 (№20 от 25.06.2024), №22 от 05.07.2024</t>
  </si>
  <si>
    <t>А02-2165/2024</t>
  </si>
  <si>
    <t xml:space="preserve">  -</t>
  </si>
  <si>
    <t>реквизиты п/п об оплате госпошлины</t>
  </si>
  <si>
    <t>Исковое заявление №36 от 03.09.2024</t>
  </si>
  <si>
    <t xml:space="preserve">ООО "АС "Сервис" </t>
  </si>
  <si>
    <t>Предмет требований</t>
  </si>
  <si>
    <t>Договор (номер, дата)</t>
  </si>
  <si>
    <t>штраф</t>
  </si>
  <si>
    <t>задолженность по актам, проценты по ст. 395 ГК РФ</t>
  </si>
  <si>
    <t>Исковое заявление №37 от 03.09.2024</t>
  </si>
  <si>
    <t>Размер госпошлины</t>
  </si>
  <si>
    <t>Оплачено добровольно, руб.</t>
  </si>
  <si>
    <t>п/п №886 от 03.05.2024</t>
  </si>
  <si>
    <t>Исковое заявление №5 от 15.04.2024</t>
  </si>
  <si>
    <t>№485 от 04.09.2024</t>
  </si>
  <si>
    <t>№486 от 04.09.2024</t>
  </si>
  <si>
    <t xml:space="preserve">№01/41(2022) / 01/03-2022 ТЭО от 01.03.2022 </t>
  </si>
  <si>
    <t>убытки (перевыставление штрафа) 2022-2023</t>
  </si>
  <si>
    <t>№30 АС-Э22 от 01.06.2022</t>
  </si>
  <si>
    <t>убытки (перевыставление штрафа) дек.2022</t>
  </si>
  <si>
    <t>Сумма оплаты (добровольно), руб.</t>
  </si>
  <si>
    <t>Сроки, комментарии</t>
  </si>
  <si>
    <t>Сумма оплаты/ взыскания, руб.</t>
  </si>
  <si>
    <t>Процессуальные сроки</t>
  </si>
  <si>
    <t>1 срок до 08.10.2024
2 срок до 29.10.2024</t>
  </si>
  <si>
    <t>А57-27782/2024</t>
  </si>
  <si>
    <t>Дата СЗ</t>
  </si>
  <si>
    <t>п/п №2575 от 19.09.2024 (добровольно)</t>
  </si>
  <si>
    <t>Код доступа</t>
  </si>
  <si>
    <t>А27-13058/2024</t>
  </si>
  <si>
    <t>Истец 
АО "НефтеХимСервис" /Ответчик ООО "ТТК" / Третье лицо 
ООО "РИ-ИНВЕСТ"</t>
  </si>
  <si>
    <t>АС Кемеровской области</t>
  </si>
  <si>
    <t>061578</t>
  </si>
  <si>
    <t xml:space="preserve"> направлено ходатайство об участии онлайн, направлено ход-во в порядке ст. 49 АПК РФ об уменьшении в связи с оплатой</t>
  </si>
  <si>
    <t>оплачено п/п №250 от 08.10.2024</t>
  </si>
  <si>
    <t>№1016 от 26.08.2024</t>
  </si>
  <si>
    <t>№226 от 22.03.2024</t>
  </si>
  <si>
    <t>А40-227049/2024</t>
  </si>
  <si>
    <t>Исковое заявление №782 от 19.08.2024</t>
  </si>
  <si>
    <t>Решение от 28.10.24 иск удовлетворить полностью</t>
  </si>
  <si>
    <t>проценты по ст. 395 ГК РФ</t>
  </si>
  <si>
    <t>№45 от 23.09.2024</t>
  </si>
  <si>
    <t>Общий</t>
  </si>
  <si>
    <t>АС Республики Башкортостан, 18 ААС</t>
  </si>
  <si>
    <t>Ход-во об участии онлайн направлено (Смольникова)</t>
  </si>
  <si>
    <t>п/п №15418 от 07.08.2024, №21388 от 18.10.2024, №22746 от 05.11.2024 (добровольно)</t>
  </si>
  <si>
    <t>А27-24436/2023</t>
  </si>
  <si>
    <t>Истец "Петролеум Трейдинг"/ Ответчик "Угольная компания "Южный Кузбасс" / Третье лицо ООО "РИ-ИНВЕСТ"</t>
  </si>
  <si>
    <t>Ответчик ООО «СибСульфур»/Истец ООО «Урал-ТЛК»/ Третье лицо ООО "РИ-ИНВЕСТ"</t>
  </si>
  <si>
    <t>АС Пермского края</t>
  </si>
  <si>
    <t>Решение от 05.11.2024
(частично, памятки)</t>
  </si>
  <si>
    <t>заявление о выдаче ИЛ направлено</t>
  </si>
  <si>
    <t>А50-22636/2024</t>
  </si>
  <si>
    <t>Упрощенный порядок/ Общий порядок / рассмотрено / оплачено</t>
  </si>
  <si>
    <t>Представитель на след.СЗ</t>
  </si>
  <si>
    <t>Оплачено</t>
  </si>
  <si>
    <t>№23-09/2021 от 23.09.2021; №30/08-2021ТНП от 30.08.2021</t>
  </si>
  <si>
    <t>№0108/24-3 от 01.08.2024</t>
  </si>
  <si>
    <t>2022-2023</t>
  </si>
  <si>
    <t>Исковое заявление №0310/24 от 03.10.2024</t>
  </si>
  <si>
    <t>ООО "Проект финанс"</t>
  </si>
  <si>
    <t>ООО "НафтаИнвест"</t>
  </si>
  <si>
    <t>2021-2023</t>
  </si>
  <si>
    <t>2022-2022</t>
  </si>
  <si>
    <t>01/32 (2021) от 17.08.2021</t>
  </si>
  <si>
    <t>№1410  от 12.11.2024</t>
  </si>
  <si>
    <t>№1431 от 13.11.2024</t>
  </si>
  <si>
    <t>№1432 от 13.11.2024</t>
  </si>
  <si>
    <t>№956 от 20.09.2024</t>
  </si>
  <si>
    <t xml:space="preserve">№958 от 20.09.2024 </t>
  </si>
  <si>
    <t>№890 от 10.09.2024</t>
  </si>
  <si>
    <t>Исковое заявление №1167 от 08.11.2024</t>
  </si>
  <si>
    <t>Исковое заявление №1149 от 06.11.2024</t>
  </si>
  <si>
    <t>Исковое заявление №1162 от 07.11.2024</t>
  </si>
  <si>
    <t>Подготовка документов</t>
  </si>
  <si>
    <t>Решение от 11.11.2024 
(взыскание в полном объеме)</t>
  </si>
  <si>
    <t>Дата СЗ / Данные о судебном акте</t>
  </si>
  <si>
    <t>без участия</t>
  </si>
  <si>
    <t xml:space="preserve">№ 01/35 (2022) от 07.09.2022  </t>
  </si>
  <si>
    <t xml:space="preserve">№58ГС/21 от 27.10.2021 </t>
  </si>
  <si>
    <t xml:space="preserve"> А40-214399/2024</t>
  </si>
  <si>
    <t>Ответчик оплатил госпошлину</t>
  </si>
  <si>
    <t>А40-279725/2024</t>
  </si>
  <si>
    <t xml:space="preserve">Необходимые действия </t>
  </si>
  <si>
    <t>№121  от 08.02.2024</t>
  </si>
  <si>
    <t>размер г/п для возврата из ФБ РФ, руб.</t>
  </si>
  <si>
    <t xml:space="preserve">Взыскано по Решению (штраф), руб. </t>
  </si>
  <si>
    <t xml:space="preserve">Взыскано по Решению (госпошлина), руб. </t>
  </si>
  <si>
    <t>№902 от 11.09.2024</t>
  </si>
  <si>
    <t>№494 от 07.04.2023, 
№1001 от 05.10.2023</t>
  </si>
  <si>
    <t>№79ГК/21 от 16.12.2021</t>
  </si>
  <si>
    <t>№957 от 20.09.2024</t>
  </si>
  <si>
    <t>№01/92 (2021) от 10.12.2021</t>
  </si>
  <si>
    <t>ВХОДЯЩИЕ ИСКИ К ООО "РИ-ИНВЕСТ"</t>
  </si>
  <si>
    <t>ООО "РИ-ИНВЕСТ" 3-е лицо / по запросу АС</t>
  </si>
  <si>
    <t>Решение от 29.11.2024 (упрощенное, применена ст. 333 ГК РФ)</t>
  </si>
  <si>
    <t>ООО "ГСМ-ТРЕЙД"</t>
  </si>
  <si>
    <t>№ 7ГС/21 от 01.10.2021</t>
  </si>
  <si>
    <t>№ 209ГС/23 от 27.10.2023</t>
  </si>
  <si>
    <t>01.2024-07.2024</t>
  </si>
  <si>
    <t>№911 от 12.09.2024</t>
  </si>
  <si>
    <t>№901 от 11.09.2024</t>
  </si>
  <si>
    <t>ООО "Газпромнефть-Региональные Продажи"</t>
  </si>
  <si>
    <t>№825 от 29.08.2024</t>
  </si>
  <si>
    <t>Исковое заявление №1325 от 04.12.2024</t>
  </si>
  <si>
    <t>10.22-06.2023</t>
  </si>
  <si>
    <t>№1513 от 28.11.2024</t>
  </si>
  <si>
    <t xml:space="preserve">№01/10-2023 от 24.10.2023 </t>
  </si>
  <si>
    <t>АС СПБиЛО</t>
  </si>
  <si>
    <t>Привлечено 3-м лицом РЖД, Ход-во об участии онлайн направлено (Смольникова)</t>
  </si>
  <si>
    <t xml:space="preserve">Исковое заявление №832 от 30.08.2024 </t>
  </si>
  <si>
    <t>А40-226700/2024 (Березова)</t>
  </si>
  <si>
    <t xml:space="preserve"> А70-24863/2024 (Власова)</t>
  </si>
  <si>
    <t>А70-20783/2024 (Власова)</t>
  </si>
  <si>
    <t>11.2021-05.2022</t>
  </si>
  <si>
    <t>№1410 от 12.11.2024</t>
  </si>
  <si>
    <t>погашено (п/п №7117, 7118 от 13.12.2024)</t>
  </si>
  <si>
    <t>оплачено по ИЛ п/п №67274 от 13.12.2024</t>
  </si>
  <si>
    <t>убытки (перевыставление от НТС)</t>
  </si>
  <si>
    <t>№37 от 09.09.2024</t>
  </si>
  <si>
    <t>АС г. Москвы / АС Кемеровской области</t>
  </si>
  <si>
    <t>направить заявление о выдаче ИЛ</t>
  </si>
  <si>
    <t xml:space="preserve">п/п №9875 от 03.09.2024 (добровольно); инкассовое поручение №991471 от 27.12.2024 </t>
  </si>
  <si>
    <t>ИЛ ФС 049825619</t>
  </si>
  <si>
    <t>И/п №591 от  23.12.2024 на сумму 3547033 (ИЛ ФС№047407080, выданного 27.11.2024)</t>
  </si>
  <si>
    <t xml:space="preserve"> А70-28075/2024</t>
  </si>
  <si>
    <t>ИЛ получен, исполнен</t>
  </si>
  <si>
    <t>Дата СЗ / код доступа</t>
  </si>
  <si>
    <t>238634</t>
  </si>
  <si>
    <t>Решение от 14.01.2025</t>
  </si>
  <si>
    <t>Решение в виде резолютивной части  от 22.01.2025</t>
  </si>
  <si>
    <t>Решение от 22.01.2025</t>
  </si>
  <si>
    <t>Истец ИП Аксенов Антон Александрович/ Ответчик ОАО "РЖД"/ Третьи лица ООО "РИ-ИНВЕСТ", АО "Нефтяная компания "Тумаада-нефть", ООО "Газпромнефть-логистика", ООО "Газпромтранс", ПАО "Орскнефтеоргсинтез", АО "Нефтехимсервис", ООО "Лукойл-пермнефтеоргсинтез", АО "РН-транс"</t>
  </si>
  <si>
    <t>АС города Москвы</t>
  </si>
  <si>
    <t xml:space="preserve"> А40-249799/2024</t>
  </si>
  <si>
    <t>штраф (июнь, август 2024)</t>
  </si>
  <si>
    <t>Решение от 20.12.2024г. (упрощенное), получен ИЛ</t>
  </si>
  <si>
    <t>п/п №952 от 18.12.2024 (добровольно)</t>
  </si>
  <si>
    <t>п/п №3370 от 11.02.25, п/п №2358 от 11.02.25</t>
  </si>
  <si>
    <t>№2 от 22.11.2024</t>
  </si>
  <si>
    <t xml:space="preserve">Решение от 29.01.2025 </t>
  </si>
  <si>
    <t>Решение от 23.01.2025 (мотивированная часть)</t>
  </si>
  <si>
    <t>10.2023-06.2024</t>
  </si>
  <si>
    <t>Исковое заявление №233 от 17.02.2025</t>
  </si>
  <si>
    <t>Исковое заявление №232 от 17.02.2025</t>
  </si>
  <si>
    <t>ООО "Проминвест"</t>
  </si>
  <si>
    <t>№22ГС/21 от 05.10.2021</t>
  </si>
  <si>
    <t>10.2023-07.2024</t>
  </si>
  <si>
    <t>Исковое заявление №242 от 18.02.2025</t>
  </si>
  <si>
    <t>Исковое заявление №239 от 17.02.2026</t>
  </si>
  <si>
    <t>11-2023-12.2023</t>
  </si>
  <si>
    <t xml:space="preserve">АС г. Москвы </t>
  </si>
  <si>
    <t>Исковое заявление №88/25 от 28.01.2025</t>
  </si>
  <si>
    <t>№ 1045 от 03.12.2024</t>
  </si>
  <si>
    <t>1033-П/24 от 29.11.2024 г.</t>
  </si>
  <si>
    <t>ООО "РусТрейдНефтепродукт"</t>
  </si>
  <si>
    <t>№89ГС/22 от 07.02.2022</t>
  </si>
  <si>
    <t>№936 от 16.09.2024</t>
  </si>
  <si>
    <t>01.24-05.24</t>
  </si>
  <si>
    <t>Исковое заявление №244 от 18.02.2025</t>
  </si>
  <si>
    <t>АО "ОК Русал ТД"</t>
  </si>
  <si>
    <t>№01/32 (2021) от 17.08.2021</t>
  </si>
  <si>
    <t>№1375 от 19.12.2024</t>
  </si>
  <si>
    <t>08.24-11.24</t>
  </si>
  <si>
    <t>Исковое заявление №254 от 19.02.2025</t>
  </si>
  <si>
    <t>АС Иркутской обл.</t>
  </si>
  <si>
    <t>№42ГС/21 от 12.10.2021</t>
  </si>
  <si>
    <t>№921 от 12.09.2024</t>
  </si>
  <si>
    <t>02.24-06.24</t>
  </si>
  <si>
    <t>Исковое заявление №259 от 20.02.2025</t>
  </si>
  <si>
    <t>№1 от 01.08.2021</t>
  </si>
  <si>
    <t>№1381 от 19.12.2024</t>
  </si>
  <si>
    <t>01.24-04.24</t>
  </si>
  <si>
    <t>ИЛ получен, предъявлен к р/с</t>
  </si>
  <si>
    <t>Скорректировано/отказано</t>
  </si>
  <si>
    <t>Решение от 21.02.2025 (применена ст. 333 ГК РФ)</t>
  </si>
  <si>
    <t>оплачено п/п №371 от 04.03.2025</t>
  </si>
  <si>
    <t>оплачено</t>
  </si>
  <si>
    <t>Решение от 05.03.2025</t>
  </si>
  <si>
    <t>№1084 от 10.03.2025 на 700000,00 руб., №1085 от 10.03.2025 на сумму 47275,00 руб.</t>
  </si>
  <si>
    <t>№81738 от 27.09.2024, №80775 от 26.09.2024, №44977 от 29.05.2024, №57165 от 03.07.2024 (добровольно), взыскано по решению 836 000,00 руб., оплачено ин/п №4 от 12.03.2025 на сумму 850 757,96 руб.</t>
  </si>
  <si>
    <t>АС Тюменской области; 
8ААС (Омск); АС Северо-Западного округа</t>
  </si>
  <si>
    <t>АС Омской области, 8ААС (Омск)</t>
  </si>
  <si>
    <t>03.2024-11.2024</t>
  </si>
  <si>
    <t>№34 от 20.01.2025</t>
  </si>
  <si>
    <t xml:space="preserve">№01/03-2024 от 06.03.2024 </t>
  </si>
  <si>
    <t>ООО «ЛУКОЙЛ-РНП-ТРЕЙДИНГ»</t>
  </si>
  <si>
    <t>12.2023-07.2024</t>
  </si>
  <si>
    <t>штраф сентябрь - октябрь 2024</t>
  </si>
  <si>
    <t>Решение от 12.03.2025</t>
  </si>
  <si>
    <t>Отработано (оплачено)</t>
  </si>
  <si>
    <t>№303 от 09.04.2024, 
№914 от 12.09.2024</t>
  </si>
  <si>
    <t>№985 от 19.08.2024 г., № 207 от 14.02.2025 г.</t>
  </si>
  <si>
    <t>№418 от 26.03.2025</t>
  </si>
  <si>
    <t>№401 от 21.03.2025</t>
  </si>
  <si>
    <t>№329 от 07.03.2025</t>
  </si>
  <si>
    <t xml:space="preserve">
А40-44250/2025 (Козловский)</t>
  </si>
  <si>
    <t xml:space="preserve"> А40-68512/2025
(Тевелева Н. П.)</t>
  </si>
  <si>
    <t>Истец ООО "Агроторг ЮГ"/ Ответчик ООО "СВЛ"/Третьи лица ОАО "РЖД", ЗАО "Воронежский промышленный железнодорожный транспорт", ООО "Премиум-Терминал", ООО "Газпромтранс", ООО "Лукойл-Нижнегороднефтеоргсинтез", ООО "РИ-ИНВЕСТ", ПАО "Газпром Нефть"</t>
  </si>
  <si>
    <t>АС Московской обл.</t>
  </si>
  <si>
    <t>А41-97807/2024</t>
  </si>
  <si>
    <t>Истец ООО "Агроторг ЮГ"/Ответчтк ООО "ЮНИТЕКС"/Третьи лица ОАО "РЖД", ЗАО "Воронежский промышленный железнодорожный транспорт", ООО "Премиум-Терминал", ООО "Татнефть-Транс", ПАО "Газпром Нефть", ООО "Лукойл-Нижнегороднефтеоргсинтез", ООО "РИ-ИНВЕСТ"</t>
  </si>
  <si>
    <t>А41-97762/2024</t>
  </si>
  <si>
    <t>Исковое заявление №237 от 17.02.2025</t>
  </si>
  <si>
    <t>А40-276554/2024  / А27-3246/2025</t>
  </si>
  <si>
    <t>Решение от 01.04.2025 (мотивированная часть)</t>
  </si>
  <si>
    <t>Номер Генерального соглашения и дата / Договора</t>
  </si>
  <si>
    <t>Истец ООО "Пролеум"/ Отвечик ООО "Энергия"/Третьи лица ООО "РИ-ИНВЕСТ", ОАО "РЖД", АО "ЛУЧ", АО "Фортеинвест", ООО "Газпром газонефтепродукт продажи", АО "Нефтехимсервис", ПАО "Газпром нефть"</t>
  </si>
  <si>
    <t>411 002, 83</t>
  </si>
  <si>
    <t>А46-23533/2024</t>
  </si>
  <si>
    <t>март, ноябрь 2024, июль, ноябрь 2024</t>
  </si>
  <si>
    <t xml:space="preserve"> А40-80738/2025 (Лакоба Ю.Ю.)</t>
  </si>
  <si>
    <t>Решением от 13.12.2024 удовлетворено в полном объеме, Постановление от 08.04.2025</t>
  </si>
  <si>
    <t>А46-5606/2025</t>
  </si>
  <si>
    <t>Истец ООО "Проксима" / Ответчик ООО "Кедр" / Третьи лица АО "ФортеИнвест", ООО "Газпром ГНП Холдинг", ООО "РИ-ИНВЕСТ", ПАО "НК Роснефть", ПАО "Сибур Холдинг", ООО "Газпром нефтехим Салават"</t>
  </si>
  <si>
    <t>Исковое заявление №260 от 20.02.2025</t>
  </si>
  <si>
    <t xml:space="preserve"> А41-27225/2025</t>
  </si>
  <si>
    <t>П/п №1027 от 11.04.2025 (добровольно по решению суда)</t>
  </si>
  <si>
    <t>Исковое заявление №487 от 01.04.2025 г.</t>
  </si>
  <si>
    <t xml:space="preserve"> А02-746/2025</t>
  </si>
  <si>
    <t xml:space="preserve"> А70-7385/2025</t>
  </si>
  <si>
    <t>Упрощенный</t>
  </si>
  <si>
    <t>п/п №661 от 23.01.2025, №662 от 23.01.2025, №4244 от 24.04.2025, №4250 от 24.04.2025 (добровольно)</t>
  </si>
  <si>
    <t>Исковое заявление №533 от 15.04.2025 г.</t>
  </si>
  <si>
    <t>ИП Аксенов А.А.</t>
  </si>
  <si>
    <t>АС СПБ и ЛО</t>
  </si>
  <si>
    <t>№ 207ГС/23 от 18.10.2023г</t>
  </si>
  <si>
    <t xml:space="preserve">  А19-9160/2025</t>
  </si>
  <si>
    <t xml:space="preserve">  А56-23839/2025</t>
  </si>
  <si>
    <t>п/п №997709 от 17.04.2025 на сумму 515 010,00 руб.</t>
  </si>
  <si>
    <t>госпошлина возвращена (п/п №683049 от 21.04.2025)</t>
  </si>
  <si>
    <t>Истец ООО "ТТК"/Ответчик ООО "Морской траст"/ Третьи лица ОАО "РЖД", ООО "РИ-ИНВЕСТ", ООО Нп "Владпортбункер"</t>
  </si>
  <si>
    <t>АЖ</t>
  </si>
  <si>
    <t xml:space="preserve">Решение от 17.04.2025 </t>
  </si>
  <si>
    <t xml:space="preserve">Решение от 11.04.2025 (отказано по памяткам) </t>
  </si>
  <si>
    <t>Решение от 17.12.2024 (в полном объеме), Постановление от 29.04.2025 (решение оставлено без изменения)</t>
  </si>
  <si>
    <t>Решение от 23.12.2024 
Постановление от 11.04.2025 (решение изменено)</t>
  </si>
  <si>
    <t>АС г. Москвы, 9ААС</t>
  </si>
  <si>
    <t>Решение от 23.04.2025 (рез.часть)</t>
  </si>
  <si>
    <t>№305 от 03.03.2025</t>
  </si>
  <si>
    <t>№307 от 03.03.2025</t>
  </si>
  <si>
    <t xml:space="preserve">№ 525 от 14.04.2025 </t>
  </si>
  <si>
    <t>№492 от 03.04.2025</t>
  </si>
  <si>
    <t>№502 от 08.04.2025</t>
  </si>
  <si>
    <t>№490 от 03.04.2025</t>
  </si>
  <si>
    <t>№491 от 03.04.2025</t>
  </si>
  <si>
    <t>№489 от 03.04.2025</t>
  </si>
  <si>
    <t>№180 от 07.02.2025</t>
  </si>
  <si>
    <t>№1-06-2-НТС/21 от 20.09.2021</t>
  </si>
  <si>
    <t xml:space="preserve"> А40-76314/2025 (Антипова)</t>
  </si>
  <si>
    <t>А40-91169/2025 (Чебурашкина)</t>
  </si>
  <si>
    <t>А40-183172/2024 (Куклина)</t>
  </si>
  <si>
    <t>А40-227212/2024 (Самодурова)</t>
  </si>
  <si>
    <t>А40-277468/2024 (Бикбулатов К. В.)</t>
  </si>
  <si>
    <t xml:space="preserve"> А40-280050/2024 (Чебурашкина)</t>
  </si>
  <si>
    <t xml:space="preserve">
    А40-59975/2025 (Куклина)</t>
  </si>
  <si>
    <r>
      <rPr>
        <b/>
        <sz val="10"/>
        <color theme="1"/>
        <rFont val="Calibri"/>
        <family val="2"/>
        <scheme val="minor"/>
      </rPr>
      <t>ВХ.ИСК</t>
    </r>
    <r>
      <rPr>
        <sz val="10"/>
        <color theme="1"/>
        <rFont val="Calibri"/>
        <family val="2"/>
        <scheme val="minor"/>
      </rPr>
      <t xml:space="preserve"> ООО "НефтеТрансСервис"</t>
    </r>
  </si>
  <si>
    <t xml:space="preserve">	
А40-108491/2025 (Лакоба)
 </t>
  </si>
  <si>
    <t>ИНКАССОВОЕ ПОРУЧЕНИЕ № 250618 от 13.05.2025</t>
  </si>
  <si>
    <t>ООО "РИ-ИНВЕСТ"</t>
  </si>
  <si>
    <t>п/п №628 от 11.09.2024 (добровольно), п/п №1529 от 22.05.2025</t>
  </si>
  <si>
    <t>Решение от 27.03.2025 удовлетворено в полном объеме, Постановление от 22.06.2025</t>
  </si>
  <si>
    <t>И/п №7 от 28.05.2025 на сумму 8 035 170,00 руб.</t>
  </si>
  <si>
    <t>Исковое заявление №781 от 04.06.2025</t>
  </si>
  <si>
    <t>№1210 от 15.11.2024, №257 от 29.03.2024</t>
  </si>
  <si>
    <t>ООО "ПМХ-Транспорт"</t>
  </si>
  <si>
    <t>декабрь 2023-март 2024</t>
  </si>
  <si>
    <t>и/п №2 от 05.06.2025 на сумму 1 476 207,46 руб.</t>
  </si>
  <si>
    <t>и/п №6 от 11.06.2025 на сумму 413 040,00 руб.</t>
  </si>
  <si>
    <t>п/п №64023 от 05.06.2025 (исполнительный лист)</t>
  </si>
  <si>
    <t>Исковое заявление №2667 от 21.05.2025</t>
  </si>
  <si>
    <t>А40-143960/2025 (Чебурашкина)</t>
  </si>
  <si>
    <t xml:space="preserve">
    А40-131675/2025 (Попов А.В.)</t>
  </si>
  <si>
    <t>Исец ООО ТТК"/Отвечтик "Компния "Топливные технологии"/ Третьи лица ООО "РИ-ИНВЕСТ", ООО "Невский мазут", ООО "Илком", АО "Хэлп-Ойл", ООО "Портэнерго"</t>
  </si>
  <si>
    <t>А27-7452/2025</t>
  </si>
  <si>
    <t>п/п №5735 от 24.06.2025 (по решению)</t>
  </si>
  <si>
    <t>№51ГК/21 от 20.10.2021</t>
  </si>
  <si>
    <t>№865 от 17.06.2025</t>
  </si>
  <si>
    <t>Исковое заявление №782 от 04.06.2025</t>
  </si>
  <si>
    <t>01.2023-01.2025</t>
  </si>
  <si>
    <t>№905 от 12.09.2023, №1214 от 15.11.2024, №566 от 23.04.2025, №250 от 28.03.2024</t>
  </si>
  <si>
    <t>№864 от 17.06.2025</t>
  </si>
  <si>
    <t>проверка контррасчета</t>
  </si>
  <si>
    <t>А40-299498/2024 
(Пирожков)</t>
  </si>
  <si>
    <t xml:space="preserve">
    А70-13460/2025</t>
  </si>
  <si>
    <t xml:space="preserve">
    А56-59735/2025</t>
  </si>
  <si>
    <t xml:space="preserve">Решение от 25.03.2025, Постановление от 27.06.2025 </t>
  </si>
  <si>
    <t>Решение от 03.07.2025 (резолютивная часть)</t>
  </si>
  <si>
    <t>Решение от 15.11.2024 (мотивированная часть), г/п возвращена</t>
  </si>
  <si>
    <t>ИЛ №ФС 049876922 от 02.03.2025, п/п №5 от 22.04.2025 (добровольно)</t>
  </si>
  <si>
    <t>госпошлина возвращена (п/п №423060 от 17.06.2025)</t>
  </si>
  <si>
    <t>Решение от 07.11.2024 
(частично ст. 333 ГК РФ), госпошлина возвращена №423058 от 17.06.2025</t>
  </si>
  <si>
    <t>госпошлина возвращена п/п №423059 от 17.06.2025</t>
  </si>
  <si>
    <t xml:space="preserve">Решение от 30.06.2025 </t>
  </si>
  <si>
    <t>Решение от 23.07.2025</t>
  </si>
  <si>
    <t>Истец ООО "Агрофирма КРиММ/ Отвечтики ОАО "РЖД", АО "НТС", ООО "РЕИЛГО", ООО "Сибтоппром"/Третье лицо ООО "РИ-ИНВЕСТ"</t>
  </si>
  <si>
    <t>А70-4666/2025</t>
  </si>
  <si>
    <t>декабрь 2024-апрель 2025</t>
  </si>
  <si>
    <t>А40-205322/2025 (Антипова)</t>
  </si>
  <si>
    <t>Комментарии / Судебный акт</t>
  </si>
  <si>
    <t>Решение от 13.08.2025 (применена ст. 333 ГК РФ)</t>
  </si>
  <si>
    <t>Сумма взыскания, руб.</t>
  </si>
  <si>
    <t>Решение от 25.07.2025 в полном объеме</t>
  </si>
  <si>
    <t>Марийский НПЗ</t>
  </si>
  <si>
    <t>АС Республики Марий Эл</t>
  </si>
  <si>
    <t>декабрь 2023-апрель 2024</t>
  </si>
  <si>
    <t>направлен отзыв третьего лица</t>
  </si>
  <si>
    <t xml:space="preserve">Взыскано по Решению / Постановлению (штраф), руб. </t>
  </si>
  <si>
    <t>ООО "Балчуг-Петролеум"</t>
  </si>
  <si>
    <t>Решение от 27.08.2025 (резолютивная часть)</t>
  </si>
  <si>
    <t>рассмотрено</t>
  </si>
  <si>
    <t xml:space="preserve">№3597 от 02.09.2025 </t>
  </si>
  <si>
    <t>ждем вступления решения в законную силу, оплачиваем, СЗ на оплату подготовлена</t>
  </si>
  <si>
    <t>Ответчик оплатил:
- 7 485,36 руб. г/п;
- 418 000,00 руб. неустойку;
- 30 000  г/п АЖ</t>
  </si>
  <si>
    <t>п/п №505 от 04.04.2025 на сумму 21 954,64 руб., №504 от 04.04.2025 на сумму 1 226 000,00 руб., п/п №3672 от 05.09.2025 на сумму 7 485,36 руб., №3673 от 05.09.2025 на сумму 30 000,00 руб., №3671 от 05.09.2025 на сумму 418 000,00 руб.</t>
  </si>
  <si>
    <r>
      <t xml:space="preserve"> </t>
    </r>
    <r>
      <rPr>
        <sz val="10"/>
        <color rgb="FF0070C0"/>
        <rFont val="Calibri"/>
        <family val="2"/>
        <scheme val="minor"/>
      </rPr>
      <t>Оплачено</t>
    </r>
  </si>
  <si>
    <t>Решение от 29.11.2024 
(в полном объеме), взыскано по ИЛ</t>
  </si>
  <si>
    <r>
      <t>Решение от 12.02.2025, АЖ без движения д</t>
    </r>
    <r>
      <rPr>
        <b/>
        <sz val="10"/>
        <color rgb="FF0070C0"/>
        <rFont val="Calibri"/>
        <family val="2"/>
        <scheme val="minor"/>
      </rPr>
      <t xml:space="preserve">о 15.04.2025, </t>
    </r>
    <r>
      <rPr>
        <sz val="10"/>
        <color rgb="FF0070C0"/>
        <rFont val="Calibri"/>
        <family val="2"/>
        <scheme val="minor"/>
      </rPr>
      <t>направлено ход-во об ознакомлении с материалами дела, АЖ возвращена Ответчику</t>
    </r>
  </si>
  <si>
    <r>
      <t xml:space="preserve">п/п №4100 от 15.11.2024, №4101 от 15.11.2025. По решению суда оплачено п/п №983 от 12.05.2025, №982 от 12.05.2025, </t>
    </r>
    <r>
      <rPr>
        <b/>
        <sz val="10"/>
        <color rgb="FF0070C0"/>
        <rFont val="Calibri"/>
        <family val="2"/>
        <scheme val="minor"/>
      </rPr>
      <t>госпошлина возвращена</t>
    </r>
    <r>
      <rPr>
        <sz val="10"/>
        <color rgb="FF0070C0"/>
        <rFont val="Calibri"/>
        <family val="2"/>
        <scheme val="minor"/>
      </rPr>
      <t xml:space="preserve"> п/п №57471 от 23.04.2025</t>
    </r>
  </si>
  <si>
    <r>
      <t xml:space="preserve">п/п №2849, №2850 от 14.11.2024 </t>
    </r>
    <r>
      <rPr>
        <u/>
        <sz val="10"/>
        <color rgb="FF0070C0"/>
        <rFont val="Calibri"/>
        <family val="2"/>
        <scheme val="minor"/>
      </rPr>
      <t xml:space="preserve">(добровольно) 
</t>
    </r>
    <r>
      <rPr>
        <b/>
        <u/>
        <sz val="10"/>
        <color rgb="FF0070C0"/>
        <rFont val="Calibri"/>
        <family val="2"/>
        <scheme val="minor"/>
      </rPr>
      <t>по Решению суда</t>
    </r>
  </si>
  <si>
    <r>
      <t xml:space="preserve">п/п №8407 от 19.12.2024 (добровольно по решению суда), </t>
    </r>
    <r>
      <rPr>
        <b/>
        <sz val="10"/>
        <color rgb="FF0070C0"/>
        <rFont val="Calibri"/>
        <family val="2"/>
        <scheme val="minor"/>
      </rPr>
      <t>госпошлина возвращена</t>
    </r>
    <r>
      <rPr>
        <sz val="10"/>
        <color rgb="FF0070C0"/>
        <rFont val="Calibri"/>
        <family val="2"/>
        <scheme val="minor"/>
      </rPr>
      <t xml:space="preserve"> п/п №57462 от 23.04.2025</t>
    </r>
  </si>
  <si>
    <t>Порядок рассмотрения</t>
  </si>
  <si>
    <t>общий</t>
  </si>
  <si>
    <t>А40-107943/2025 (Лаптева)</t>
  </si>
  <si>
    <t>А40-295940/2024 (Хайло)</t>
  </si>
  <si>
    <t>ждем вступления в законную силу, оплачиваем</t>
  </si>
  <si>
    <t xml:space="preserve"> А40-60077/2025 
(Моисеева Ю. Б.)</t>
  </si>
  <si>
    <t>А40-96204/2025 
(Попов А. В.)</t>
  </si>
  <si>
    <t>Истец ООО "ТТК"/ Ответик ООО "Невский мазут"/Третье лицо ООО "РИ-ИНВЕСТ"</t>
  </si>
  <si>
    <t>А27-7598/2025</t>
  </si>
  <si>
    <t>Отзыв направлен</t>
  </si>
  <si>
    <t>п/п №589 от 26.09.2025</t>
  </si>
  <si>
    <t>Решение от 25.09.2025 (резолютивная часть)</t>
  </si>
  <si>
    <t>отложено по ход-ву Ответчика</t>
  </si>
  <si>
    <t>Решение от 15.09.2025 (применена ст. 333 ГК РФ)</t>
  </si>
  <si>
    <t>.</t>
  </si>
  <si>
    <t>и/п №1 от 24.09.2025</t>
  </si>
  <si>
    <t>и/п №13 от 15.09.2025</t>
  </si>
  <si>
    <t>п/п №2011 , №2015, №2019 , №2023, №1990 , №2012 , №2016, №2020 , №2013, №2017, №2021 , №1988 , №2014 , №2018 , №2022, №1989 от 22.05.2025 на сумму 15 906 000,00 руб. , п/п №1799 от 27.05.2025 на сумму 6 004 000,00 руб. Добровольно, №п/п 3194 от 03.10.2025</t>
  </si>
  <si>
    <t>Определение от 08.10.2025 о прекращении производства по делу в связи с отказом Истца от иска</t>
  </si>
  <si>
    <r>
      <rPr>
        <b/>
        <sz val="10"/>
        <color rgb="FF0070C0"/>
        <rFont val="Calibri"/>
        <family val="2"/>
        <scheme val="minor"/>
      </rPr>
      <t>ВХ.ИСК</t>
    </r>
    <r>
      <rPr>
        <sz val="10"/>
        <color rgb="FF0070C0"/>
        <rFont val="Calibri"/>
        <family val="2"/>
        <scheme val="minor"/>
      </rPr>
      <t xml:space="preserve">
ООО "ТТК" (Истец)</t>
    </r>
  </si>
  <si>
    <r>
      <rPr>
        <b/>
        <sz val="10"/>
        <color rgb="FF0070C0"/>
        <rFont val="Calibri"/>
        <family val="2"/>
        <scheme val="minor"/>
      </rPr>
      <t>ВХ.ИСК</t>
    </r>
    <r>
      <rPr>
        <sz val="10"/>
        <color rgb="FF0070C0"/>
        <rFont val="Calibri"/>
        <family val="2"/>
        <scheme val="minor"/>
      </rPr>
      <t xml:space="preserve">
ООО "ЭТГ" (Истец)</t>
    </r>
  </si>
  <si>
    <t>Определение от 08.10.2025 о прекращении производства по делу</t>
  </si>
  <si>
    <t>применена ст. 333 ГК РФ</t>
  </si>
  <si>
    <t>п/п №600 от 22.11.2024 на сумму 152 000,00;  №34 от 03.02.2025 на сумму 1 181 000,00; п/п №63 от 03.03.2025, п/п №337 от 10.10.2025, п/п №336 от 10.10.2025</t>
  </si>
  <si>
    <t>п/п №1850 от 16.10.2025</t>
  </si>
  <si>
    <t>Истец ООО "Пролеум" / Отвечтик ООО "Контракт ПК" / Третье лицо ООО "РИ-ИНВЕСТ"</t>
  </si>
  <si>
    <t>А46-18825/2025</t>
  </si>
  <si>
    <t>мировое соглашение, суд определил направить отзыв на исковое заявление до 18.11.2025</t>
  </si>
  <si>
    <t>Определение от 05.11.2025 об утверждении МС</t>
  </si>
  <si>
    <t>АС г. Москвы
9ААС</t>
  </si>
  <si>
    <t>Прекращено производство</t>
  </si>
  <si>
    <t>А70-20368/2025</t>
  </si>
  <si>
    <t>ООО "Техойл"</t>
  </si>
  <si>
    <t>Решение от 10.11.2025 (применена ст. 333 ГК РФ)</t>
  </si>
  <si>
    <t>Постановление от 12.11.2025 решение и постановление 9ААС оставлено в силе</t>
  </si>
  <si>
    <t>А38-2016/2025 (Фурзикова)</t>
  </si>
  <si>
    <t>п/п №358 от 12.11.2025</t>
  </si>
  <si>
    <t>Истец ООО "Технология Сибири" / Ответчик ОАО "РЖД"/ Третьи лица АО "Акционерная Компания "Железные Дороги Якутии", АО "Нефтяная компания "Туймаада-Нефть", АО "Саханефтегазсбыт", АО холдинговая компания "Якутуголь", ООО "РИ-Инвест", ООО "Ассоциация строителей Амуро-
Якутской магистрали"</t>
  </si>
  <si>
    <t>А40-182307/2025</t>
  </si>
  <si>
    <t>п/п №151287 от 13.11.2025</t>
  </si>
  <si>
    <t>Решение от 24.11.2025 (резолютивная часть)</t>
  </si>
  <si>
    <t>Определение от 25.11.2025 об утверждении МС</t>
  </si>
  <si>
    <t>Постановление от 25.11.2025 об отмене решения, удовлетворении АЖ</t>
  </si>
  <si>
    <t>Исковое заявление №2807 от 17.10.2025, исковое заявление №2807/1 от 17.11.2025</t>
  </si>
  <si>
    <t>отказ от иска</t>
  </si>
  <si>
    <t>прекращено производство (отказ от иска)</t>
  </si>
  <si>
    <t xml:space="preserve">сумма требований скорректирована 
до 74 300 руб. Определение от 02.12.2025 о прекращении производства по делу </t>
  </si>
  <si>
    <t>погдготовлен отзыв третьего лица</t>
  </si>
  <si>
    <t xml:space="preserve"> оплачено</t>
  </si>
  <si>
    <t>штраф за непредо-ставление объемов</t>
  </si>
  <si>
    <t>п/п №2023 от 10.12.2025</t>
  </si>
  <si>
    <t>Решение от 08.09.2025, Постановление от 10.12.2025</t>
  </si>
  <si>
    <t>Истец: ООО Гарт/ Отвечтик ОАО "РЖД" / Третьи лица ООО "РИ-ИНВЕСТ", ООО "Агроторг ЮГ"</t>
  </si>
  <si>
    <t>А33-28314/2025</t>
  </si>
  <si>
    <t>А40-316151/2025 (Бушкарев А.Н.)</t>
  </si>
  <si>
    <t>Решение от 11.12.2025</t>
  </si>
  <si>
    <t xml:space="preserve">штраф </t>
  </si>
  <si>
    <t>Решение  от 23.10.2025, Постановление от 12.01.2026</t>
  </si>
  <si>
    <t>п/п №838 от 19.09.2024 (добровольно), п/п №1074 от 12.11.2025, п/п №1075 от 12.11.2025, госпошлина возвращена п/п №733236 от 31.12.2025</t>
  </si>
  <si>
    <r>
      <rPr>
        <b/>
        <sz val="10"/>
        <color rgb="FF0070C0"/>
        <rFont val="Calibri"/>
        <family val="2"/>
        <scheme val="minor"/>
      </rPr>
      <t>ВХ.ИСК</t>
    </r>
    <r>
      <rPr>
        <sz val="10"/>
        <color rgb="FF0070C0"/>
        <rFont val="Calibri"/>
        <family val="2"/>
        <scheme val="minor"/>
      </rPr>
      <t xml:space="preserve"> ООО "НефтеТрансСервис"</t>
    </r>
  </si>
  <si>
    <t>КЖ</t>
  </si>
  <si>
    <t xml:space="preserve"> А40-105889/2025 (Бушкарев А.Н.)</t>
  </si>
  <si>
    <t xml:space="preserve"> А40-80994/2025
 (Антипова А.Г.)</t>
  </si>
  <si>
    <t>п/п №32 от 15.01.2026</t>
  </si>
  <si>
    <t>вернуть денежные средства, оплаченные за проведение
экспертизы в размере 170 000 руб., уплаченные платежному поручению № 1147 от
08.08.2025г.</t>
  </si>
  <si>
    <t>А40-3135/2026 (Козлов В.Ф.)</t>
  </si>
  <si>
    <t>ООО "ГК Вагонсервис"</t>
  </si>
  <si>
    <t>убытки (повреждение вагона)</t>
  </si>
  <si>
    <t>процессуальные документы подготовлены, ждем ответы на запросы от грузополучателей</t>
  </si>
  <si>
    <t>Тюриным Ю.С. Принято решение не обжаловать</t>
  </si>
  <si>
    <t>А27-741/2026</t>
  </si>
  <si>
    <r>
      <rPr>
        <b/>
        <sz val="10"/>
        <color theme="1"/>
        <rFont val="Calibri"/>
        <family val="2"/>
        <scheme val="minor"/>
      </rPr>
      <t>ВХ.ИСК</t>
    </r>
    <r>
      <rPr>
        <sz val="10"/>
        <color theme="1"/>
        <rFont val="Calibri"/>
        <family val="2"/>
        <scheme val="minor"/>
      </rPr>
      <t xml:space="preserve">
ООО "ТТК" (Истец)</t>
    </r>
  </si>
  <si>
    <t>Истец: ООО "ТТК"/ Ответчик: ООО "Разрез Восточный"/ Третьи лица: ООО "РИ-ИНВЕСТ"</t>
  </si>
  <si>
    <t>Истец: ООО "УРАЛ-ТЛК"/ Ответчик: ООО "Сибсульфур" / Третье лицо: ООО "РИ-ИНВЕСТ"</t>
  </si>
  <si>
    <t>А67-12701/2025</t>
  </si>
  <si>
    <t xml:space="preserve">А50-15185/2025 </t>
  </si>
  <si>
    <t>документы от сторон не получены, отзыв не направлялся</t>
  </si>
  <si>
    <t>Решение от 09.06.2025</t>
  </si>
  <si>
    <t>Решение от 28.07.2025</t>
  </si>
  <si>
    <t>А67-3280/2025</t>
  </si>
  <si>
    <t>Решение от 22.07.2025</t>
  </si>
  <si>
    <t>Решение от 24.12.2025</t>
  </si>
  <si>
    <t>Отзыв не направлялся</t>
  </si>
  <si>
    <t>Решение от 08.12.2025</t>
  </si>
  <si>
    <t>Решение от 04.02.2026</t>
  </si>
  <si>
    <t>АС Томской области</t>
  </si>
  <si>
    <t xml:space="preserve">АС Томской области </t>
  </si>
  <si>
    <t>Истец: ООО "Томская топливная компания" / Отвктчик: ООО "Шелко" / Третьи лица: ООО "РИ-ИНВЕСТ", ОАО "РЖД", ООО "Восточный нефтехимический терминал"</t>
  </si>
  <si>
    <t>А67-12732/2025</t>
  </si>
  <si>
    <t>Определение от 19.02.2026</t>
  </si>
  <si>
    <t>ООО "СУЭК"</t>
  </si>
  <si>
    <t>А40-58246/2026</t>
  </si>
  <si>
    <t>ООО "Сибкор"</t>
  </si>
  <si>
    <t>А40-58174/2026</t>
  </si>
  <si>
    <t>ООО "СибПром"</t>
  </si>
  <si>
    <t>А02-479/2026</t>
  </si>
  <si>
    <t>Исковое заявление №169 от 05.03.2026</t>
  </si>
  <si>
    <t>Исковое заявление №168 от 05.03.2026</t>
  </si>
  <si>
    <t>Исковое заявление №165 от 06.03.2026</t>
  </si>
  <si>
    <t>№334 от 05.03.2026</t>
  </si>
  <si>
    <t>№332 от 05.03.2026</t>
  </si>
  <si>
    <t>№331 от 05.03.2026</t>
  </si>
  <si>
    <t>№333 от 05.03.2026</t>
  </si>
  <si>
    <t>Исковое заявление №167 от 05.03.2026</t>
  </si>
  <si>
    <t>А40-61555/2026</t>
  </si>
  <si>
    <t>ООО "ИМТРЕЙД"</t>
  </si>
  <si>
    <t>АС Приморского края</t>
  </si>
  <si>
    <t>№365 от 12.03.2026</t>
  </si>
  <si>
    <t>Исковое заявление №181 от 13.03.2026</t>
  </si>
  <si>
    <t>Истец: ООО "Волганефтетранс"/ Ответчик: "НК "Новый Поток" /Третье лицо: ООО "РИ-ИНВЕСТ"</t>
  </si>
  <si>
    <t>АС Оренбургской области</t>
  </si>
  <si>
    <t>А47-20890/2025</t>
  </si>
  <si>
    <t>А51-5020/2026</t>
  </si>
  <si>
    <t xml:space="preserve">упрощенный </t>
  </si>
  <si>
    <t>ООО "БалтТрансСервис"</t>
  </si>
  <si>
    <t xml:space="preserve">А56-26872/2026 </t>
  </si>
  <si>
    <t>штраф/пени</t>
  </si>
  <si>
    <t>Решение от 19.03.2026</t>
  </si>
  <si>
    <t>готовим АЖ</t>
  </si>
  <si>
    <t>п/п  №8144 от 30.09.2025, п/п №8145 от 30.09.2025, п/п №9044 от 30.10.2025, госпошлина возвращена</t>
  </si>
  <si>
    <t>оплачено п/п №288 от 14.08.2025, госпошлина возвращена</t>
  </si>
  <si>
    <t>оставлено без движения до 20.04.2026</t>
  </si>
  <si>
    <t>Определение от 20.03.2026</t>
  </si>
  <si>
    <t>ООО "УНК"</t>
  </si>
  <si>
    <t>№428 от 19.03.2026</t>
  </si>
  <si>
    <t>Исковое заявление №209 от 20.03.2026</t>
  </si>
  <si>
    <t>ООО "Нефтепродукт-Центр"</t>
  </si>
  <si>
    <t>№427 от 19.03.2026</t>
  </si>
  <si>
    <t>Исковое заявление № 210 от 20.03.2026</t>
  </si>
  <si>
    <t>ООО "Импориа Трейдинг"</t>
  </si>
  <si>
    <t>№446 от 24.03.2026</t>
  </si>
  <si>
    <t>Исковое заявление №225 от 25.03.2026</t>
  </si>
  <si>
    <t>ООО Компаняи "Альфа-Синтез"</t>
  </si>
  <si>
    <t>№426 от 19.03.2026</t>
  </si>
  <si>
    <t>Исковое заявление №212 от 20.03.2026</t>
  </si>
  <si>
    <t>Ждем отзыв от отвечтика</t>
  </si>
  <si>
    <t>Определение от 11.02.2026 о прекращении прозводства по делу (МС)</t>
  </si>
  <si>
    <t>Определение от 26.02.2026 о прекращении производства по делу (отказ от иска)</t>
  </si>
  <si>
    <t xml:space="preserve">заявлено ход-во об ознакомлении с материалами дела </t>
  </si>
  <si>
    <t>Решение от 10.03.2026</t>
  </si>
  <si>
    <t>ждем вступления в законную силу, запрашиваем ИЛ</t>
  </si>
  <si>
    <t>Решение от 30.03.2026</t>
  </si>
  <si>
    <t>Решение от 13.12.2024(мотивированная часть) (снижено по ст. 333 ГК РФ, принята памятка), запрошен ИЛ, госпошлина возвращена</t>
  </si>
  <si>
    <t>Решение от 13.11.2025, Постановление от 25.03.2026</t>
  </si>
  <si>
    <t xml:space="preserve">Постановлением Решение изменено: взыскано 1 004 000,00 и г/п: 18 086,85.
С РИ-ИНВЕСТ взыскано: 30 000,00 </t>
  </si>
  <si>
    <t>№112 от 09.02.2026</t>
  </si>
  <si>
    <t>п/п №54937 от 07.02.2025</t>
  </si>
  <si>
    <t>п/п №2060 от 27.02.2025, №2065 от 27.02.2025</t>
  </si>
  <si>
    <t>п/п №1158 от 27.02.2025, №1159 от 27.02.2025</t>
  </si>
  <si>
    <t>заявление на возврат г/п направлено</t>
  </si>
  <si>
    <r>
      <t xml:space="preserve">Оплачено, </t>
    </r>
    <r>
      <rPr>
        <b/>
        <sz val="10"/>
        <color rgb="FFFF0000"/>
        <rFont val="Calibri"/>
        <family val="2"/>
        <scheme val="minor"/>
      </rPr>
      <t>ГП</t>
    </r>
  </si>
  <si>
    <r>
      <t xml:space="preserve">
</t>
    </r>
    <r>
      <rPr>
        <sz val="10"/>
        <color rgb="FF0070C0"/>
        <rFont val="Calibri"/>
        <family val="2"/>
        <scheme val="minor"/>
      </rPr>
      <t xml:space="preserve">Решение от 24.03.2025 (ст. 333 ГК РФ) </t>
    </r>
    <r>
      <rPr>
        <b/>
        <sz val="10"/>
        <color rgb="FFFF0000"/>
        <rFont val="Calibri"/>
        <family val="2"/>
        <scheme val="minor"/>
      </rPr>
      <t>вернуть госпошлину</t>
    </r>
  </si>
  <si>
    <r>
      <t>Оплачено,</t>
    </r>
    <r>
      <rPr>
        <b/>
        <sz val="10"/>
        <color rgb="FFFF0000"/>
        <rFont val="Calibri"/>
        <family val="2"/>
        <scheme val="minor"/>
      </rPr>
      <t xml:space="preserve"> ГП</t>
    </r>
  </si>
  <si>
    <r>
      <rPr>
        <sz val="10"/>
        <color rgb="FF0070C0"/>
        <rFont val="Calibri"/>
        <family val="2"/>
        <scheme val="minor"/>
      </rPr>
      <t>Решение от 06.08.2025</t>
    </r>
    <r>
      <rPr>
        <sz val="10"/>
        <color theme="4" tint="0.39997558519241921"/>
        <rFont val="Calibri"/>
        <family val="2"/>
        <scheme val="minor"/>
      </rPr>
      <t xml:space="preserve"> </t>
    </r>
  </si>
  <si>
    <r>
      <rPr>
        <sz val="10"/>
        <color rgb="FF0070C0"/>
        <rFont val="Calibri"/>
        <family val="2"/>
        <scheme val="minor"/>
      </rPr>
      <t>Решение от 25.02.2025 (памятки, ведомости),</t>
    </r>
    <r>
      <rPr>
        <sz val="10"/>
        <color theme="4" tint="0.39997558519241921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вернуть госпошлину</t>
    </r>
  </si>
  <si>
    <r>
      <t>Рассмотрено,</t>
    </r>
    <r>
      <rPr>
        <b/>
        <sz val="10"/>
        <color rgb="FFFF0000"/>
        <rFont val="Calibri"/>
        <family val="2"/>
        <scheme val="minor"/>
      </rPr>
      <t xml:space="preserve"> ГП</t>
    </r>
  </si>
  <si>
    <r>
      <t>Определение о прекращении производства по делу от 01.10.2025,</t>
    </r>
    <r>
      <rPr>
        <b/>
        <sz val="10"/>
        <color rgb="FF0070C0"/>
        <rFont val="Calibri"/>
        <family val="2"/>
        <scheme val="minor"/>
      </rPr>
      <t xml:space="preserve"> госпошлина возвращена</t>
    </r>
  </si>
  <si>
    <r>
      <rPr>
        <sz val="10"/>
        <color rgb="FF0070C0"/>
        <rFont val="Calibri"/>
        <family val="2"/>
        <scheme val="minor"/>
      </rPr>
      <t>Определение от 26.06.2025,</t>
    </r>
    <r>
      <rPr>
        <b/>
        <sz val="10"/>
        <color rgb="FF0070C0"/>
        <rFont val="Calibri"/>
        <family val="2"/>
        <scheme val="minor"/>
      </rPr>
      <t xml:space="preserve"> госпошлина возвращена</t>
    </r>
    <r>
      <rPr>
        <b/>
        <sz val="10"/>
        <color rgb="FFFF0000"/>
        <rFont val="Calibri"/>
        <family val="2"/>
        <scheme val="minor"/>
      </rPr>
      <t xml:space="preserve">
</t>
    </r>
  </si>
  <si>
    <r>
      <t xml:space="preserve">Решение от 22.10.2025 (мотивированное), </t>
    </r>
    <r>
      <rPr>
        <b/>
        <sz val="10"/>
        <color rgb="FFFF0000"/>
        <rFont val="Calibri"/>
        <family val="2"/>
        <scheme val="minor"/>
      </rPr>
      <t>вернуть госпошлину</t>
    </r>
  </si>
  <si>
    <r>
      <t xml:space="preserve">Рассмотрено, </t>
    </r>
    <r>
      <rPr>
        <b/>
        <sz val="10"/>
        <color rgb="FFFF0000"/>
        <rFont val="Calibri"/>
        <family val="2"/>
        <scheme val="minor"/>
      </rPr>
      <t>ИЛ</t>
    </r>
  </si>
  <si>
    <t>14.04.2026, 12:20 (МСК)</t>
  </si>
  <si>
    <t>16.07.2026, 15:15</t>
  </si>
  <si>
    <t>ПСЗ 22.06.2026,
 11:45</t>
  </si>
  <si>
    <t>ПСЗ 05.06.2026, 14:50</t>
  </si>
  <si>
    <t>ПСЗ 22.05.2026, 15:50</t>
  </si>
  <si>
    <t>21.04.2026, 11:00</t>
  </si>
  <si>
    <t>25.06.2026, 12:30</t>
  </si>
  <si>
    <t>18.05.2026, 11:45 
09:45 (МСК)</t>
  </si>
  <si>
    <t>Решение от 25.02.2026</t>
  </si>
  <si>
    <t>упрощенный</t>
  </si>
  <si>
    <t>15.04.2026,
 12:45</t>
  </si>
  <si>
    <t xml:space="preserve"> Данные о судебном акте</t>
  </si>
  <si>
    <t>Дело Бардаевой В.Н.</t>
  </si>
  <si>
    <t>А50-7933/2026</t>
  </si>
  <si>
    <t>А40-91126/2026</t>
  </si>
  <si>
    <t>А40-90892/2026</t>
  </si>
  <si>
    <r>
      <t xml:space="preserve">Сроки:
</t>
    </r>
    <r>
      <rPr>
        <sz val="10"/>
        <color rgb="FFFF0000"/>
        <rFont val="Calibri"/>
        <family val="2"/>
        <charset val="204"/>
        <scheme val="minor"/>
      </rPr>
      <t>1 срок- 06.04.2026</t>
    </r>
    <r>
      <rPr>
        <sz val="10"/>
        <color theme="1"/>
        <rFont val="Calibri"/>
        <family val="2"/>
        <scheme val="minor"/>
      </rPr>
      <t xml:space="preserve">
2 срок - 27.04.2026</t>
    </r>
  </si>
  <si>
    <t>СЗ 16.07.2026 16:00</t>
  </si>
  <si>
    <t>А76-13089/2026</t>
  </si>
  <si>
    <t>Сроки:                                 
   1 срок - 23.04.2026     
     2 срок - 18.05.2026</t>
  </si>
  <si>
    <t xml:space="preserve">АЖ </t>
  </si>
  <si>
    <t>п/п №589 от 27.03.2026, №000588 от 25.02.2026, №000590 от 25.02.2026,
 №589 от 27.03.2026</t>
  </si>
  <si>
    <t>ООО "Солид-Сибирь" 
(ООО "СИБИРИКА")</t>
  </si>
  <si>
    <r>
      <rPr>
        <sz val="10"/>
        <color rgb="FF0070C0"/>
        <rFont val="Calibri"/>
        <family val="2"/>
        <scheme val="minor"/>
      </rPr>
      <t>Оплачено</t>
    </r>
    <r>
      <rPr>
        <b/>
        <sz val="10"/>
        <color rgb="FFFF0000"/>
        <rFont val="Calibri"/>
        <family val="2"/>
        <scheme val="minor"/>
      </rPr>
      <t xml:space="preserve"> </t>
    </r>
  </si>
  <si>
    <r>
      <t xml:space="preserve">направлено заявление о выдаче ИЛ, </t>
    </r>
    <r>
      <rPr>
        <sz val="10"/>
        <color rgb="FFFF0000"/>
        <rFont val="Calibri"/>
        <family val="2"/>
        <charset val="204"/>
        <scheme val="minor"/>
      </rPr>
      <t>ждем ИЛ</t>
    </r>
  </si>
  <si>
    <r>
      <t xml:space="preserve">Рассмотрено, </t>
    </r>
    <r>
      <rPr>
        <sz val="10"/>
        <color rgb="FFFF0000"/>
        <rFont val="Calibri"/>
        <family val="2"/>
        <charset val="204"/>
        <scheme val="minor"/>
      </rPr>
      <t>ИЛ</t>
    </r>
  </si>
  <si>
    <t>Решение от 27.02.2026</t>
  </si>
  <si>
    <t xml:space="preserve">ход-во об ознакомлении от 10.04.2026 </t>
  </si>
  <si>
    <t xml:space="preserve"> 21.04.2026</t>
  </si>
  <si>
    <t>28.04.2026, 11:40</t>
  </si>
  <si>
    <t>КЖ?</t>
  </si>
  <si>
    <t>готовим отзыв на АЖ после принятия АЖ к производству</t>
  </si>
  <si>
    <t>ПСЗ 06.07.2026, 15:20</t>
  </si>
  <si>
    <t>за 3 дня до даты судебного
заседания представить исковое заявление, отзыв, возражения в формате ворд на адрес эл.почты
a40.ehaylo@arbitr.ru</t>
  </si>
  <si>
    <t>1 срок - 28.04.2026                                   2 срок -21.05.2026</t>
  </si>
  <si>
    <r>
      <t xml:space="preserve">Решение от 15.09.2025 (резолютивная часть), </t>
    </r>
    <r>
      <rPr>
        <b/>
        <sz val="10"/>
        <color rgb="FF0070C0"/>
        <rFont val="Calibri"/>
        <family val="2"/>
        <charset val="204"/>
        <scheme val="minor"/>
      </rPr>
      <t>госпошлина возвращена п/п  №272994 от 18.12</t>
    </r>
    <r>
      <rPr>
        <b/>
        <sz val="11"/>
        <color rgb="FF0070C0"/>
        <rFont val="Calibri"/>
        <family val="2"/>
        <charset val="204"/>
        <scheme val="minor"/>
      </rPr>
      <t>.</t>
    </r>
    <r>
      <rPr>
        <b/>
        <sz val="10"/>
        <color rgb="FF0070C0"/>
        <rFont val="Calibri"/>
        <family val="2"/>
        <charset val="204"/>
        <scheme val="minor"/>
      </rPr>
      <t>202</t>
    </r>
    <r>
      <rPr>
        <sz val="10"/>
        <color rgb="FF0070C0"/>
        <rFont val="Calibri"/>
        <family val="2"/>
        <scheme val="minor"/>
      </rPr>
      <t>5</t>
    </r>
  </si>
  <si>
    <r>
      <t xml:space="preserve">Постановление от 04.03.2026, </t>
    </r>
    <r>
      <rPr>
        <b/>
        <sz val="10"/>
        <color rgb="FF0070C0"/>
        <rFont val="Calibri"/>
        <family val="2"/>
        <charset val="204"/>
        <scheme val="minor"/>
      </rPr>
      <t>госпошлина возвращена</t>
    </r>
    <r>
      <rPr>
        <sz val="10"/>
        <color rgb="FF0070C0"/>
        <rFont val="Calibri"/>
        <family val="2"/>
        <scheme val="minor"/>
      </rPr>
      <t xml:space="preserve"> </t>
    </r>
    <r>
      <rPr>
        <b/>
        <sz val="10"/>
        <color rgb="FF0070C0"/>
        <rFont val="Calibri"/>
        <family val="2"/>
        <charset val="204"/>
        <scheme val="minor"/>
      </rPr>
      <t>п/п № 273001 от 18.12.2025</t>
    </r>
  </si>
  <si>
    <t>Решение от 14.04.2026</t>
  </si>
  <si>
    <t>Решение от 13.04.2026</t>
  </si>
  <si>
    <t>29.04.2026, 07:20</t>
  </si>
  <si>
    <t>Рассмотрено, ГП</t>
  </si>
  <si>
    <t>заявление на возврат г/п направлено, направлено заявление о выдаче ИЛ</t>
  </si>
  <si>
    <r>
      <rPr>
        <sz val="10"/>
        <color rgb="FF0070C0"/>
        <rFont val="Calibri"/>
        <family val="2"/>
        <scheme val="minor"/>
      </rPr>
      <t>Решение от 08.08.2024, Постановление от 15.11.2024,</t>
    </r>
    <r>
      <rPr>
        <sz val="10"/>
        <rFont val="Calibri"/>
        <family val="2"/>
        <scheme val="minor"/>
      </rPr>
      <t xml:space="preserve"> </t>
    </r>
    <r>
      <rPr>
        <b/>
        <sz val="10"/>
        <color rgb="FF0070C0"/>
        <rFont val="Calibri"/>
        <family val="2"/>
        <charset val="204"/>
        <scheme val="minor"/>
      </rPr>
      <t>госпошлина возвращена №34138 от 14.04.2026</t>
    </r>
  </si>
  <si>
    <t>госпошлина возвращена п/п №34141 от 14.04.2026</t>
  </si>
  <si>
    <r>
      <rPr>
        <sz val="10"/>
        <color rgb="FF0070C0"/>
        <rFont val="Calibri"/>
        <family val="2"/>
        <scheme val="minor"/>
      </rPr>
      <t>Решение от 18.04.2025 (мотивир. часть) отказано по памяткам. Постановление от 21.08.2025 об отмене решения в обжалуемой части,</t>
    </r>
    <r>
      <rPr>
        <b/>
        <sz val="10"/>
        <color theme="4" tint="0.39997558519241921"/>
        <rFont val="Calibri"/>
        <family val="2"/>
        <scheme val="minor"/>
      </rPr>
      <t xml:space="preserve"> </t>
    </r>
    <r>
      <rPr>
        <b/>
        <sz val="10"/>
        <color rgb="FF0070C0"/>
        <rFont val="Calibri"/>
        <family val="2"/>
        <charset val="204"/>
        <scheme val="minor"/>
      </rPr>
      <t>госпошлина возвращена п/п №90122 от 14.04.2026</t>
    </r>
    <r>
      <rPr>
        <b/>
        <sz val="10"/>
        <color rgb="FFFF0000"/>
        <rFont val="Calibri"/>
        <family val="2"/>
        <scheme val="minor"/>
      </rPr>
      <t xml:space="preserve">
</t>
    </r>
  </si>
  <si>
    <r>
      <rPr>
        <sz val="10"/>
        <color rgb="FFFF0000"/>
        <rFont val="Calibri"/>
        <family val="2"/>
        <scheme val="minor"/>
      </rPr>
      <t xml:space="preserve">
</t>
    </r>
    <r>
      <rPr>
        <sz val="10"/>
        <color rgb="FF0070C0"/>
        <rFont val="Calibri"/>
        <family val="2"/>
        <scheme val="minor"/>
      </rPr>
      <t xml:space="preserve"> Оплачено,</t>
    </r>
    <r>
      <rPr>
        <b/>
        <sz val="10"/>
        <color rgb="FFFF0000"/>
        <rFont val="Calibri"/>
        <family val="2"/>
        <scheme val="minor"/>
      </rPr>
      <t xml:space="preserve"> ВС</t>
    </r>
  </si>
  <si>
    <r>
      <rPr>
        <sz val="10"/>
        <color rgb="FF0070C0"/>
        <rFont val="Calibri"/>
        <family val="2"/>
        <scheme val="minor"/>
      </rPr>
      <t>Постановление  от 13.05.2025 оставить решение в силе,</t>
    </r>
    <r>
      <rPr>
        <sz val="10"/>
        <color theme="4" tint="0.39997558519241921"/>
        <rFont val="Calibri"/>
        <family val="2"/>
        <scheme val="minor"/>
      </rPr>
      <t xml:space="preserve"> </t>
    </r>
    <r>
      <rPr>
        <b/>
        <sz val="10"/>
        <color rgb="FF0070C0"/>
        <rFont val="Calibri"/>
        <family val="2"/>
        <charset val="204"/>
        <scheme val="minor"/>
      </rPr>
      <t>госпошлина возвращена п/п №90123 от 14.04.2026</t>
    </r>
  </si>
  <si>
    <r>
      <t xml:space="preserve">     Сроки:</t>
    </r>
    <r>
      <rPr>
        <sz val="10"/>
        <color rgb="FFFF0000"/>
        <rFont val="Calibri"/>
        <family val="2"/>
        <charset val="204"/>
        <scheme val="minor"/>
      </rPr>
      <t xml:space="preserve">       </t>
    </r>
    <r>
      <rPr>
        <sz val="10"/>
        <color theme="1"/>
        <rFont val="Calibri"/>
        <family val="2"/>
        <scheme val="minor"/>
      </rPr>
      <t xml:space="preserve">
   2 срок - 05.05.2026 Возражения на отзыв подготовлены</t>
    </r>
  </si>
  <si>
    <t>Сроки: 1 срок - 29.04.2026                2 срок - 27.05.2026</t>
  </si>
  <si>
    <t>Взыскано, руб.</t>
  </si>
  <si>
    <t>№ п/п о взыскании/добровольной оплате</t>
  </si>
  <si>
    <t>Договор</t>
  </si>
  <si>
    <t>№01/41 (2022) от 01.12.2022</t>
  </si>
  <si>
    <t>№1-04-77-НТС/21 от 20.09.2021</t>
  </si>
  <si>
    <t>№БТСк-133-22-094 от 10.03.2022</t>
  </si>
  <si>
    <t xml:space="preserve">N79ГС/21 от 16.12.2021 </t>
  </si>
  <si>
    <t>№311ГС/24 от 04.10.2024г.</t>
  </si>
  <si>
    <t xml:space="preserve">№36ГС/21от 11.10.2021 </t>
  </si>
  <si>
    <r>
      <t>№</t>
    </r>
    <r>
      <rPr>
        <sz val="11"/>
        <color theme="1"/>
        <rFont val="Times New Roman"/>
        <family val="1"/>
        <charset val="204"/>
      </rPr>
      <t xml:space="preserve">151ГС/23 от 25.01.2023 </t>
    </r>
  </si>
  <si>
    <r>
      <t>№</t>
    </r>
    <r>
      <rPr>
        <sz val="11"/>
        <color theme="1"/>
        <rFont val="Times New Roman"/>
        <family val="1"/>
        <charset val="204"/>
      </rPr>
      <t xml:space="preserve">154ГС/23 от 9 февраля 2023 г. </t>
    </r>
  </si>
  <si>
    <t>№144ГС/22 от 11.11.2022г.</t>
  </si>
  <si>
    <t xml:space="preserve">№ 77ГС/21 от 07.12.2021г. </t>
  </si>
  <si>
    <t>№ 94ГС/22 от 5 апреля 2022 г</t>
  </si>
  <si>
    <t xml:space="preserve">№23-09/2021 от 23.09.2021, №30/08-2021ТНП от 30.08.2021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</si>
</sst>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1"/>
      <color theme="4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4" tint="0.3999755851924192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4" tint="0.59999389629810485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u/>
      <sz val="10"/>
      <color rgb="FF0070C0"/>
      <name val="Calibri"/>
      <family val="2"/>
      <scheme val="minor"/>
    </font>
    <font>
      <b/>
      <u/>
      <sz val="10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4" tint="0.3999755851924192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70C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b/>
      <sz val="10"/>
      <color theme="4"/>
      <name val="Calibri"/>
      <family val="2"/>
      <scheme val="minor"/>
    </font>
    <font>
      <sz val="10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10"/>
      <color rgb="FF0070C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rgb="FF0070C0"/>
      <name val="Calibri Light"/>
      <family val="2"/>
      <charset val="204"/>
      <scheme val="major"/>
    </font>
    <font>
      <sz val="10"/>
      <color theme="1"/>
      <name val="Calibri Light"/>
      <family val="2"/>
      <charset val="204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56">
    <xf numFmtId="0" fontId="0" fillId="0" borderId="0" xfId="0"/>
    <xf numFmtId="4" fontId="0" fillId="0" borderId="0" xfId="0" applyNumberFormat="1"/>
    <xf numFmtId="0" fontId="3" fillId="2" borderId="0" xfId="0" applyFont="1" applyFill="1"/>
    <xf numFmtId="164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10" fillId="0" borderId="0" xfId="0" applyFont="1"/>
    <xf numFmtId="164" fontId="2" fillId="2" borderId="4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4" fontId="13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164" fontId="16" fillId="2" borderId="1" xfId="0" applyNumberFormat="1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164" fontId="14" fillId="2" borderId="1" xfId="0" applyNumberFormat="1" applyFont="1" applyFill="1" applyBorder="1" applyAlignment="1">
      <alignment horizontal="center" vertical="center" wrapText="1"/>
    </xf>
    <xf numFmtId="164" fontId="18" fillId="2" borderId="1" xfId="1" applyNumberFormat="1" applyFont="1" applyFill="1" applyBorder="1" applyAlignment="1">
      <alignment horizontal="center" vertical="center" wrapText="1" readingOrder="1"/>
    </xf>
    <xf numFmtId="49" fontId="18" fillId="2" borderId="1" xfId="1" applyNumberFormat="1" applyFont="1" applyFill="1" applyBorder="1" applyAlignment="1">
      <alignment horizontal="center" vertical="center" wrapText="1" readingOrder="1"/>
    </xf>
    <xf numFmtId="4" fontId="15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/>
    <xf numFmtId="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/>
    <xf numFmtId="0" fontId="0" fillId="0" borderId="1" xfId="0" applyBorder="1"/>
    <xf numFmtId="164" fontId="13" fillId="2" borderId="1" xfId="1" applyNumberFormat="1" applyFont="1" applyFill="1" applyBorder="1" applyAlignment="1">
      <alignment horizontal="center" vertical="center" wrapText="1" readingOrder="1"/>
    </xf>
    <xf numFmtId="0" fontId="19" fillId="2" borderId="1" xfId="0" applyFont="1" applyFill="1" applyBorder="1" applyAlignment="1">
      <alignment horizontal="center" vertical="center" wrapText="1"/>
    </xf>
    <xf numFmtId="4" fontId="16" fillId="2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14" fontId="15" fillId="2" borderId="1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64" fontId="12" fillId="5" borderId="1" xfId="0" applyNumberFormat="1" applyFont="1" applyFill="1" applyBorder="1" applyAlignment="1">
      <alignment horizontal="center" vertical="center" wrapText="1"/>
    </xf>
    <xf numFmtId="164" fontId="15" fillId="2" borderId="1" xfId="0" applyNumberFormat="1" applyFont="1" applyFill="1" applyBorder="1"/>
    <xf numFmtId="14" fontId="13" fillId="2" borderId="1" xfId="0" applyNumberFormat="1" applyFont="1" applyFill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164" fontId="20" fillId="2" borderId="1" xfId="0" applyNumberFormat="1" applyFont="1" applyFill="1" applyBorder="1" applyAlignment="1">
      <alignment horizontal="center" vertical="center" wrapText="1"/>
    </xf>
    <xf numFmtId="17" fontId="16" fillId="0" borderId="1" xfId="0" applyNumberFormat="1" applyFont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/>
    </xf>
    <xf numFmtId="4" fontId="15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4" fontId="20" fillId="2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164" fontId="21" fillId="2" borderId="1" xfId="0" applyNumberFormat="1" applyFont="1" applyFill="1" applyBorder="1" applyAlignment="1">
      <alignment horizontal="center" vertical="center" wrapText="1"/>
    </xf>
    <xf numFmtId="164" fontId="21" fillId="2" borderId="1" xfId="1" applyNumberFormat="1" applyFont="1" applyFill="1" applyBorder="1" applyAlignment="1">
      <alignment horizontal="center" vertical="center" wrapText="1" readingOrder="1"/>
    </xf>
    <xf numFmtId="0" fontId="21" fillId="2" borderId="1" xfId="1" applyFont="1" applyFill="1" applyBorder="1" applyAlignment="1">
      <alignment horizontal="center" vertical="center" wrapText="1" readingOrder="1"/>
    </xf>
    <xf numFmtId="49" fontId="21" fillId="2" borderId="1" xfId="1" applyNumberFormat="1" applyFont="1" applyFill="1" applyBorder="1" applyAlignment="1">
      <alignment horizontal="center" vertical="center" wrapText="1" readingOrder="1"/>
    </xf>
    <xf numFmtId="4" fontId="21" fillId="2" borderId="1" xfId="0" applyNumberFormat="1" applyFont="1" applyFill="1" applyBorder="1" applyAlignment="1">
      <alignment horizontal="center" vertical="center" wrapText="1"/>
    </xf>
    <xf numFmtId="164" fontId="22" fillId="2" borderId="1" xfId="0" applyNumberFormat="1" applyFont="1" applyFill="1" applyBorder="1" applyAlignment="1">
      <alignment horizontal="center" vertical="center" wrapText="1"/>
    </xf>
    <xf numFmtId="4" fontId="21" fillId="2" borderId="1" xfId="1" applyNumberFormat="1" applyFont="1" applyFill="1" applyBorder="1" applyAlignment="1">
      <alignment horizontal="center" vertical="center" wrapText="1" readingOrder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1" fillId="0" borderId="1" xfId="0" applyFont="1" applyBorder="1"/>
    <xf numFmtId="164" fontId="21" fillId="0" borderId="1" xfId="0" applyNumberFormat="1" applyFont="1" applyBorder="1"/>
    <xf numFmtId="164" fontId="21" fillId="0" borderId="1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 wrapText="1"/>
    </xf>
    <xf numFmtId="164" fontId="21" fillId="2" borderId="1" xfId="0" applyNumberFormat="1" applyFont="1" applyFill="1" applyBorder="1" applyAlignment="1">
      <alignment horizontal="center" vertical="center"/>
    </xf>
    <xf numFmtId="4" fontId="21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" fontId="25" fillId="0" borderId="1" xfId="0" applyNumberFormat="1" applyFont="1" applyBorder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center" vertical="center" wrapText="1"/>
    </xf>
    <xf numFmtId="14" fontId="25" fillId="2" borderId="1" xfId="0" applyNumberFormat="1" applyFont="1" applyFill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 wrapText="1"/>
    </xf>
    <xf numFmtId="164" fontId="21" fillId="2" borderId="1" xfId="0" applyNumberFormat="1" applyFont="1" applyFill="1" applyBorder="1"/>
    <xf numFmtId="14" fontId="21" fillId="2" borderId="1" xfId="0" applyNumberFormat="1" applyFont="1" applyFill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 wrapText="1"/>
    </xf>
    <xf numFmtId="4" fontId="21" fillId="0" borderId="1" xfId="0" applyNumberFormat="1" applyFont="1" applyBorder="1" applyAlignment="1">
      <alignment vertical="center"/>
    </xf>
    <xf numFmtId="0" fontId="25" fillId="0" borderId="1" xfId="0" applyFont="1" applyBorder="1"/>
    <xf numFmtId="164" fontId="25" fillId="2" borderId="1" xfId="0" applyNumberFormat="1" applyFont="1" applyFill="1" applyBorder="1" applyAlignment="1">
      <alignment horizontal="center" vertical="center" wrapText="1"/>
    </xf>
    <xf numFmtId="4" fontId="25" fillId="0" borderId="1" xfId="0" applyNumberFormat="1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164" fontId="20" fillId="2" borderId="1" xfId="0" applyNumberFormat="1" applyFont="1" applyFill="1" applyBorder="1" applyAlignment="1">
      <alignment horizontal="center" vertical="center"/>
    </xf>
    <xf numFmtId="4" fontId="20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4" fontId="17" fillId="2" borderId="1" xfId="0" applyNumberFormat="1" applyFont="1" applyFill="1" applyBorder="1" applyAlignment="1">
      <alignment horizontal="center" vertical="center" wrapText="1"/>
    </xf>
    <xf numFmtId="16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4" fontId="26" fillId="2" borderId="1" xfId="0" applyNumberFormat="1" applyFont="1" applyFill="1" applyBorder="1" applyAlignment="1">
      <alignment horizontal="center" vertical="center" wrapText="1"/>
    </xf>
    <xf numFmtId="14" fontId="20" fillId="2" borderId="1" xfId="0" applyNumberFormat="1" applyFont="1" applyFill="1" applyBorder="1" applyAlignment="1">
      <alignment horizontal="center" vertical="center"/>
    </xf>
    <xf numFmtId="164" fontId="20" fillId="0" borderId="1" xfId="0" applyNumberFormat="1" applyFont="1" applyBorder="1"/>
    <xf numFmtId="14" fontId="8" fillId="0" borderId="1" xfId="0" applyNumberFormat="1" applyFont="1" applyBorder="1" applyAlignment="1">
      <alignment horizontal="center" vertical="center" wrapText="1"/>
    </xf>
    <xf numFmtId="22" fontId="8" fillId="0" borderId="1" xfId="0" applyNumberFormat="1" applyFont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 wrapText="1"/>
    </xf>
    <xf numFmtId="4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7" fillId="2" borderId="1" xfId="1" applyNumberFormat="1" applyFont="1" applyFill="1" applyBorder="1" applyAlignment="1">
      <alignment horizontal="center" vertical="center" wrapText="1" readingOrder="1"/>
    </xf>
    <xf numFmtId="4" fontId="22" fillId="2" borderId="1" xfId="0" applyNumberFormat="1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14" fontId="14" fillId="2" borderId="1" xfId="0" applyNumberFormat="1" applyFont="1" applyFill="1" applyBorder="1" applyAlignment="1">
      <alignment horizontal="center" vertical="center" wrapText="1"/>
    </xf>
    <xf numFmtId="49" fontId="17" fillId="2" borderId="1" xfId="1" applyNumberFormat="1" applyFont="1" applyFill="1" applyBorder="1" applyAlignment="1">
      <alignment horizontal="center" vertical="center" wrapText="1" readingOrder="1"/>
    </xf>
    <xf numFmtId="49" fontId="14" fillId="2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4" fontId="28" fillId="0" borderId="1" xfId="0" applyNumberFormat="1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/>
    </xf>
    <xf numFmtId="4" fontId="15" fillId="0" borderId="1" xfId="0" applyNumberFormat="1" applyFont="1" applyBorder="1"/>
    <xf numFmtId="4" fontId="8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/>
    <xf numFmtId="0" fontId="17" fillId="0" borderId="1" xfId="0" applyFont="1" applyBorder="1" applyAlignment="1">
      <alignment horizontal="center" vertical="center" wrapText="1"/>
    </xf>
    <xf numFmtId="4" fontId="30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/>
    </xf>
    <xf numFmtId="4" fontId="3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14" fontId="35" fillId="0" borderId="1" xfId="0" applyNumberFormat="1" applyFont="1" applyBorder="1" applyAlignment="1">
      <alignment horizontal="center" vertical="center" wrapText="1"/>
    </xf>
    <xf numFmtId="164" fontId="34" fillId="2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right" vertical="center"/>
    </xf>
    <xf numFmtId="14" fontId="15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35" fillId="2" borderId="1" xfId="0" applyFont="1" applyFill="1" applyBorder="1" applyAlignment="1">
      <alignment horizontal="center" vertical="center" wrapText="1"/>
    </xf>
    <xf numFmtId="4" fontId="22" fillId="0" borderId="1" xfId="0" applyNumberFormat="1" applyFont="1" applyBorder="1" applyAlignment="1">
      <alignment horizontal="center" vertical="center" wrapText="1"/>
    </xf>
    <xf numFmtId="14" fontId="33" fillId="0" borderId="1" xfId="0" applyNumberFormat="1" applyFont="1" applyBorder="1" applyAlignment="1">
      <alignment horizontal="center" vertical="center" wrapText="1"/>
    </xf>
    <xf numFmtId="4" fontId="35" fillId="2" borderId="1" xfId="0" applyNumberFormat="1" applyFont="1" applyFill="1" applyBorder="1" applyAlignment="1">
      <alignment horizontal="center" vertical="center" wrapText="1"/>
    </xf>
    <xf numFmtId="164" fontId="35" fillId="2" borderId="1" xfId="1" applyNumberFormat="1" applyFont="1" applyFill="1" applyBorder="1" applyAlignment="1">
      <alignment horizontal="center" vertical="center" wrapText="1" readingOrder="1"/>
    </xf>
    <xf numFmtId="14" fontId="25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5" fillId="0" borderId="0" xfId="0" applyFont="1"/>
    <xf numFmtId="0" fontId="9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4" fontId="38" fillId="2" borderId="1" xfId="0" applyNumberFormat="1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F99E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AB68"/>
  <sheetViews>
    <sheetView zoomScale="85" zoomScaleNormal="85" workbookViewId="0">
      <pane ySplit="2" topLeftCell="A46" activePane="bottomLeft" state="frozen"/>
      <selection pane="bottomLeft" activeCell="D50" sqref="D50"/>
    </sheetView>
  </sheetViews>
  <sheetFormatPr defaultRowHeight="15" outlineLevelCol="4" x14ac:dyDescent="0.25"/>
  <cols>
    <col min="1" max="1" width="6" customWidth="1"/>
    <col min="2" max="2" width="24.85546875" customWidth="1"/>
    <col min="3" max="3" width="18.140625" customWidth="1"/>
    <col min="4" max="4" width="15" customWidth="1"/>
    <col min="5" max="5" width="13.42578125" customWidth="1" outlineLevel="2"/>
    <col min="6" max="6" width="13.28515625" customWidth="1" outlineLevel="2"/>
    <col min="7" max="7" width="16.42578125" customWidth="1" outlineLevel="2"/>
    <col min="8" max="8" width="17.42578125" customWidth="1" outlineLevel="2"/>
    <col min="9" max="9" width="14.28515625" customWidth="1" outlineLevel="2"/>
    <col min="10" max="10" width="15.7109375" customWidth="1" outlineLevel="1"/>
    <col min="11" max="11" width="19.28515625" customWidth="1"/>
    <col min="12" max="12" width="13.5703125" customWidth="1"/>
    <col min="13" max="13" width="12.85546875" customWidth="1"/>
    <col min="14" max="14" width="27.42578125" customWidth="1"/>
    <col min="15" max="15" width="20.42578125" customWidth="1"/>
    <col min="16" max="16" width="14.42578125" customWidth="1"/>
    <col min="17" max="17" width="14.85546875" customWidth="1" outlineLevel="2"/>
    <col min="18" max="18" width="11.5703125" customWidth="1" outlineLevel="2"/>
    <col min="19" max="19" width="11.140625" customWidth="1" outlineLevel="4"/>
    <col min="20" max="20" width="28.5703125" customWidth="1" outlineLevel="4"/>
    <col min="21" max="21" width="14.140625" customWidth="1" outlineLevel="1"/>
    <col min="22" max="22" width="16.85546875" customWidth="1" outlineLevel="1"/>
    <col min="23" max="23" width="15" customWidth="1" outlineLevel="1"/>
    <col min="24" max="24" width="18" customWidth="1" outlineLevel="3"/>
    <col min="25" max="25" width="15.140625" customWidth="1"/>
  </cols>
  <sheetData>
    <row r="1" spans="1:25" ht="15.75" x14ac:dyDescent="0.25">
      <c r="A1" s="147" t="s">
        <v>262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</row>
    <row r="2" spans="1:25" ht="84.75" customHeight="1" x14ac:dyDescent="0.25">
      <c r="A2" s="10" t="s">
        <v>0</v>
      </c>
      <c r="B2" s="10" t="s">
        <v>1</v>
      </c>
      <c r="C2" s="10" t="s">
        <v>18</v>
      </c>
      <c r="D2" s="11" t="s">
        <v>124</v>
      </c>
      <c r="E2" s="11" t="s">
        <v>125</v>
      </c>
      <c r="F2" s="11" t="s">
        <v>126</v>
      </c>
      <c r="G2" s="11" t="s">
        <v>14</v>
      </c>
      <c r="H2" s="11" t="s">
        <v>16</v>
      </c>
      <c r="I2" s="11" t="s">
        <v>7</v>
      </c>
      <c r="J2" s="10" t="s">
        <v>269</v>
      </c>
      <c r="K2" s="11" t="s">
        <v>11</v>
      </c>
      <c r="L2" s="11" t="s">
        <v>343</v>
      </c>
      <c r="M2" s="11" t="s">
        <v>316</v>
      </c>
      <c r="N2" s="11" t="s">
        <v>364</v>
      </c>
      <c r="O2" s="10" t="s">
        <v>782</v>
      </c>
      <c r="P2" s="10" t="s">
        <v>597</v>
      </c>
      <c r="Q2" s="10" t="s">
        <v>377</v>
      </c>
      <c r="R2" s="10" t="s">
        <v>375</v>
      </c>
      <c r="S2" s="10" t="s">
        <v>318</v>
      </c>
      <c r="T2" s="11" t="s">
        <v>821</v>
      </c>
      <c r="U2" s="11" t="s">
        <v>312</v>
      </c>
      <c r="V2" s="38" t="s">
        <v>820</v>
      </c>
      <c r="W2" s="38" t="s">
        <v>464</v>
      </c>
      <c r="X2" s="11" t="s">
        <v>311</v>
      </c>
    </row>
    <row r="3" spans="1:25" ht="58.5" customHeight="1" x14ac:dyDescent="0.25">
      <c r="A3" s="52">
        <v>1</v>
      </c>
      <c r="B3" s="52" t="s">
        <v>135</v>
      </c>
      <c r="C3" s="52" t="s">
        <v>20</v>
      </c>
      <c r="D3" s="53">
        <v>376000</v>
      </c>
      <c r="E3" s="53">
        <v>10520</v>
      </c>
      <c r="F3" s="53" t="s">
        <v>230</v>
      </c>
      <c r="G3" s="53" t="s">
        <v>93</v>
      </c>
      <c r="H3" s="52" t="s">
        <v>94</v>
      </c>
      <c r="I3" s="53" t="s">
        <v>95</v>
      </c>
      <c r="J3" s="52" t="s">
        <v>108</v>
      </c>
      <c r="K3" s="53" t="s">
        <v>275</v>
      </c>
      <c r="L3" s="53" t="s">
        <v>345</v>
      </c>
      <c r="M3" s="53"/>
      <c r="N3" s="108"/>
      <c r="O3" s="52" t="s">
        <v>582</v>
      </c>
      <c r="P3" s="57">
        <v>376000</v>
      </c>
      <c r="Q3" s="52"/>
      <c r="R3" s="109"/>
      <c r="S3" s="52"/>
      <c r="T3" s="53" t="s">
        <v>281</v>
      </c>
      <c r="U3" s="53">
        <v>376000</v>
      </c>
      <c r="V3" s="53">
        <v>376000</v>
      </c>
      <c r="W3" s="53"/>
      <c r="X3" s="53" t="s">
        <v>3</v>
      </c>
    </row>
    <row r="4" spans="1:25" ht="53.25" customHeight="1" x14ac:dyDescent="0.25">
      <c r="A4" s="52">
        <v>2</v>
      </c>
      <c r="B4" s="52" t="s">
        <v>136</v>
      </c>
      <c r="C4" s="52" t="s">
        <v>24</v>
      </c>
      <c r="D4" s="53">
        <v>460000</v>
      </c>
      <c r="E4" s="53">
        <v>12200</v>
      </c>
      <c r="F4" s="53" t="s">
        <v>67</v>
      </c>
      <c r="G4" s="53" t="s">
        <v>23</v>
      </c>
      <c r="H4" s="52" t="s">
        <v>25</v>
      </c>
      <c r="I4" s="53" t="s">
        <v>87</v>
      </c>
      <c r="J4" s="52" t="s">
        <v>177</v>
      </c>
      <c r="K4" s="53" t="s">
        <v>163</v>
      </c>
      <c r="L4" s="53" t="s">
        <v>345</v>
      </c>
      <c r="M4" s="53"/>
      <c r="N4" s="13"/>
      <c r="O4" s="52" t="s">
        <v>329</v>
      </c>
      <c r="P4" s="57">
        <v>460000</v>
      </c>
      <c r="Q4" s="57">
        <v>12200</v>
      </c>
      <c r="R4" s="30"/>
      <c r="S4" s="52">
        <v>334559</v>
      </c>
      <c r="T4" s="53" t="s">
        <v>429</v>
      </c>
      <c r="U4" s="53">
        <v>472200</v>
      </c>
      <c r="V4" s="53">
        <v>460000</v>
      </c>
      <c r="W4" s="53"/>
      <c r="X4" s="67" t="s">
        <v>416</v>
      </c>
    </row>
    <row r="5" spans="1:25" ht="128.25" customHeight="1" x14ac:dyDescent="0.25">
      <c r="A5" s="52">
        <v>3</v>
      </c>
      <c r="B5" s="52" t="s">
        <v>182</v>
      </c>
      <c r="C5" s="52" t="s">
        <v>19</v>
      </c>
      <c r="D5" s="53">
        <v>1646000</v>
      </c>
      <c r="E5" s="53">
        <v>29460</v>
      </c>
      <c r="F5" s="53" t="s">
        <v>69</v>
      </c>
      <c r="G5" s="53" t="s">
        <v>22</v>
      </c>
      <c r="H5" s="52" t="s">
        <v>26</v>
      </c>
      <c r="I5" s="53" t="s">
        <v>89</v>
      </c>
      <c r="J5" s="52" t="s">
        <v>47</v>
      </c>
      <c r="K5" s="52" t="s">
        <v>142</v>
      </c>
      <c r="L5" s="53" t="s">
        <v>816</v>
      </c>
      <c r="M5" s="36"/>
      <c r="N5" s="41"/>
      <c r="O5" s="12" t="s">
        <v>815</v>
      </c>
      <c r="P5" s="57">
        <v>1664000</v>
      </c>
      <c r="Q5" s="57">
        <v>29440</v>
      </c>
      <c r="R5" s="141">
        <v>20</v>
      </c>
      <c r="S5" s="52"/>
      <c r="T5" s="53" t="s">
        <v>604</v>
      </c>
      <c r="U5" s="68">
        <f>1226000+21954.94+418000+7485.36+30000</f>
        <v>1703440.3</v>
      </c>
      <c r="V5" s="68">
        <v>1644000</v>
      </c>
      <c r="W5" s="53"/>
      <c r="X5" s="53" t="s">
        <v>603</v>
      </c>
    </row>
    <row r="6" spans="1:25" ht="86.25" hidden="1" customHeight="1" x14ac:dyDescent="0.25">
      <c r="A6" s="52">
        <v>4</v>
      </c>
      <c r="B6" s="52" t="s">
        <v>224</v>
      </c>
      <c r="C6" s="52" t="s">
        <v>471</v>
      </c>
      <c r="D6" s="53">
        <v>656500</v>
      </c>
      <c r="E6" s="53"/>
      <c r="F6" s="53"/>
      <c r="G6" s="53"/>
      <c r="H6" s="52"/>
      <c r="I6" s="53"/>
      <c r="J6" s="52" t="s">
        <v>176</v>
      </c>
      <c r="K6" s="53" t="s">
        <v>10</v>
      </c>
      <c r="L6" s="53" t="s">
        <v>345</v>
      </c>
      <c r="M6" s="62"/>
      <c r="N6" s="41"/>
      <c r="O6" s="12" t="s">
        <v>817</v>
      </c>
      <c r="P6" s="57">
        <v>500000</v>
      </c>
      <c r="Q6" s="57">
        <v>15010</v>
      </c>
      <c r="R6" s="141">
        <v>1120</v>
      </c>
      <c r="S6" s="52"/>
      <c r="T6" s="53" t="s">
        <v>519</v>
      </c>
      <c r="U6" s="53"/>
      <c r="V6" s="68">
        <v>500000</v>
      </c>
      <c r="W6" s="68">
        <v>156500</v>
      </c>
      <c r="X6" s="53"/>
    </row>
    <row r="7" spans="1:25" ht="104.25" customHeight="1" x14ac:dyDescent="0.25">
      <c r="A7" s="52">
        <v>5</v>
      </c>
      <c r="B7" s="52" t="s">
        <v>178</v>
      </c>
      <c r="C7" s="52" t="s">
        <v>27</v>
      </c>
      <c r="D7" s="53">
        <v>1610000</v>
      </c>
      <c r="E7" s="53">
        <v>29100</v>
      </c>
      <c r="F7" s="53" t="s">
        <v>68</v>
      </c>
      <c r="G7" s="53" t="s">
        <v>30</v>
      </c>
      <c r="H7" s="52" t="s">
        <v>31</v>
      </c>
      <c r="I7" s="53" t="s">
        <v>88</v>
      </c>
      <c r="J7" s="52" t="s">
        <v>45</v>
      </c>
      <c r="K7" s="52" t="s">
        <v>164</v>
      </c>
      <c r="L7" s="53" t="s">
        <v>345</v>
      </c>
      <c r="M7" s="62"/>
      <c r="N7" s="35"/>
      <c r="O7" s="52" t="s">
        <v>524</v>
      </c>
      <c r="P7" s="57">
        <v>1450000</v>
      </c>
      <c r="Q7" s="57">
        <v>26207.46</v>
      </c>
      <c r="R7" s="12"/>
      <c r="S7" s="52"/>
      <c r="T7" s="53" t="s">
        <v>557</v>
      </c>
      <c r="U7" s="53"/>
      <c r="V7" s="53">
        <v>1450000</v>
      </c>
      <c r="W7" s="53">
        <v>160000</v>
      </c>
      <c r="X7" s="53"/>
    </row>
    <row r="8" spans="1:25" ht="84.75" customHeight="1" x14ac:dyDescent="0.25">
      <c r="A8" s="52">
        <v>6</v>
      </c>
      <c r="B8" s="52" t="s">
        <v>183</v>
      </c>
      <c r="C8" s="52" t="s">
        <v>20</v>
      </c>
      <c r="D8" s="53">
        <v>868000</v>
      </c>
      <c r="E8" s="53">
        <v>20360</v>
      </c>
      <c r="F8" s="53" t="s">
        <v>28</v>
      </c>
      <c r="G8" s="53" t="s">
        <v>21</v>
      </c>
      <c r="H8" s="52" t="s">
        <v>29</v>
      </c>
      <c r="I8" s="53" t="s">
        <v>86</v>
      </c>
      <c r="J8" s="52" t="s">
        <v>48</v>
      </c>
      <c r="K8" s="53" t="s">
        <v>65</v>
      </c>
      <c r="L8" s="53" t="s">
        <v>345</v>
      </c>
      <c r="M8" s="62"/>
      <c r="N8" s="13"/>
      <c r="O8" s="52" t="s">
        <v>581</v>
      </c>
      <c r="P8" s="53">
        <v>240000</v>
      </c>
      <c r="Q8" s="53">
        <v>9960</v>
      </c>
      <c r="R8" s="68">
        <v>10400</v>
      </c>
      <c r="S8" s="52">
        <v>961894</v>
      </c>
      <c r="T8" s="53" t="s">
        <v>335</v>
      </c>
      <c r="U8" s="53">
        <v>366000</v>
      </c>
      <c r="V8" s="53">
        <v>660000</v>
      </c>
      <c r="W8" s="53">
        <v>208000</v>
      </c>
      <c r="X8" s="53" t="s">
        <v>407</v>
      </c>
    </row>
    <row r="9" spans="1:25" ht="83.25" customHeight="1" x14ac:dyDescent="0.25">
      <c r="A9" s="52">
        <v>7</v>
      </c>
      <c r="B9" s="52" t="s">
        <v>188</v>
      </c>
      <c r="C9" s="52" t="s">
        <v>32</v>
      </c>
      <c r="D9" s="53">
        <v>416000</v>
      </c>
      <c r="E9" s="53">
        <v>11320</v>
      </c>
      <c r="F9" s="53" t="s">
        <v>66</v>
      </c>
      <c r="G9" s="53" t="s">
        <v>15</v>
      </c>
      <c r="H9" s="52" t="s">
        <v>33</v>
      </c>
      <c r="I9" s="53" t="s">
        <v>8</v>
      </c>
      <c r="J9" s="52" t="s">
        <v>46</v>
      </c>
      <c r="K9" s="53" t="s">
        <v>223</v>
      </c>
      <c r="L9" s="53" t="s">
        <v>345</v>
      </c>
      <c r="M9" s="62"/>
      <c r="N9" s="35"/>
      <c r="O9" s="52" t="s">
        <v>523</v>
      </c>
      <c r="P9" s="57">
        <v>416000</v>
      </c>
      <c r="Q9" s="57">
        <v>11320</v>
      </c>
      <c r="R9" s="15"/>
      <c r="S9" s="52"/>
      <c r="T9" s="53" t="s">
        <v>565</v>
      </c>
      <c r="U9" s="53">
        <v>427320</v>
      </c>
      <c r="V9" s="53">
        <v>416000</v>
      </c>
      <c r="W9" s="53"/>
      <c r="X9" s="53" t="s">
        <v>399</v>
      </c>
    </row>
    <row r="10" spans="1:25" ht="64.5" customHeight="1" x14ac:dyDescent="0.25">
      <c r="A10" s="52">
        <v>8</v>
      </c>
      <c r="B10" s="52" t="s">
        <v>187</v>
      </c>
      <c r="C10" s="52" t="s">
        <v>20</v>
      </c>
      <c r="D10" s="53">
        <v>506000</v>
      </c>
      <c r="E10" s="53">
        <v>13120</v>
      </c>
      <c r="F10" s="53" t="s">
        <v>217</v>
      </c>
      <c r="G10" s="53" t="s">
        <v>216</v>
      </c>
      <c r="H10" s="52" t="s">
        <v>326</v>
      </c>
      <c r="I10" s="53" t="s">
        <v>118</v>
      </c>
      <c r="J10" s="52" t="s">
        <v>218</v>
      </c>
      <c r="K10" s="53" t="s">
        <v>283</v>
      </c>
      <c r="L10" s="53" t="s">
        <v>345</v>
      </c>
      <c r="M10" s="62"/>
      <c r="N10" s="33"/>
      <c r="O10" s="52" t="s">
        <v>495</v>
      </c>
      <c r="P10" s="53">
        <v>506000</v>
      </c>
      <c r="Q10" s="57">
        <v>13120</v>
      </c>
      <c r="R10" s="12"/>
      <c r="S10" s="62" t="s">
        <v>322</v>
      </c>
      <c r="T10" s="53" t="s">
        <v>559</v>
      </c>
      <c r="U10" s="53">
        <v>519120</v>
      </c>
      <c r="V10" s="53">
        <v>506000</v>
      </c>
      <c r="W10" s="53"/>
      <c r="X10" s="53"/>
    </row>
    <row r="11" spans="1:25" ht="50.25" customHeight="1" x14ac:dyDescent="0.25">
      <c r="A11" s="52">
        <v>9</v>
      </c>
      <c r="B11" s="52" t="s">
        <v>189</v>
      </c>
      <c r="C11" s="52" t="s">
        <v>53</v>
      </c>
      <c r="D11" s="53">
        <v>1232000</v>
      </c>
      <c r="E11" s="53">
        <v>25320</v>
      </c>
      <c r="F11" s="53" t="s">
        <v>232</v>
      </c>
      <c r="G11" s="53" t="s">
        <v>96</v>
      </c>
      <c r="H11" s="52" t="s">
        <v>97</v>
      </c>
      <c r="I11" s="53" t="s">
        <v>98</v>
      </c>
      <c r="J11" s="52" t="s">
        <v>104</v>
      </c>
      <c r="K11" s="53" t="s">
        <v>280</v>
      </c>
      <c r="L11" s="53" t="s">
        <v>345</v>
      </c>
      <c r="M11" s="62"/>
      <c r="N11" s="41"/>
      <c r="O11" s="63" t="s">
        <v>814</v>
      </c>
      <c r="P11" s="53">
        <v>1232000</v>
      </c>
      <c r="Q11" s="15"/>
      <c r="R11" s="142">
        <v>25320</v>
      </c>
      <c r="S11" s="52"/>
      <c r="T11" s="53" t="s">
        <v>273</v>
      </c>
      <c r="U11" s="53">
        <v>1232000</v>
      </c>
      <c r="V11" s="53">
        <v>1232000</v>
      </c>
      <c r="W11" s="53"/>
      <c r="X11" s="53"/>
      <c r="Y11" s="6"/>
    </row>
    <row r="12" spans="1:25" ht="144.75" customHeight="1" x14ac:dyDescent="0.25">
      <c r="A12" s="52">
        <v>10</v>
      </c>
      <c r="B12" s="52" t="s">
        <v>190</v>
      </c>
      <c r="C12" s="52" t="s">
        <v>53</v>
      </c>
      <c r="D12" s="54">
        <v>3370000</v>
      </c>
      <c r="E12" s="54">
        <v>39850</v>
      </c>
      <c r="F12" s="54" t="s">
        <v>235</v>
      </c>
      <c r="G12" s="54" t="s">
        <v>134</v>
      </c>
      <c r="H12" s="55" t="s">
        <v>184</v>
      </c>
      <c r="I12" s="54" t="s">
        <v>122</v>
      </c>
      <c r="J12" s="54" t="s">
        <v>234</v>
      </c>
      <c r="K12" s="54" t="s">
        <v>279</v>
      </c>
      <c r="L12" s="109" t="s">
        <v>811</v>
      </c>
      <c r="M12" s="35" t="s">
        <v>771</v>
      </c>
      <c r="N12" s="41" t="s">
        <v>812</v>
      </c>
      <c r="O12" s="52" t="s">
        <v>666</v>
      </c>
      <c r="P12" s="54">
        <v>2904000</v>
      </c>
      <c r="Q12" s="57">
        <v>37520</v>
      </c>
      <c r="R12" s="112">
        <v>2330</v>
      </c>
      <c r="S12" s="52"/>
      <c r="T12" s="54"/>
      <c r="U12" s="54"/>
      <c r="V12" s="20"/>
      <c r="W12" s="54">
        <v>80000</v>
      </c>
      <c r="X12" s="19"/>
    </row>
    <row r="13" spans="1:25" ht="66.75" customHeight="1" x14ac:dyDescent="0.25">
      <c r="A13" s="52">
        <v>11</v>
      </c>
      <c r="B13" s="52" t="s">
        <v>191</v>
      </c>
      <c r="C13" s="52" t="s">
        <v>20</v>
      </c>
      <c r="D13" s="53">
        <v>278000</v>
      </c>
      <c r="E13" s="53">
        <v>8560</v>
      </c>
      <c r="F13" s="53" t="s">
        <v>207</v>
      </c>
      <c r="G13" s="53" t="s">
        <v>106</v>
      </c>
      <c r="H13" s="52" t="s">
        <v>107</v>
      </c>
      <c r="I13" s="53" t="s">
        <v>98</v>
      </c>
      <c r="J13" s="52" t="s">
        <v>113</v>
      </c>
      <c r="K13" s="52" t="s">
        <v>254</v>
      </c>
      <c r="L13" s="53" t="s">
        <v>345</v>
      </c>
      <c r="M13" s="62"/>
      <c r="N13" s="12"/>
      <c r="O13" s="52" t="s">
        <v>580</v>
      </c>
      <c r="P13" s="53">
        <v>278000</v>
      </c>
      <c r="Q13" s="52"/>
      <c r="R13" s="54">
        <v>8560</v>
      </c>
      <c r="S13" s="52"/>
      <c r="T13" s="53" t="s">
        <v>245</v>
      </c>
      <c r="U13" s="53">
        <v>278000</v>
      </c>
      <c r="V13" s="53">
        <v>278000</v>
      </c>
      <c r="W13" s="53"/>
      <c r="X13" s="53"/>
      <c r="Y13" s="7"/>
    </row>
    <row r="14" spans="1:25" ht="65.25" customHeight="1" x14ac:dyDescent="0.25">
      <c r="A14" s="52">
        <v>12</v>
      </c>
      <c r="B14" s="52" t="s">
        <v>210</v>
      </c>
      <c r="C14" s="52" t="s">
        <v>24</v>
      </c>
      <c r="D14" s="53">
        <v>388000</v>
      </c>
      <c r="E14" s="53">
        <v>10760</v>
      </c>
      <c r="F14" s="53" t="s">
        <v>211</v>
      </c>
      <c r="G14" s="53" t="s">
        <v>212</v>
      </c>
      <c r="H14" s="52" t="s">
        <v>213</v>
      </c>
      <c r="I14" s="53" t="s">
        <v>214</v>
      </c>
      <c r="J14" s="52" t="s">
        <v>215</v>
      </c>
      <c r="K14" s="53" t="s">
        <v>263</v>
      </c>
      <c r="L14" s="53" t="s">
        <v>345</v>
      </c>
      <c r="M14" s="62"/>
      <c r="N14" s="13"/>
      <c r="O14" s="52" t="s">
        <v>371</v>
      </c>
      <c r="P14" s="53">
        <v>388760</v>
      </c>
      <c r="Q14" s="52"/>
      <c r="R14" s="52"/>
      <c r="S14" s="63"/>
      <c r="T14" s="53" t="s">
        <v>317</v>
      </c>
      <c r="U14" s="53">
        <f>D14+E14</f>
        <v>398760</v>
      </c>
      <c r="V14" s="53">
        <v>388000</v>
      </c>
      <c r="W14" s="53"/>
      <c r="X14" s="53"/>
    </row>
    <row r="15" spans="1:25" ht="100.5" customHeight="1" x14ac:dyDescent="0.25">
      <c r="A15" s="52">
        <v>13</v>
      </c>
      <c r="B15" s="52" t="s">
        <v>137</v>
      </c>
      <c r="C15" s="52" t="s">
        <v>472</v>
      </c>
      <c r="D15" s="54">
        <v>2152000</v>
      </c>
      <c r="E15" s="54">
        <v>33760</v>
      </c>
      <c r="F15" s="54" t="s">
        <v>50</v>
      </c>
      <c r="G15" s="54" t="s">
        <v>51</v>
      </c>
      <c r="H15" s="55" t="s">
        <v>127</v>
      </c>
      <c r="I15" s="54" t="s">
        <v>82</v>
      </c>
      <c r="J15" s="52" t="s">
        <v>52</v>
      </c>
      <c r="K15" s="54" t="s">
        <v>161</v>
      </c>
      <c r="L15" s="53" t="s">
        <v>345</v>
      </c>
      <c r="M15" s="62"/>
      <c r="N15" s="40"/>
      <c r="O15" s="52" t="s">
        <v>525</v>
      </c>
      <c r="P15" s="54">
        <v>1438000</v>
      </c>
      <c r="Q15" s="54">
        <v>27380</v>
      </c>
      <c r="R15" s="54">
        <v>6380</v>
      </c>
      <c r="S15" s="52"/>
      <c r="T15" s="53" t="s">
        <v>608</v>
      </c>
      <c r="U15" s="53">
        <f>230000+436000+1438000+27380</f>
        <v>2131380</v>
      </c>
      <c r="V15" s="53">
        <v>1438000</v>
      </c>
      <c r="W15" s="53">
        <f>16000+32000</f>
        <v>48000</v>
      </c>
      <c r="X15" s="53"/>
    </row>
    <row r="16" spans="1:25" ht="55.5" customHeight="1" x14ac:dyDescent="0.25">
      <c r="A16" s="52">
        <v>14</v>
      </c>
      <c r="B16" s="52" t="s">
        <v>450</v>
      </c>
      <c r="C16" s="52" t="s">
        <v>20</v>
      </c>
      <c r="D16" s="53">
        <v>5538000</v>
      </c>
      <c r="E16" s="53">
        <v>50690</v>
      </c>
      <c r="F16" s="53" t="s">
        <v>243</v>
      </c>
      <c r="G16" s="53" t="s">
        <v>120</v>
      </c>
      <c r="H16" s="53" t="s">
        <v>242</v>
      </c>
      <c r="I16" s="53" t="s">
        <v>121</v>
      </c>
      <c r="J16" s="52" t="s">
        <v>400</v>
      </c>
      <c r="K16" s="53" t="s">
        <v>282</v>
      </c>
      <c r="L16" s="53" t="s">
        <v>345</v>
      </c>
      <c r="M16" s="62"/>
      <c r="N16" s="33"/>
      <c r="O16" s="52" t="s">
        <v>430</v>
      </c>
      <c r="P16" s="53">
        <v>5538000</v>
      </c>
      <c r="Q16" s="53">
        <v>50690</v>
      </c>
      <c r="R16" s="12"/>
      <c r="S16" s="52"/>
      <c r="T16" s="53" t="s">
        <v>579</v>
      </c>
      <c r="U16" s="53">
        <v>5588690</v>
      </c>
      <c r="V16" s="53">
        <v>5538000</v>
      </c>
      <c r="W16" s="53"/>
      <c r="X16" s="53"/>
    </row>
    <row r="17" spans="1:25" ht="86.25" customHeight="1" x14ac:dyDescent="0.25">
      <c r="A17" s="52">
        <v>15</v>
      </c>
      <c r="B17" s="52" t="s">
        <v>195</v>
      </c>
      <c r="C17" s="52" t="s">
        <v>19</v>
      </c>
      <c r="D17" s="53">
        <v>832500</v>
      </c>
      <c r="E17" s="53">
        <v>19650</v>
      </c>
      <c r="F17" s="53" t="s">
        <v>41</v>
      </c>
      <c r="G17" s="53" t="s">
        <v>49</v>
      </c>
      <c r="H17" s="52" t="s">
        <v>128</v>
      </c>
      <c r="I17" s="53" t="s">
        <v>85</v>
      </c>
      <c r="J17" s="52" t="s">
        <v>43</v>
      </c>
      <c r="K17" s="53" t="s">
        <v>257</v>
      </c>
      <c r="L17" s="53" t="s">
        <v>345</v>
      </c>
      <c r="M17" s="33"/>
      <c r="N17" s="34"/>
      <c r="O17" s="52" t="s">
        <v>583</v>
      </c>
      <c r="P17" s="53">
        <v>832500</v>
      </c>
      <c r="Q17" s="53">
        <v>19650</v>
      </c>
      <c r="R17" s="15"/>
      <c r="S17" s="18"/>
      <c r="T17" s="53" t="s">
        <v>635</v>
      </c>
      <c r="U17" s="53">
        <f>P17+Q17</f>
        <v>852150</v>
      </c>
      <c r="V17" s="53">
        <f>D17</f>
        <v>832500</v>
      </c>
      <c r="W17" s="17"/>
      <c r="X17" s="109"/>
    </row>
    <row r="18" spans="1:25" ht="105" customHeight="1" x14ac:dyDescent="0.25">
      <c r="A18" s="52">
        <v>16</v>
      </c>
      <c r="B18" s="52" t="s">
        <v>194</v>
      </c>
      <c r="C18" s="52" t="s">
        <v>53</v>
      </c>
      <c r="D18" s="54">
        <v>153000</v>
      </c>
      <c r="E18" s="54">
        <v>5590</v>
      </c>
      <c r="F18" s="54" t="s">
        <v>54</v>
      </c>
      <c r="G18" s="54" t="s">
        <v>55</v>
      </c>
      <c r="H18" s="55" t="s">
        <v>129</v>
      </c>
      <c r="I18" s="54" t="s">
        <v>83</v>
      </c>
      <c r="J18" s="52" t="s">
        <v>328</v>
      </c>
      <c r="K18" s="54" t="s">
        <v>259</v>
      </c>
      <c r="L18" s="53" t="s">
        <v>345</v>
      </c>
      <c r="M18" s="62"/>
      <c r="N18" s="33"/>
      <c r="O18" s="52" t="s">
        <v>528</v>
      </c>
      <c r="P18" s="53">
        <v>80000</v>
      </c>
      <c r="Q18" s="53">
        <v>5590</v>
      </c>
      <c r="R18" s="12"/>
      <c r="S18" s="52">
        <v>127222</v>
      </c>
      <c r="T18" s="53" t="s">
        <v>550</v>
      </c>
      <c r="U18" s="53">
        <f>73000+85590</f>
        <v>158590</v>
      </c>
      <c r="V18" s="53">
        <v>80000</v>
      </c>
      <c r="W18" s="53"/>
      <c r="X18" s="53"/>
    </row>
    <row r="19" spans="1:25" ht="57" customHeight="1" x14ac:dyDescent="0.25">
      <c r="A19" s="52">
        <v>17</v>
      </c>
      <c r="B19" s="52" t="s">
        <v>193</v>
      </c>
      <c r="C19" s="52" t="s">
        <v>20</v>
      </c>
      <c r="D19" s="54">
        <v>890000</v>
      </c>
      <c r="E19" s="54">
        <v>20800</v>
      </c>
      <c r="F19" s="54" t="s">
        <v>70</v>
      </c>
      <c r="G19" s="54" t="s">
        <v>17</v>
      </c>
      <c r="H19" s="55" t="s">
        <v>115</v>
      </c>
      <c r="I19" s="56" t="s">
        <v>88</v>
      </c>
      <c r="J19" s="52" t="s">
        <v>44</v>
      </c>
      <c r="K19" s="54" t="s">
        <v>116</v>
      </c>
      <c r="L19" s="53" t="s">
        <v>345</v>
      </c>
      <c r="M19" s="62"/>
      <c r="N19" s="13"/>
      <c r="O19" s="52" t="s">
        <v>385</v>
      </c>
      <c r="P19" s="57">
        <v>630000</v>
      </c>
      <c r="Q19" s="57">
        <v>20800</v>
      </c>
      <c r="R19" s="15"/>
      <c r="S19" s="52">
        <v>780683</v>
      </c>
      <c r="T19" s="53" t="s">
        <v>406</v>
      </c>
      <c r="U19" s="53">
        <f>P19+Q19</f>
        <v>650800</v>
      </c>
      <c r="V19" s="53">
        <v>630000</v>
      </c>
      <c r="W19" s="53">
        <v>260000</v>
      </c>
      <c r="X19" s="53"/>
    </row>
    <row r="20" spans="1:25" ht="85.5" customHeight="1" x14ac:dyDescent="0.25">
      <c r="A20" s="52">
        <v>18</v>
      </c>
      <c r="B20" s="52" t="s">
        <v>192</v>
      </c>
      <c r="C20" s="52" t="s">
        <v>27</v>
      </c>
      <c r="D20" s="54">
        <v>260000</v>
      </c>
      <c r="E20" s="54">
        <v>8200</v>
      </c>
      <c r="F20" s="54" t="s">
        <v>219</v>
      </c>
      <c r="G20" s="54" t="s">
        <v>114</v>
      </c>
      <c r="H20" s="55" t="s">
        <v>77</v>
      </c>
      <c r="I20" s="54" t="s">
        <v>170</v>
      </c>
      <c r="J20" s="52" t="s">
        <v>123</v>
      </c>
      <c r="K20" s="54" t="s">
        <v>175</v>
      </c>
      <c r="L20" s="53" t="s">
        <v>345</v>
      </c>
      <c r="M20" s="62"/>
      <c r="N20" s="29"/>
      <c r="O20" s="52" t="s">
        <v>340</v>
      </c>
      <c r="P20" s="57">
        <v>214000</v>
      </c>
      <c r="Q20" s="57">
        <v>6724</v>
      </c>
      <c r="R20" s="12"/>
      <c r="S20" s="52">
        <v>955072</v>
      </c>
      <c r="T20" s="53" t="s">
        <v>609</v>
      </c>
      <c r="U20" s="53">
        <f>P20+Q20</f>
        <v>220724</v>
      </c>
      <c r="V20" s="53">
        <v>214000</v>
      </c>
      <c r="W20" s="53">
        <v>46000</v>
      </c>
      <c r="X20" s="53"/>
    </row>
    <row r="21" spans="1:25" ht="117.75" customHeight="1" x14ac:dyDescent="0.25">
      <c r="A21" s="52">
        <v>19</v>
      </c>
      <c r="B21" s="52" t="s">
        <v>201</v>
      </c>
      <c r="C21" s="52" t="s">
        <v>20</v>
      </c>
      <c r="D21" s="54">
        <v>1770000</v>
      </c>
      <c r="E21" s="54">
        <v>30700</v>
      </c>
      <c r="F21" s="54" t="s">
        <v>202</v>
      </c>
      <c r="G21" s="54" t="s">
        <v>203</v>
      </c>
      <c r="H21" s="55" t="s">
        <v>204</v>
      </c>
      <c r="I21" s="54" t="s">
        <v>205</v>
      </c>
      <c r="J21" s="52" t="s">
        <v>206</v>
      </c>
      <c r="K21" s="54" t="s">
        <v>260</v>
      </c>
      <c r="L21" s="53" t="s">
        <v>345</v>
      </c>
      <c r="M21" s="62"/>
      <c r="N21" s="108"/>
      <c r="O21" s="52" t="s">
        <v>753</v>
      </c>
      <c r="P21" s="57">
        <v>826000</v>
      </c>
      <c r="Q21" s="57">
        <v>24757</v>
      </c>
      <c r="R21" s="113">
        <v>5900</v>
      </c>
      <c r="S21" s="52"/>
      <c r="T21" s="53" t="s">
        <v>470</v>
      </c>
      <c r="U21" s="53">
        <f>398000+96000+96000</f>
        <v>590000</v>
      </c>
      <c r="V21" s="53">
        <v>826000</v>
      </c>
      <c r="W21" s="53">
        <v>352000</v>
      </c>
      <c r="X21" s="53"/>
    </row>
    <row r="22" spans="1:25" ht="96" customHeight="1" x14ac:dyDescent="0.25">
      <c r="A22" s="52">
        <v>20</v>
      </c>
      <c r="B22" s="52" t="s">
        <v>196</v>
      </c>
      <c r="C22" s="52" t="s">
        <v>56</v>
      </c>
      <c r="D22" s="54">
        <v>1622000</v>
      </c>
      <c r="E22" s="54">
        <v>29220</v>
      </c>
      <c r="F22" s="54" t="s">
        <v>78</v>
      </c>
      <c r="G22" s="54" t="s">
        <v>57</v>
      </c>
      <c r="H22" s="55" t="s">
        <v>130</v>
      </c>
      <c r="I22" s="54" t="s">
        <v>9</v>
      </c>
      <c r="J22" s="52" t="s">
        <v>58</v>
      </c>
      <c r="K22" s="54" t="s">
        <v>255</v>
      </c>
      <c r="L22" s="109" t="s">
        <v>671</v>
      </c>
      <c r="M22" s="35" t="s">
        <v>788</v>
      </c>
      <c r="N22" s="114" t="s">
        <v>755</v>
      </c>
      <c r="O22" s="52" t="s">
        <v>754</v>
      </c>
      <c r="P22" s="57">
        <v>1622000</v>
      </c>
      <c r="Q22" s="57">
        <v>29220</v>
      </c>
      <c r="R22" s="15"/>
      <c r="S22" s="15"/>
      <c r="T22" s="17"/>
      <c r="U22" s="17"/>
      <c r="V22" s="17"/>
      <c r="W22" s="17"/>
      <c r="X22" s="17" t="s">
        <v>334</v>
      </c>
    </row>
    <row r="23" spans="1:25" ht="51" customHeight="1" x14ac:dyDescent="0.25">
      <c r="A23" s="52">
        <v>21</v>
      </c>
      <c r="B23" s="52" t="s">
        <v>197</v>
      </c>
      <c r="C23" s="52" t="s">
        <v>20</v>
      </c>
      <c r="D23" s="53">
        <v>142000</v>
      </c>
      <c r="E23" s="53">
        <v>5260</v>
      </c>
      <c r="F23" s="53" t="s">
        <v>325</v>
      </c>
      <c r="G23" s="53" t="s">
        <v>71</v>
      </c>
      <c r="H23" s="52" t="s">
        <v>131</v>
      </c>
      <c r="I23" s="53" t="s">
        <v>92</v>
      </c>
      <c r="J23" s="52" t="s">
        <v>160</v>
      </c>
      <c r="K23" s="54" t="s">
        <v>222</v>
      </c>
      <c r="L23" s="53" t="s">
        <v>345</v>
      </c>
      <c r="M23" s="62"/>
      <c r="N23" s="17"/>
      <c r="O23" s="52" t="s">
        <v>426</v>
      </c>
      <c r="P23" s="57">
        <v>142000</v>
      </c>
      <c r="Q23" s="57">
        <v>5260</v>
      </c>
      <c r="R23" s="15"/>
      <c r="S23" s="52">
        <v>159866</v>
      </c>
      <c r="T23" s="53" t="s">
        <v>428</v>
      </c>
      <c r="U23" s="53">
        <f>10616+136644</f>
        <v>147260</v>
      </c>
      <c r="V23" s="53">
        <v>142000</v>
      </c>
      <c r="W23" s="53"/>
      <c r="X23" s="53"/>
    </row>
    <row r="24" spans="1:25" ht="121.5" customHeight="1" x14ac:dyDescent="0.25">
      <c r="A24" s="52">
        <v>22</v>
      </c>
      <c r="B24" s="52" t="s">
        <v>248</v>
      </c>
      <c r="C24" s="52" t="s">
        <v>249</v>
      </c>
      <c r="D24" s="53">
        <v>2910000</v>
      </c>
      <c r="E24" s="53">
        <v>37550</v>
      </c>
      <c r="F24" s="53" t="s">
        <v>250</v>
      </c>
      <c r="G24" s="53" t="s">
        <v>251</v>
      </c>
      <c r="H24" s="52" t="s">
        <v>252</v>
      </c>
      <c r="I24" s="53" t="s">
        <v>98</v>
      </c>
      <c r="J24" s="52" t="s">
        <v>253</v>
      </c>
      <c r="K24" s="54" t="s">
        <v>261</v>
      </c>
      <c r="L24" s="53" t="s">
        <v>345</v>
      </c>
      <c r="M24" s="62"/>
      <c r="N24" s="35"/>
      <c r="O24" s="52" t="s">
        <v>431</v>
      </c>
      <c r="P24" s="57">
        <v>2910000</v>
      </c>
      <c r="Q24" s="57">
        <v>37550</v>
      </c>
      <c r="R24" s="15"/>
      <c r="S24" s="52"/>
      <c r="T24" s="53" t="s">
        <v>758</v>
      </c>
      <c r="U24" s="53"/>
      <c r="V24" s="53">
        <v>2910000</v>
      </c>
      <c r="W24" s="53"/>
      <c r="X24" s="53"/>
    </row>
    <row r="25" spans="1:25" ht="70.5" customHeight="1" x14ac:dyDescent="0.25">
      <c r="A25" s="52">
        <v>23</v>
      </c>
      <c r="B25" s="52" t="s">
        <v>198</v>
      </c>
      <c r="C25" s="52" t="s">
        <v>20</v>
      </c>
      <c r="D25" s="54">
        <v>12804000</v>
      </c>
      <c r="E25" s="54">
        <v>87020</v>
      </c>
      <c r="F25" s="54" t="s">
        <v>482</v>
      </c>
      <c r="G25" s="54" t="s">
        <v>59</v>
      </c>
      <c r="H25" s="55" t="s">
        <v>132</v>
      </c>
      <c r="I25" s="54" t="s">
        <v>84</v>
      </c>
      <c r="J25" s="52" t="s">
        <v>60</v>
      </c>
      <c r="K25" s="54" t="s">
        <v>162</v>
      </c>
      <c r="L25" s="53" t="s">
        <v>345</v>
      </c>
      <c r="M25" s="62"/>
      <c r="N25" s="115"/>
      <c r="O25" s="52" t="s">
        <v>526</v>
      </c>
      <c r="P25" s="57">
        <f>10000000+260000</f>
        <v>10260000</v>
      </c>
      <c r="Q25" s="57">
        <v>117020</v>
      </c>
      <c r="R25" s="12"/>
      <c r="S25" s="52"/>
      <c r="T25" s="53" t="s">
        <v>512</v>
      </c>
      <c r="U25" s="53">
        <f>347467.05+260000+82252.95+10000000</f>
        <v>10689720</v>
      </c>
      <c r="V25" s="53">
        <v>10260000</v>
      </c>
      <c r="W25" s="53">
        <v>2804000</v>
      </c>
      <c r="X25" s="53" t="s">
        <v>411</v>
      </c>
    </row>
    <row r="26" spans="1:25" ht="53.25" customHeight="1" x14ac:dyDescent="0.25">
      <c r="A26" s="52">
        <v>24</v>
      </c>
      <c r="B26" s="52" t="s">
        <v>199</v>
      </c>
      <c r="C26" s="52" t="s">
        <v>20</v>
      </c>
      <c r="D26" s="54">
        <v>6506000</v>
      </c>
      <c r="E26" s="54">
        <v>55530</v>
      </c>
      <c r="F26" s="54" t="s">
        <v>221</v>
      </c>
      <c r="G26" s="54" t="s">
        <v>165</v>
      </c>
      <c r="H26" s="55" t="s">
        <v>167</v>
      </c>
      <c r="I26" s="54" t="s">
        <v>171</v>
      </c>
      <c r="J26" s="52" t="s">
        <v>166</v>
      </c>
      <c r="K26" s="54" t="s">
        <v>220</v>
      </c>
      <c r="L26" s="53" t="s">
        <v>345</v>
      </c>
      <c r="M26" s="62"/>
      <c r="N26" s="37"/>
      <c r="O26" s="52" t="s">
        <v>431</v>
      </c>
      <c r="P26" s="57">
        <v>6506000</v>
      </c>
      <c r="Q26" s="57">
        <v>55530</v>
      </c>
      <c r="R26" s="30"/>
      <c r="S26" s="52"/>
      <c r="T26" s="53" t="s">
        <v>759</v>
      </c>
      <c r="U26" s="53"/>
      <c r="V26" s="53">
        <v>6506000</v>
      </c>
      <c r="W26" s="53"/>
      <c r="X26" s="53"/>
    </row>
    <row r="27" spans="1:25" ht="54" customHeight="1" x14ac:dyDescent="0.25">
      <c r="A27" s="52">
        <v>25</v>
      </c>
      <c r="B27" s="52" t="s">
        <v>200</v>
      </c>
      <c r="C27" s="52" t="s">
        <v>20</v>
      </c>
      <c r="D27" s="54">
        <v>292000</v>
      </c>
      <c r="E27" s="54">
        <v>8840</v>
      </c>
      <c r="F27" s="54" t="s">
        <v>226</v>
      </c>
      <c r="G27" s="54" t="s">
        <v>158</v>
      </c>
      <c r="H27" s="55" t="s">
        <v>168</v>
      </c>
      <c r="I27" s="54" t="s">
        <v>172</v>
      </c>
      <c r="J27" s="52" t="s">
        <v>159</v>
      </c>
      <c r="K27" s="54" t="s">
        <v>370</v>
      </c>
      <c r="L27" s="53" t="s">
        <v>345</v>
      </c>
      <c r="M27" s="62"/>
      <c r="N27" s="13"/>
      <c r="O27" s="52" t="s">
        <v>606</v>
      </c>
      <c r="P27" s="57">
        <v>282000</v>
      </c>
      <c r="Q27" s="57">
        <v>8840</v>
      </c>
      <c r="R27" s="12"/>
      <c r="S27" s="52">
        <v>104916</v>
      </c>
      <c r="T27" s="53" t="s">
        <v>412</v>
      </c>
      <c r="U27" s="53">
        <f>10000+282000+8840</f>
        <v>300840</v>
      </c>
      <c r="V27" s="53">
        <v>282000</v>
      </c>
      <c r="W27" s="53"/>
      <c r="X27" s="53" t="s">
        <v>413</v>
      </c>
    </row>
    <row r="28" spans="1:25" ht="81.75" customHeight="1" x14ac:dyDescent="0.25">
      <c r="A28" s="52">
        <v>26</v>
      </c>
      <c r="B28" s="52" t="s">
        <v>99</v>
      </c>
      <c r="C28" s="52" t="s">
        <v>100</v>
      </c>
      <c r="D28" s="54">
        <v>2626000</v>
      </c>
      <c r="E28" s="54">
        <v>36130</v>
      </c>
      <c r="F28" s="54" t="s">
        <v>233</v>
      </c>
      <c r="G28" s="54" t="s">
        <v>101</v>
      </c>
      <c r="H28" s="55" t="s">
        <v>102</v>
      </c>
      <c r="I28" s="54" t="s">
        <v>9</v>
      </c>
      <c r="J28" s="52" t="s">
        <v>105</v>
      </c>
      <c r="K28" s="54" t="s">
        <v>278</v>
      </c>
      <c r="L28" s="53" t="s">
        <v>345</v>
      </c>
      <c r="M28" s="62"/>
      <c r="N28" s="114"/>
      <c r="O28" s="52" t="s">
        <v>639</v>
      </c>
      <c r="P28" s="57">
        <v>1300500</v>
      </c>
      <c r="Q28" s="57">
        <v>10839</v>
      </c>
      <c r="R28" s="57">
        <v>25291</v>
      </c>
      <c r="S28" s="15"/>
      <c r="T28" s="53" t="s">
        <v>669</v>
      </c>
      <c r="U28" s="53">
        <v>4000</v>
      </c>
      <c r="V28" s="53">
        <v>1300500</v>
      </c>
      <c r="W28" s="53"/>
      <c r="X28" s="53" t="s">
        <v>323</v>
      </c>
    </row>
    <row r="29" spans="1:25" ht="126.75" customHeight="1" x14ac:dyDescent="0.25">
      <c r="A29" s="52">
        <v>27</v>
      </c>
      <c r="B29" s="52" t="s">
        <v>141</v>
      </c>
      <c r="C29" s="52" t="s">
        <v>61</v>
      </c>
      <c r="D29" s="54">
        <v>2404000</v>
      </c>
      <c r="E29" s="54">
        <v>35020</v>
      </c>
      <c r="F29" s="54" t="s">
        <v>62</v>
      </c>
      <c r="G29" s="54" t="s">
        <v>63</v>
      </c>
      <c r="H29" s="55" t="s">
        <v>133</v>
      </c>
      <c r="I29" s="54" t="s">
        <v>103</v>
      </c>
      <c r="J29" s="52" t="s">
        <v>64</v>
      </c>
      <c r="K29" s="54" t="s">
        <v>238</v>
      </c>
      <c r="L29" s="53" t="s">
        <v>345</v>
      </c>
      <c r="M29" s="62"/>
      <c r="N29" s="116"/>
      <c r="O29" s="56" t="s">
        <v>622</v>
      </c>
      <c r="P29" s="57">
        <v>2206000</v>
      </c>
      <c r="Q29" s="57">
        <v>35020</v>
      </c>
      <c r="R29" s="15"/>
      <c r="S29" s="15"/>
      <c r="T29" s="53" t="s">
        <v>650</v>
      </c>
      <c r="U29" s="53">
        <v>198000</v>
      </c>
      <c r="V29" s="53">
        <f>U29+2206000</f>
        <v>2404000</v>
      </c>
      <c r="W29" s="17"/>
      <c r="X29" s="16"/>
    </row>
    <row r="30" spans="1:25" ht="105.75" customHeight="1" x14ac:dyDescent="0.25">
      <c r="A30" s="52">
        <v>28</v>
      </c>
      <c r="B30" s="52" t="s">
        <v>138</v>
      </c>
      <c r="C30" s="52" t="s">
        <v>640</v>
      </c>
      <c r="D30" s="54">
        <v>169283000</v>
      </c>
      <c r="E30" s="54">
        <v>200000</v>
      </c>
      <c r="F30" s="54" t="s">
        <v>34</v>
      </c>
      <c r="G30" s="54" t="s">
        <v>35</v>
      </c>
      <c r="H30" s="55" t="s">
        <v>36</v>
      </c>
      <c r="I30" s="54" t="s">
        <v>174</v>
      </c>
      <c r="J30" s="52" t="s">
        <v>42</v>
      </c>
      <c r="K30" s="54" t="s">
        <v>541</v>
      </c>
      <c r="L30" s="109" t="s">
        <v>794</v>
      </c>
      <c r="M30" s="18"/>
      <c r="N30" s="116" t="s">
        <v>675</v>
      </c>
      <c r="O30" s="48" t="s">
        <v>662</v>
      </c>
      <c r="P30" s="51">
        <v>55000000</v>
      </c>
      <c r="Q30" s="51">
        <v>137725</v>
      </c>
      <c r="R30" s="48"/>
      <c r="S30" s="48"/>
      <c r="T30" s="42" t="s">
        <v>674</v>
      </c>
      <c r="U30" s="42">
        <v>55137725</v>
      </c>
      <c r="V30" s="42">
        <v>55000000</v>
      </c>
      <c r="W30" s="42" t="e">
        <f>#REF!-V30</f>
        <v>#REF!</v>
      </c>
      <c r="X30" s="42"/>
    </row>
    <row r="31" spans="1:25" ht="56.25" customHeight="1" x14ac:dyDescent="0.25">
      <c r="A31" s="52">
        <v>29</v>
      </c>
      <c r="B31" s="52" t="s">
        <v>139</v>
      </c>
      <c r="C31" s="52" t="s">
        <v>100</v>
      </c>
      <c r="D31" s="57">
        <v>330500</v>
      </c>
      <c r="E31" s="53"/>
      <c r="F31" s="54" t="s">
        <v>374</v>
      </c>
      <c r="G31" s="53"/>
      <c r="H31" s="52"/>
      <c r="I31" s="53"/>
      <c r="J31" s="52" t="s">
        <v>236</v>
      </c>
      <c r="K31" s="54" t="s">
        <v>13</v>
      </c>
      <c r="L31" s="53" t="s">
        <v>345</v>
      </c>
      <c r="M31" s="62"/>
      <c r="N31" s="21"/>
      <c r="O31" s="52" t="s">
        <v>578</v>
      </c>
      <c r="P31" s="57">
        <v>330500</v>
      </c>
      <c r="Q31" s="57">
        <v>9610</v>
      </c>
      <c r="R31" s="57">
        <v>5950</v>
      </c>
      <c r="S31" s="52"/>
      <c r="T31" s="53" t="s">
        <v>610</v>
      </c>
      <c r="U31" s="53">
        <f>P31+Q31</f>
        <v>340110</v>
      </c>
      <c r="V31" s="53">
        <v>330500</v>
      </c>
      <c r="W31" s="53"/>
      <c r="X31" s="53"/>
      <c r="Y31" s="1"/>
    </row>
    <row r="32" spans="1:25" ht="111.75" customHeight="1" x14ac:dyDescent="0.25">
      <c r="A32" s="52">
        <v>30</v>
      </c>
      <c r="B32" s="52" t="s">
        <v>72</v>
      </c>
      <c r="C32" s="52" t="s">
        <v>119</v>
      </c>
      <c r="D32" s="57">
        <v>12236500</v>
      </c>
      <c r="E32" s="57">
        <v>84183</v>
      </c>
      <c r="F32" s="53" t="s">
        <v>117</v>
      </c>
      <c r="G32" s="53" t="s">
        <v>73</v>
      </c>
      <c r="H32" s="52" t="s">
        <v>74</v>
      </c>
      <c r="I32" s="53" t="s">
        <v>85</v>
      </c>
      <c r="J32" s="52" t="s">
        <v>80</v>
      </c>
      <c r="K32" s="54" t="s">
        <v>290</v>
      </c>
      <c r="L32" s="53" t="s">
        <v>345</v>
      </c>
      <c r="M32" s="62"/>
      <c r="N32" s="108"/>
      <c r="O32" s="52"/>
      <c r="P32" s="57">
        <v>7302300</v>
      </c>
      <c r="Q32" s="57">
        <v>25255</v>
      </c>
      <c r="R32" s="57">
        <v>58928</v>
      </c>
      <c r="S32" s="52"/>
      <c r="T32" s="53" t="s">
        <v>730</v>
      </c>
      <c r="U32" s="53">
        <f>3651150+25255+3651150</f>
        <v>7327555</v>
      </c>
      <c r="V32" s="53">
        <v>7302300</v>
      </c>
      <c r="W32" s="53">
        <f>D32-P32</f>
        <v>4934200</v>
      </c>
      <c r="X32" s="53"/>
    </row>
    <row r="33" spans="1:28" ht="78" customHeight="1" x14ac:dyDescent="0.25">
      <c r="A33" s="52">
        <v>31</v>
      </c>
      <c r="B33" s="52" t="s">
        <v>239</v>
      </c>
      <c r="C33" s="52" t="s">
        <v>240</v>
      </c>
      <c r="D33" s="57">
        <v>679000</v>
      </c>
      <c r="E33" s="57">
        <v>16580</v>
      </c>
      <c r="F33" s="53" t="s">
        <v>247</v>
      </c>
      <c r="G33" s="53" t="s">
        <v>256</v>
      </c>
      <c r="H33" s="52" t="s">
        <v>244</v>
      </c>
      <c r="I33" s="53" t="s">
        <v>241</v>
      </c>
      <c r="J33" s="52" t="s">
        <v>258</v>
      </c>
      <c r="K33" s="54" t="s">
        <v>315</v>
      </c>
      <c r="L33" s="53" t="s">
        <v>761</v>
      </c>
      <c r="M33" s="62"/>
      <c r="N33" s="41" t="s">
        <v>760</v>
      </c>
      <c r="O33" s="12" t="s">
        <v>762</v>
      </c>
      <c r="P33" s="57">
        <v>461300</v>
      </c>
      <c r="Q33" s="57">
        <v>37950</v>
      </c>
      <c r="R33" s="110">
        <v>1000</v>
      </c>
      <c r="S33" s="52">
        <v>150656</v>
      </c>
      <c r="T33" s="53" t="s">
        <v>507</v>
      </c>
      <c r="U33" s="53">
        <v>499250</v>
      </c>
      <c r="V33" s="53">
        <f>P33</f>
        <v>461300</v>
      </c>
      <c r="W33" s="53"/>
      <c r="X33" s="53"/>
    </row>
    <row r="34" spans="1:28" ht="78" customHeight="1" x14ac:dyDescent="0.25">
      <c r="A34" s="52">
        <v>32</v>
      </c>
      <c r="B34" s="52" t="s">
        <v>140</v>
      </c>
      <c r="C34" s="52" t="s">
        <v>56</v>
      </c>
      <c r="D34" s="57">
        <v>272000</v>
      </c>
      <c r="E34" s="57">
        <v>8440</v>
      </c>
      <c r="F34" s="53" t="s">
        <v>231</v>
      </c>
      <c r="G34" s="53" t="s">
        <v>110</v>
      </c>
      <c r="H34" s="52" t="s">
        <v>112</v>
      </c>
      <c r="I34" s="53" t="s">
        <v>111</v>
      </c>
      <c r="J34" s="52" t="s">
        <v>109</v>
      </c>
      <c r="K34" s="54" t="s">
        <v>277</v>
      </c>
      <c r="L34" s="58" t="s">
        <v>605</v>
      </c>
      <c r="M34" s="62"/>
      <c r="N34" s="33"/>
      <c r="O34" s="52" t="s">
        <v>502</v>
      </c>
      <c r="P34" s="57">
        <v>272000</v>
      </c>
      <c r="Q34" s="57">
        <v>8440</v>
      </c>
      <c r="R34" s="14"/>
      <c r="S34" s="52">
        <v>447572</v>
      </c>
      <c r="T34" s="53" t="s">
        <v>757</v>
      </c>
      <c r="U34" s="53">
        <f>272000+8440</f>
        <v>280440</v>
      </c>
      <c r="V34" s="53">
        <v>272000</v>
      </c>
      <c r="W34" s="53"/>
      <c r="X34" s="53"/>
    </row>
    <row r="35" spans="1:28" ht="69.75" customHeight="1" x14ac:dyDescent="0.25">
      <c r="A35" s="52">
        <v>33</v>
      </c>
      <c r="B35" s="52" t="s">
        <v>75</v>
      </c>
      <c r="C35" s="52" t="s">
        <v>20</v>
      </c>
      <c r="D35" s="59">
        <v>306000</v>
      </c>
      <c r="E35" s="59">
        <v>9120</v>
      </c>
      <c r="F35" s="54" t="s">
        <v>186</v>
      </c>
      <c r="G35" s="54" t="s">
        <v>76</v>
      </c>
      <c r="H35" s="55" t="s">
        <v>79</v>
      </c>
      <c r="I35" s="54" t="s">
        <v>91</v>
      </c>
      <c r="J35" s="52" t="s">
        <v>81</v>
      </c>
      <c r="K35" s="54" t="s">
        <v>185</v>
      </c>
      <c r="L35" s="53" t="s">
        <v>345</v>
      </c>
      <c r="M35" s="62"/>
      <c r="N35" s="20"/>
      <c r="O35" s="52" t="s">
        <v>365</v>
      </c>
      <c r="P35" s="57">
        <v>306000</v>
      </c>
      <c r="Q35" s="57">
        <v>9120</v>
      </c>
      <c r="R35" s="15"/>
      <c r="S35" s="52"/>
      <c r="T35" s="52" t="s">
        <v>427</v>
      </c>
      <c r="U35" s="53">
        <f>D35+E35</f>
        <v>315120</v>
      </c>
      <c r="V35" s="53">
        <v>306000</v>
      </c>
      <c r="W35" s="53"/>
      <c r="X35" s="53"/>
    </row>
    <row r="36" spans="1:28" s="2" customFormat="1" ht="85.5" customHeight="1" x14ac:dyDescent="0.25">
      <c r="A36" s="52">
        <v>34</v>
      </c>
      <c r="B36" s="52" t="s">
        <v>179</v>
      </c>
      <c r="C36" s="52" t="s">
        <v>37</v>
      </c>
      <c r="D36" s="53">
        <v>778000</v>
      </c>
      <c r="E36" s="53">
        <v>18560</v>
      </c>
      <c r="F36" s="52" t="s">
        <v>38</v>
      </c>
      <c r="G36" s="52" t="s">
        <v>39</v>
      </c>
      <c r="H36" s="52" t="s">
        <v>180</v>
      </c>
      <c r="I36" s="52" t="s">
        <v>90</v>
      </c>
      <c r="J36" s="52" t="s">
        <v>181</v>
      </c>
      <c r="K36" s="52" t="s">
        <v>40</v>
      </c>
      <c r="L36" s="53" t="s">
        <v>345</v>
      </c>
      <c r="M36" s="62"/>
      <c r="N36" s="12"/>
      <c r="O36" s="52" t="s">
        <v>520</v>
      </c>
      <c r="P36" s="53">
        <v>778000</v>
      </c>
      <c r="Q36" s="52"/>
      <c r="R36" s="57">
        <v>18560</v>
      </c>
      <c r="S36" s="52"/>
      <c r="T36" s="52" t="s">
        <v>246</v>
      </c>
      <c r="U36" s="53">
        <v>778000</v>
      </c>
      <c r="V36" s="53">
        <v>778000</v>
      </c>
      <c r="W36" s="53"/>
      <c r="X36" s="52"/>
      <c r="Y36"/>
      <c r="Z36"/>
      <c r="AA36"/>
      <c r="AB36"/>
    </row>
    <row r="37" spans="1:28" ht="90.75" customHeight="1" x14ac:dyDescent="0.25">
      <c r="A37" s="52">
        <v>35</v>
      </c>
      <c r="B37" s="52" t="s">
        <v>143</v>
      </c>
      <c r="C37" s="52" t="s">
        <v>20</v>
      </c>
      <c r="D37" s="57">
        <v>402000</v>
      </c>
      <c r="E37" s="57">
        <v>11040</v>
      </c>
      <c r="F37" s="53" t="s">
        <v>208</v>
      </c>
      <c r="G37" s="53" t="s">
        <v>144</v>
      </c>
      <c r="H37" s="52" t="s">
        <v>145</v>
      </c>
      <c r="I37" s="53" t="s">
        <v>146</v>
      </c>
      <c r="J37" s="52" t="s">
        <v>147</v>
      </c>
      <c r="K37" s="54" t="s">
        <v>327</v>
      </c>
      <c r="L37" s="53" t="s">
        <v>345</v>
      </c>
      <c r="M37" s="62"/>
      <c r="N37" s="35"/>
      <c r="O37" s="60" t="s">
        <v>607</v>
      </c>
      <c r="P37" s="57">
        <v>402000</v>
      </c>
      <c r="Q37" s="57">
        <v>11040</v>
      </c>
      <c r="R37" s="23"/>
      <c r="S37" s="60"/>
      <c r="T37" s="53" t="s">
        <v>558</v>
      </c>
      <c r="U37" s="64"/>
      <c r="V37" s="53">
        <v>402000</v>
      </c>
      <c r="W37" s="53"/>
      <c r="X37" s="53"/>
    </row>
    <row r="38" spans="1:28" ht="75" customHeight="1" x14ac:dyDescent="0.25">
      <c r="A38" s="52">
        <v>36</v>
      </c>
      <c r="B38" s="52" t="s">
        <v>148</v>
      </c>
      <c r="C38" s="52" t="s">
        <v>20</v>
      </c>
      <c r="D38" s="74">
        <v>1464000</v>
      </c>
      <c r="E38" s="74">
        <v>27640</v>
      </c>
      <c r="F38" s="53" t="s">
        <v>209</v>
      </c>
      <c r="G38" s="60" t="s">
        <v>149</v>
      </c>
      <c r="H38" s="52" t="s">
        <v>150</v>
      </c>
      <c r="I38" s="60" t="s">
        <v>9</v>
      </c>
      <c r="J38" s="60" t="s">
        <v>151</v>
      </c>
      <c r="K38" s="54" t="s">
        <v>542</v>
      </c>
      <c r="L38" s="53" t="s">
        <v>345</v>
      </c>
      <c r="M38" s="18"/>
      <c r="N38" s="108"/>
      <c r="O38" s="60" t="s">
        <v>806</v>
      </c>
      <c r="P38" s="69">
        <v>1458000</v>
      </c>
      <c r="Q38" s="69">
        <v>27580</v>
      </c>
      <c r="R38" s="139">
        <v>60</v>
      </c>
      <c r="S38" s="88"/>
      <c r="T38" s="89" t="s">
        <v>647</v>
      </c>
      <c r="U38" s="91">
        <v>1458000</v>
      </c>
      <c r="V38" s="90">
        <v>1458000</v>
      </c>
      <c r="W38" s="90"/>
      <c r="X38" s="89"/>
    </row>
    <row r="39" spans="1:28" ht="73.5" customHeight="1" x14ac:dyDescent="0.25">
      <c r="A39" s="52">
        <v>37</v>
      </c>
      <c r="B39" s="52" t="s">
        <v>227</v>
      </c>
      <c r="C39" s="52" t="s">
        <v>56</v>
      </c>
      <c r="D39" s="57">
        <v>424000</v>
      </c>
      <c r="E39" s="57">
        <v>11480</v>
      </c>
      <c r="F39" s="53" t="s">
        <v>228</v>
      </c>
      <c r="G39" s="53" t="s">
        <v>152</v>
      </c>
      <c r="H39" s="52" t="s">
        <v>153</v>
      </c>
      <c r="I39" s="53" t="s">
        <v>154</v>
      </c>
      <c r="J39" s="52" t="s">
        <v>155</v>
      </c>
      <c r="K39" s="75" t="s">
        <v>284</v>
      </c>
      <c r="L39" s="53" t="s">
        <v>345</v>
      </c>
      <c r="M39" s="62"/>
      <c r="N39" s="108"/>
      <c r="O39" s="12" t="s">
        <v>764</v>
      </c>
      <c r="P39" s="57">
        <v>84000</v>
      </c>
      <c r="Q39" s="57">
        <v>1008</v>
      </c>
      <c r="R39" s="57">
        <v>10472</v>
      </c>
      <c r="S39" s="52">
        <v>323407</v>
      </c>
      <c r="T39" s="53" t="s">
        <v>731</v>
      </c>
      <c r="U39" s="64"/>
      <c r="V39" s="53">
        <v>84000</v>
      </c>
      <c r="W39" s="80"/>
      <c r="X39" s="53"/>
    </row>
    <row r="40" spans="1:28" ht="141.75" customHeight="1" x14ac:dyDescent="0.25">
      <c r="A40" s="52">
        <v>38</v>
      </c>
      <c r="B40" s="52" t="s">
        <v>156</v>
      </c>
      <c r="C40" s="52" t="s">
        <v>56</v>
      </c>
      <c r="D40" s="57">
        <v>572000</v>
      </c>
      <c r="E40" s="57">
        <v>14440</v>
      </c>
      <c r="F40" s="53" t="s">
        <v>229</v>
      </c>
      <c r="G40" s="53" t="s">
        <v>237</v>
      </c>
      <c r="H40" s="52" t="s">
        <v>169</v>
      </c>
      <c r="I40" s="60" t="s">
        <v>173</v>
      </c>
      <c r="J40" s="52" t="s">
        <v>157</v>
      </c>
      <c r="K40" s="75" t="s">
        <v>276</v>
      </c>
      <c r="L40" s="53" t="s">
        <v>761</v>
      </c>
      <c r="M40" s="62"/>
      <c r="N40" s="41" t="s">
        <v>760</v>
      </c>
      <c r="O40" s="12" t="s">
        <v>765</v>
      </c>
      <c r="P40" s="57">
        <v>382000</v>
      </c>
      <c r="Q40" s="57">
        <v>3126.47</v>
      </c>
      <c r="R40" s="110">
        <v>10495.09</v>
      </c>
      <c r="S40" s="52">
        <v>469249</v>
      </c>
      <c r="T40" s="53" t="s">
        <v>548</v>
      </c>
      <c r="U40" s="64"/>
      <c r="V40" s="68">
        <v>382000</v>
      </c>
      <c r="W40" s="68">
        <f>160000+30000</f>
        <v>190000</v>
      </c>
      <c r="X40" s="53"/>
    </row>
    <row r="41" spans="1:28" ht="72.75" hidden="1" customHeight="1" x14ac:dyDescent="0.25">
      <c r="A41" s="52">
        <v>39</v>
      </c>
      <c r="B41" s="52" t="s">
        <v>190</v>
      </c>
      <c r="C41" s="60" t="s">
        <v>333</v>
      </c>
      <c r="D41" s="57">
        <v>3506500</v>
      </c>
      <c r="E41" s="57"/>
      <c r="F41" s="53"/>
      <c r="G41" s="53"/>
      <c r="H41" s="61"/>
      <c r="I41" s="60"/>
      <c r="J41" s="52"/>
      <c r="K41" s="61" t="s">
        <v>12</v>
      </c>
      <c r="L41" s="53" t="s">
        <v>345</v>
      </c>
      <c r="M41" s="62"/>
      <c r="N41" s="41"/>
      <c r="O41" s="14" t="s">
        <v>813</v>
      </c>
      <c r="P41" s="57">
        <v>3506500</v>
      </c>
      <c r="Q41" s="57">
        <v>40533</v>
      </c>
      <c r="R41" s="141">
        <v>180</v>
      </c>
      <c r="S41" s="52"/>
      <c r="T41" s="53" t="s">
        <v>414</v>
      </c>
      <c r="U41" s="64"/>
      <c r="V41" s="68">
        <v>3506500</v>
      </c>
      <c r="W41" s="68"/>
      <c r="X41" s="53" t="s">
        <v>341</v>
      </c>
    </row>
    <row r="42" spans="1:28" ht="128.25" customHeight="1" x14ac:dyDescent="0.25">
      <c r="A42" s="52">
        <v>40</v>
      </c>
      <c r="B42" s="52" t="s">
        <v>351</v>
      </c>
      <c r="C42" s="60" t="s">
        <v>20</v>
      </c>
      <c r="D42" s="57">
        <v>1533000</v>
      </c>
      <c r="E42" s="57">
        <v>70900</v>
      </c>
      <c r="F42" s="53" t="s">
        <v>355</v>
      </c>
      <c r="G42" s="53" t="s">
        <v>369</v>
      </c>
      <c r="H42" s="52" t="s">
        <v>358</v>
      </c>
      <c r="I42" s="52" t="s">
        <v>352</v>
      </c>
      <c r="J42" s="52" t="s">
        <v>361</v>
      </c>
      <c r="K42" s="60" t="s">
        <v>543</v>
      </c>
      <c r="L42" s="60" t="s">
        <v>796</v>
      </c>
      <c r="M42" s="62"/>
      <c r="N42" s="133" t="s">
        <v>795</v>
      </c>
      <c r="O42" s="60" t="s">
        <v>807</v>
      </c>
      <c r="P42" s="57">
        <v>681000</v>
      </c>
      <c r="Q42" s="57">
        <v>13770</v>
      </c>
      <c r="R42" s="130">
        <v>45180</v>
      </c>
      <c r="S42" s="52"/>
      <c r="T42" s="64"/>
      <c r="U42" s="65"/>
      <c r="V42" s="68">
        <v>681000</v>
      </c>
      <c r="W42" s="80"/>
      <c r="X42" s="52"/>
    </row>
    <row r="43" spans="1:28" ht="63" customHeight="1" x14ac:dyDescent="0.25">
      <c r="A43" s="52">
        <v>41</v>
      </c>
      <c r="B43" s="52" t="s">
        <v>450</v>
      </c>
      <c r="C43" s="60" t="s">
        <v>20</v>
      </c>
      <c r="D43" s="57">
        <v>11017000</v>
      </c>
      <c r="E43" s="57">
        <v>335170</v>
      </c>
      <c r="F43" s="53" t="s">
        <v>356</v>
      </c>
      <c r="G43" s="53" t="s">
        <v>354</v>
      </c>
      <c r="H43" s="52" t="s">
        <v>359</v>
      </c>
      <c r="I43" s="52" t="s">
        <v>353</v>
      </c>
      <c r="J43" s="52" t="s">
        <v>362</v>
      </c>
      <c r="K43" s="61" t="s">
        <v>372</v>
      </c>
      <c r="L43" s="53" t="s">
        <v>345</v>
      </c>
      <c r="M43" s="62"/>
      <c r="N43" s="35"/>
      <c r="O43" s="60" t="s">
        <v>465</v>
      </c>
      <c r="P43" s="57">
        <v>7700000</v>
      </c>
      <c r="Q43" s="57">
        <v>335170</v>
      </c>
      <c r="R43" s="12"/>
      <c r="S43" s="52"/>
      <c r="T43" s="53" t="s">
        <v>552</v>
      </c>
      <c r="U43" s="65"/>
      <c r="V43" s="68">
        <v>7700000</v>
      </c>
      <c r="W43" s="68">
        <v>3317000</v>
      </c>
      <c r="X43" s="52"/>
    </row>
    <row r="44" spans="1:28" ht="84" customHeight="1" x14ac:dyDescent="0.25">
      <c r="A44" s="52">
        <v>42</v>
      </c>
      <c r="B44" s="52" t="s">
        <v>350</v>
      </c>
      <c r="C44" s="60" t="s">
        <v>20</v>
      </c>
      <c r="D44" s="57">
        <v>10805000</v>
      </c>
      <c r="E44" s="57">
        <v>335050</v>
      </c>
      <c r="F44" s="53" t="s">
        <v>357</v>
      </c>
      <c r="G44" s="53" t="s">
        <v>368</v>
      </c>
      <c r="H44" s="52" t="s">
        <v>360</v>
      </c>
      <c r="I44" s="52" t="s">
        <v>348</v>
      </c>
      <c r="J44" s="52" t="s">
        <v>363</v>
      </c>
      <c r="K44" s="60" t="s">
        <v>544</v>
      </c>
      <c r="L44" s="53" t="s">
        <v>345</v>
      </c>
      <c r="M44" s="81"/>
      <c r="N44" s="108"/>
      <c r="O44" s="52" t="s">
        <v>767</v>
      </c>
      <c r="P44" s="57">
        <f>5380000+2493500</f>
        <v>7873500</v>
      </c>
      <c r="Q44" s="57">
        <v>100515</v>
      </c>
      <c r="R44" s="57">
        <v>234535</v>
      </c>
      <c r="S44" s="14"/>
      <c r="T44" s="60" t="s">
        <v>634</v>
      </c>
      <c r="U44" s="82">
        <f>152000+1181000+4047000</f>
        <v>5380000</v>
      </c>
      <c r="V44" s="58">
        <v>5380000</v>
      </c>
      <c r="W44" s="17"/>
      <c r="X44" s="14"/>
    </row>
    <row r="45" spans="1:28" ht="60.75" customHeight="1" x14ac:dyDescent="0.25">
      <c r="A45" s="52">
        <v>43</v>
      </c>
      <c r="B45" s="52" t="s">
        <v>193</v>
      </c>
      <c r="C45" s="60" t="s">
        <v>20</v>
      </c>
      <c r="D45" s="57">
        <v>845500</v>
      </c>
      <c r="E45" s="57">
        <v>47275</v>
      </c>
      <c r="F45" s="53" t="s">
        <v>396</v>
      </c>
      <c r="G45" s="54" t="s">
        <v>17</v>
      </c>
      <c r="H45" s="52" t="s">
        <v>379</v>
      </c>
      <c r="I45" s="52" t="s">
        <v>395</v>
      </c>
      <c r="J45" s="52" t="s">
        <v>394</v>
      </c>
      <c r="K45" s="60" t="s">
        <v>573</v>
      </c>
      <c r="L45" s="53" t="s">
        <v>345</v>
      </c>
      <c r="M45" s="81"/>
      <c r="N45" s="40"/>
      <c r="O45" s="52" t="s">
        <v>576</v>
      </c>
      <c r="P45" s="57">
        <v>700000</v>
      </c>
      <c r="Q45" s="57">
        <v>47275</v>
      </c>
      <c r="R45" s="12"/>
      <c r="S45" s="52">
        <v>422032</v>
      </c>
      <c r="T45" s="53" t="s">
        <v>469</v>
      </c>
      <c r="U45" s="65"/>
      <c r="V45" s="68">
        <v>700000</v>
      </c>
      <c r="W45" s="68">
        <v>145000</v>
      </c>
      <c r="X45" s="53"/>
    </row>
    <row r="46" spans="1:28" ht="139.5" customHeight="1" x14ac:dyDescent="0.25">
      <c r="A46" s="52">
        <v>44</v>
      </c>
      <c r="B46" s="52" t="s">
        <v>351</v>
      </c>
      <c r="C46" s="52" t="s">
        <v>61</v>
      </c>
      <c r="D46" s="57">
        <v>5744000</v>
      </c>
      <c r="E46" s="57">
        <v>197320</v>
      </c>
      <c r="F46" s="53" t="s">
        <v>405</v>
      </c>
      <c r="G46" s="52" t="s">
        <v>382</v>
      </c>
      <c r="H46" s="52" t="s">
        <v>381</v>
      </c>
      <c r="I46" s="52" t="s">
        <v>404</v>
      </c>
      <c r="J46" s="52" t="s">
        <v>361</v>
      </c>
      <c r="K46" s="61" t="s">
        <v>415</v>
      </c>
      <c r="L46" s="53" t="s">
        <v>766</v>
      </c>
      <c r="M46" s="81"/>
      <c r="N46" s="140" t="s">
        <v>760</v>
      </c>
      <c r="O46" s="138" t="s">
        <v>728</v>
      </c>
      <c r="P46" s="57">
        <v>3333000</v>
      </c>
      <c r="Q46" s="57">
        <v>118936.11</v>
      </c>
      <c r="R46" s="110">
        <v>40380</v>
      </c>
      <c r="S46" s="52"/>
      <c r="T46" s="64"/>
      <c r="U46" s="65"/>
      <c r="V46" s="80"/>
      <c r="W46" s="80"/>
      <c r="X46" s="52"/>
    </row>
    <row r="47" spans="1:28" ht="154.5" customHeight="1" x14ac:dyDescent="0.25">
      <c r="A47" s="52">
        <v>45</v>
      </c>
      <c r="B47" s="52" t="s">
        <v>199</v>
      </c>
      <c r="C47" s="52" t="s">
        <v>20</v>
      </c>
      <c r="D47" s="57">
        <v>21910000</v>
      </c>
      <c r="E47" s="57">
        <v>444100</v>
      </c>
      <c r="F47" s="53" t="s">
        <v>529</v>
      </c>
      <c r="G47" s="60" t="s">
        <v>380</v>
      </c>
      <c r="H47" s="52" t="s">
        <v>378</v>
      </c>
      <c r="I47" s="52" t="s">
        <v>432</v>
      </c>
      <c r="J47" s="52" t="s">
        <v>493</v>
      </c>
      <c r="K47" s="60" t="s">
        <v>545</v>
      </c>
      <c r="L47" s="53" t="s">
        <v>345</v>
      </c>
      <c r="M47" s="81"/>
      <c r="N47" s="108"/>
      <c r="O47" s="117" t="s">
        <v>768</v>
      </c>
      <c r="P47" s="57">
        <v>21910000</v>
      </c>
      <c r="Q47" s="57">
        <v>444100</v>
      </c>
      <c r="R47" s="57">
        <v>80000</v>
      </c>
      <c r="S47" s="52"/>
      <c r="T47" s="53" t="s">
        <v>628</v>
      </c>
      <c r="U47" s="68">
        <v>21910000</v>
      </c>
      <c r="V47" s="68">
        <v>21000000</v>
      </c>
      <c r="W47" s="80"/>
      <c r="X47" s="52"/>
    </row>
    <row r="48" spans="1:28" ht="104.25" customHeight="1" x14ac:dyDescent="0.25">
      <c r="A48" s="52">
        <v>46</v>
      </c>
      <c r="B48" s="52" t="s">
        <v>195</v>
      </c>
      <c r="C48" s="52" t="s">
        <v>19</v>
      </c>
      <c r="D48" s="69">
        <v>2374000</v>
      </c>
      <c r="E48" s="57">
        <v>96220</v>
      </c>
      <c r="F48" s="53" t="s">
        <v>484</v>
      </c>
      <c r="G48" s="60" t="s">
        <v>387</v>
      </c>
      <c r="H48" s="52" t="s">
        <v>390</v>
      </c>
      <c r="I48" s="60" t="s">
        <v>477</v>
      </c>
      <c r="J48" s="52" t="s">
        <v>433</v>
      </c>
      <c r="K48" s="61" t="s">
        <v>506</v>
      </c>
      <c r="L48" s="53" t="s">
        <v>345</v>
      </c>
      <c r="M48" s="81"/>
      <c r="N48" s="114"/>
      <c r="O48" s="52" t="s">
        <v>651</v>
      </c>
      <c r="P48" s="57">
        <f>D48</f>
        <v>2374000</v>
      </c>
      <c r="Q48" s="57">
        <f>E48</f>
        <v>96220</v>
      </c>
      <c r="R48" s="14"/>
      <c r="S48" s="14"/>
      <c r="T48" s="89" t="s">
        <v>661</v>
      </c>
      <c r="U48" s="94">
        <v>2470220</v>
      </c>
      <c r="V48" s="68">
        <f>P48</f>
        <v>2374000</v>
      </c>
      <c r="W48" s="39"/>
      <c r="X48" s="14"/>
    </row>
    <row r="49" spans="1:24" ht="58.5" customHeight="1" x14ac:dyDescent="0.25">
      <c r="A49" s="52">
        <v>47</v>
      </c>
      <c r="B49" s="52" t="s">
        <v>386</v>
      </c>
      <c r="C49" s="52" t="s">
        <v>225</v>
      </c>
      <c r="D49" s="69">
        <v>716000</v>
      </c>
      <c r="E49" s="57">
        <v>40800</v>
      </c>
      <c r="F49" s="53" t="s">
        <v>536</v>
      </c>
      <c r="G49" s="60" t="s">
        <v>388</v>
      </c>
      <c r="H49" s="52" t="s">
        <v>391</v>
      </c>
      <c r="I49" s="60" t="s">
        <v>389</v>
      </c>
      <c r="J49" s="52" t="s">
        <v>434</v>
      </c>
      <c r="K49" s="61" t="s">
        <v>510</v>
      </c>
      <c r="L49" s="53" t="s">
        <v>345</v>
      </c>
      <c r="M49" s="76"/>
      <c r="N49" s="34"/>
      <c r="O49" s="79" t="s">
        <v>592</v>
      </c>
      <c r="P49" s="57">
        <v>716000</v>
      </c>
      <c r="Q49" s="57">
        <v>40800</v>
      </c>
      <c r="R49" s="63"/>
      <c r="S49" s="52" t="s">
        <v>625</v>
      </c>
      <c r="T49" s="53" t="s">
        <v>626</v>
      </c>
      <c r="U49" s="53">
        <v>756800</v>
      </c>
      <c r="V49" s="53">
        <f>D49</f>
        <v>716000</v>
      </c>
      <c r="W49" s="80"/>
      <c r="X49" s="52"/>
    </row>
    <row r="50" spans="1:24" ht="57.75" customHeight="1" x14ac:dyDescent="0.25">
      <c r="A50" s="52">
        <v>48</v>
      </c>
      <c r="B50" s="52" t="s">
        <v>392</v>
      </c>
      <c r="C50" s="52" t="s">
        <v>398</v>
      </c>
      <c r="D50" s="57">
        <v>703500</v>
      </c>
      <c r="E50" s="57">
        <v>40175</v>
      </c>
      <c r="F50" s="53" t="s">
        <v>530</v>
      </c>
      <c r="G50" s="52" t="s">
        <v>397</v>
      </c>
      <c r="H50" s="52" t="s">
        <v>393</v>
      </c>
      <c r="I50" s="60" t="s">
        <v>440</v>
      </c>
      <c r="J50" s="52" t="s">
        <v>439</v>
      </c>
      <c r="K50" s="60" t="s">
        <v>518</v>
      </c>
      <c r="L50" s="53" t="s">
        <v>345</v>
      </c>
      <c r="M50" s="81"/>
      <c r="N50" s="79" t="s">
        <v>680</v>
      </c>
      <c r="O50" s="63"/>
      <c r="P50" s="52"/>
      <c r="Q50" s="52"/>
      <c r="R50" s="52"/>
      <c r="S50" s="52">
        <v>441814</v>
      </c>
      <c r="T50" s="64"/>
      <c r="U50" s="65"/>
      <c r="V50" s="53"/>
      <c r="W50" s="80"/>
      <c r="X50" s="52"/>
    </row>
    <row r="51" spans="1:24" ht="58.5" customHeight="1" x14ac:dyDescent="0.25">
      <c r="A51" s="52">
        <v>49</v>
      </c>
      <c r="B51" s="52" t="s">
        <v>435</v>
      </c>
      <c r="C51" s="52" t="s">
        <v>119</v>
      </c>
      <c r="D51" s="57">
        <v>976000</v>
      </c>
      <c r="E51" s="57">
        <v>53800</v>
      </c>
      <c r="F51" s="53" t="s">
        <v>535</v>
      </c>
      <c r="G51" s="52" t="s">
        <v>436</v>
      </c>
      <c r="H51" s="52" t="s">
        <v>481</v>
      </c>
      <c r="I51" s="60" t="s">
        <v>437</v>
      </c>
      <c r="J51" s="52" t="s">
        <v>438</v>
      </c>
      <c r="K51" s="61" t="s">
        <v>509</v>
      </c>
      <c r="L51" s="53" t="s">
        <v>763</v>
      </c>
      <c r="M51" s="81"/>
      <c r="N51" s="41" t="s">
        <v>760</v>
      </c>
      <c r="O51" s="52" t="s">
        <v>769</v>
      </c>
      <c r="P51" s="57">
        <v>666000</v>
      </c>
      <c r="Q51" s="57">
        <v>41900</v>
      </c>
      <c r="R51" s="110">
        <v>11900</v>
      </c>
      <c r="S51" s="14"/>
      <c r="T51" s="88" t="s">
        <v>756</v>
      </c>
      <c r="U51" s="27"/>
      <c r="V51" s="53">
        <v>660000</v>
      </c>
      <c r="W51" s="80"/>
      <c r="X51" s="52" t="s">
        <v>633</v>
      </c>
    </row>
    <row r="52" spans="1:24" ht="58.5" customHeight="1" x14ac:dyDescent="0.25">
      <c r="A52" s="14">
        <v>50</v>
      </c>
      <c r="B52" s="14" t="s">
        <v>445</v>
      </c>
      <c r="C52" s="14" t="s">
        <v>20</v>
      </c>
      <c r="D52" s="31">
        <v>1644000</v>
      </c>
      <c r="E52" s="31">
        <v>74320</v>
      </c>
      <c r="F52" s="16" t="s">
        <v>534</v>
      </c>
      <c r="G52" s="14" t="s">
        <v>446</v>
      </c>
      <c r="H52" s="14" t="s">
        <v>447</v>
      </c>
      <c r="I52" s="32" t="s">
        <v>448</v>
      </c>
      <c r="J52" s="15" t="s">
        <v>449</v>
      </c>
      <c r="K52" s="23" t="s">
        <v>540</v>
      </c>
      <c r="L52" s="16" t="s">
        <v>332</v>
      </c>
      <c r="M52" s="18" t="s">
        <v>772</v>
      </c>
      <c r="N52" s="118"/>
      <c r="O52" s="111"/>
      <c r="P52" s="14"/>
      <c r="Q52" s="14"/>
      <c r="R52" s="14"/>
      <c r="S52" s="14"/>
      <c r="T52" s="24"/>
      <c r="U52" s="27"/>
      <c r="V52" s="53"/>
      <c r="W52" s="39"/>
      <c r="X52" s="14"/>
    </row>
    <row r="53" spans="1:24" ht="58.5" customHeight="1" x14ac:dyDescent="0.25">
      <c r="A53" s="52">
        <v>51</v>
      </c>
      <c r="B53" s="52" t="s">
        <v>450</v>
      </c>
      <c r="C53" s="52" t="s">
        <v>20</v>
      </c>
      <c r="D53" s="57">
        <v>27065000</v>
      </c>
      <c r="E53" s="57">
        <v>495650</v>
      </c>
      <c r="F53" s="53" t="s">
        <v>485</v>
      </c>
      <c r="G53" s="52" t="s">
        <v>451</v>
      </c>
      <c r="H53" s="52" t="s">
        <v>452</v>
      </c>
      <c r="I53" s="60" t="s">
        <v>453</v>
      </c>
      <c r="J53" s="52" t="s">
        <v>454</v>
      </c>
      <c r="K53" s="60" t="s">
        <v>616</v>
      </c>
      <c r="L53" s="53" t="s">
        <v>345</v>
      </c>
      <c r="M53" s="81"/>
      <c r="N53" s="34"/>
      <c r="O53" s="52" t="s">
        <v>577</v>
      </c>
      <c r="P53" s="57">
        <v>27065000</v>
      </c>
      <c r="Q53" s="57">
        <v>495650</v>
      </c>
      <c r="R53" s="119"/>
      <c r="S53" s="52"/>
      <c r="T53" s="53" t="s">
        <v>627</v>
      </c>
      <c r="U53" s="53">
        <v>27560600</v>
      </c>
      <c r="V53" s="53">
        <f>D53</f>
        <v>27065000</v>
      </c>
      <c r="W53" s="80"/>
      <c r="X53" s="52"/>
    </row>
    <row r="54" spans="1:24" ht="58.5" customHeight="1" x14ac:dyDescent="0.25">
      <c r="A54" s="48">
        <v>52</v>
      </c>
      <c r="B54" s="48" t="s">
        <v>793</v>
      </c>
      <c r="C54" s="48" t="s">
        <v>455</v>
      </c>
      <c r="D54" s="51">
        <v>2062000</v>
      </c>
      <c r="E54" s="51">
        <v>86860</v>
      </c>
      <c r="F54" s="42" t="s">
        <v>533</v>
      </c>
      <c r="G54" s="48" t="s">
        <v>456</v>
      </c>
      <c r="H54" s="48" t="s">
        <v>457</v>
      </c>
      <c r="I54" s="88" t="s">
        <v>458</v>
      </c>
      <c r="J54" s="48" t="s">
        <v>459</v>
      </c>
      <c r="K54" s="88" t="s">
        <v>517</v>
      </c>
      <c r="L54" s="42" t="s">
        <v>763</v>
      </c>
      <c r="M54" s="101"/>
      <c r="N54" s="140" t="s">
        <v>760</v>
      </c>
      <c r="O54" s="48" t="s">
        <v>700</v>
      </c>
      <c r="P54" s="51">
        <v>1342600</v>
      </c>
      <c r="Q54" s="57">
        <v>26058</v>
      </c>
      <c r="R54" s="110">
        <v>60802</v>
      </c>
      <c r="S54" s="48"/>
      <c r="T54" s="88" t="s">
        <v>792</v>
      </c>
      <c r="U54" s="102"/>
      <c r="V54" s="90">
        <f>671300+671300</f>
        <v>1342600</v>
      </c>
      <c r="W54" s="39"/>
      <c r="X54" s="14"/>
    </row>
    <row r="55" spans="1:24" ht="58.5" customHeight="1" x14ac:dyDescent="0.25">
      <c r="A55" s="52">
        <v>53</v>
      </c>
      <c r="B55" s="52" t="s">
        <v>138</v>
      </c>
      <c r="C55" s="52" t="s">
        <v>20</v>
      </c>
      <c r="D55" s="57">
        <v>4212000</v>
      </c>
      <c r="E55" s="57">
        <v>151360</v>
      </c>
      <c r="F55" s="53" t="s">
        <v>483</v>
      </c>
      <c r="G55" s="52" t="s">
        <v>460</v>
      </c>
      <c r="H55" s="52" t="s">
        <v>461</v>
      </c>
      <c r="I55" s="60" t="s">
        <v>462</v>
      </c>
      <c r="J55" s="52" t="s">
        <v>505</v>
      </c>
      <c r="K55" s="60" t="s">
        <v>673</v>
      </c>
      <c r="L55" s="53" t="s">
        <v>770</v>
      </c>
      <c r="M55" s="36"/>
      <c r="N55" s="106" t="s">
        <v>751</v>
      </c>
      <c r="O55" s="52" t="s">
        <v>752</v>
      </c>
      <c r="P55" s="57">
        <v>2900000</v>
      </c>
      <c r="Q55" s="57">
        <v>130336</v>
      </c>
      <c r="R55" s="14"/>
      <c r="S55" s="14"/>
      <c r="T55" s="24"/>
      <c r="U55" s="27"/>
      <c r="V55" s="39"/>
      <c r="W55" s="39"/>
      <c r="X55" s="14"/>
    </row>
    <row r="56" spans="1:24" ht="58.5" customHeight="1" x14ac:dyDescent="0.25">
      <c r="A56" s="52">
        <v>54</v>
      </c>
      <c r="B56" s="52" t="s">
        <v>476</v>
      </c>
      <c r="C56" s="52" t="s">
        <v>20</v>
      </c>
      <c r="D56" s="57">
        <v>14646750</v>
      </c>
      <c r="E56" s="57">
        <v>371468</v>
      </c>
      <c r="F56" s="53" t="s">
        <v>532</v>
      </c>
      <c r="G56" s="52" t="s">
        <v>475</v>
      </c>
      <c r="H56" s="52" t="s">
        <v>474</v>
      </c>
      <c r="I56" s="60" t="s">
        <v>473</v>
      </c>
      <c r="J56" s="52" t="s">
        <v>508</v>
      </c>
      <c r="K56" s="60" t="s">
        <v>617</v>
      </c>
      <c r="L56" s="53" t="s">
        <v>345</v>
      </c>
      <c r="M56" s="81"/>
      <c r="N56" s="108"/>
      <c r="O56" s="111"/>
      <c r="P56" s="57">
        <v>14646750</v>
      </c>
      <c r="Q56" s="14"/>
      <c r="R56" s="120"/>
      <c r="S56" s="52"/>
      <c r="T56" s="68">
        <v>14646750</v>
      </c>
      <c r="U56" s="68">
        <v>14646750</v>
      </c>
      <c r="V56" s="68">
        <f>D56</f>
        <v>14646750</v>
      </c>
      <c r="W56" s="53"/>
      <c r="X56" s="52"/>
    </row>
    <row r="57" spans="1:24" ht="58.5" customHeight="1" x14ac:dyDescent="0.25">
      <c r="A57" s="14">
        <v>55</v>
      </c>
      <c r="B57" s="14" t="s">
        <v>286</v>
      </c>
      <c r="C57" s="14" t="s">
        <v>20</v>
      </c>
      <c r="D57" s="31">
        <v>10703621</v>
      </c>
      <c r="E57" s="31">
        <v>332036</v>
      </c>
      <c r="F57" s="16" t="s">
        <v>531</v>
      </c>
      <c r="G57" s="14" t="s">
        <v>538</v>
      </c>
      <c r="H57" s="14" t="s">
        <v>537</v>
      </c>
      <c r="I57" s="43">
        <v>45627</v>
      </c>
      <c r="J57" s="14" t="s">
        <v>513</v>
      </c>
      <c r="K57" s="32" t="s">
        <v>672</v>
      </c>
      <c r="L57" s="134" t="s">
        <v>801</v>
      </c>
      <c r="M57" s="23"/>
      <c r="N57" s="121"/>
      <c r="O57" s="111"/>
      <c r="P57" s="14"/>
      <c r="Q57" s="14"/>
      <c r="R57" s="14"/>
      <c r="S57" s="14"/>
      <c r="T57" s="24"/>
      <c r="U57" s="27"/>
      <c r="V57" s="39"/>
      <c r="W57" s="39"/>
      <c r="X57" s="14"/>
    </row>
    <row r="58" spans="1:24" ht="58.5" customHeight="1" x14ac:dyDescent="0.25">
      <c r="A58" s="52">
        <v>56</v>
      </c>
      <c r="B58" s="52" t="s">
        <v>514</v>
      </c>
      <c r="C58" s="52" t="s">
        <v>515</v>
      </c>
      <c r="D58" s="57">
        <v>710000</v>
      </c>
      <c r="E58" s="57">
        <v>40500</v>
      </c>
      <c r="F58" s="53" t="s">
        <v>571</v>
      </c>
      <c r="G58" s="52" t="s">
        <v>516</v>
      </c>
      <c r="H58" s="52" t="s">
        <v>554</v>
      </c>
      <c r="I58" s="60" t="s">
        <v>437</v>
      </c>
      <c r="J58" s="52" t="s">
        <v>553</v>
      </c>
      <c r="K58" s="60" t="s">
        <v>575</v>
      </c>
      <c r="L58" s="53" t="s">
        <v>345</v>
      </c>
      <c r="M58" s="76"/>
      <c r="N58" s="50"/>
      <c r="O58" s="52" t="s">
        <v>599</v>
      </c>
      <c r="P58" s="57">
        <v>500000</v>
      </c>
      <c r="Q58" s="57">
        <v>40500</v>
      </c>
      <c r="R58" s="12"/>
      <c r="S58" s="52">
        <v>642381</v>
      </c>
      <c r="T58" s="61" t="s">
        <v>601</v>
      </c>
      <c r="U58" s="66">
        <v>540500</v>
      </c>
      <c r="V58" s="68">
        <v>500000</v>
      </c>
      <c r="W58" s="68"/>
      <c r="X58" s="52"/>
    </row>
    <row r="59" spans="1:24" ht="88.5" customHeight="1" x14ac:dyDescent="0.25">
      <c r="A59" s="52">
        <v>57</v>
      </c>
      <c r="B59" s="52" t="s">
        <v>224</v>
      </c>
      <c r="C59" s="52" t="s">
        <v>225</v>
      </c>
      <c r="D59" s="57">
        <v>1000000</v>
      </c>
      <c r="E59" s="57">
        <v>55000</v>
      </c>
      <c r="F59" s="52" t="s">
        <v>567</v>
      </c>
      <c r="G59" s="52" t="s">
        <v>566</v>
      </c>
      <c r="H59" s="52" t="s">
        <v>570</v>
      </c>
      <c r="I59" s="52" t="s">
        <v>569</v>
      </c>
      <c r="J59" s="52" t="s">
        <v>568</v>
      </c>
      <c r="K59" s="52" t="s">
        <v>574</v>
      </c>
      <c r="L59" s="132" t="s">
        <v>791</v>
      </c>
      <c r="M59" s="52"/>
      <c r="N59" s="106" t="s">
        <v>802</v>
      </c>
      <c r="O59" s="52" t="s">
        <v>750</v>
      </c>
      <c r="P59" s="57">
        <v>1000000</v>
      </c>
      <c r="Q59" s="57">
        <v>55000</v>
      </c>
      <c r="R59" s="52"/>
      <c r="S59" s="52">
        <v>255882</v>
      </c>
      <c r="T59" s="52"/>
      <c r="U59" s="52"/>
      <c r="V59" s="52"/>
      <c r="W59" s="52"/>
      <c r="X59" s="52"/>
    </row>
    <row r="60" spans="1:24" ht="38.25" x14ac:dyDescent="0.25">
      <c r="A60" s="14">
        <v>58</v>
      </c>
      <c r="B60" s="14" t="s">
        <v>701</v>
      </c>
      <c r="C60" s="14" t="s">
        <v>20</v>
      </c>
      <c r="D60" s="107">
        <v>10002000</v>
      </c>
      <c r="E60" s="107">
        <v>325020</v>
      </c>
      <c r="F60" s="23" t="s">
        <v>710</v>
      </c>
      <c r="G60" s="23" t="s">
        <v>826</v>
      </c>
      <c r="H60" s="26"/>
      <c r="I60" s="26"/>
      <c r="J60" s="23" t="s">
        <v>707</v>
      </c>
      <c r="K60" s="26" t="s">
        <v>702</v>
      </c>
      <c r="L60" s="26" t="s">
        <v>612</v>
      </c>
      <c r="M60" s="23" t="s">
        <v>774</v>
      </c>
      <c r="N60" s="23" t="s">
        <v>746</v>
      </c>
      <c r="O60" s="26"/>
      <c r="P60" s="26"/>
      <c r="Q60" s="26"/>
      <c r="R60" s="26"/>
      <c r="S60" s="26"/>
      <c r="T60" s="26"/>
      <c r="U60" s="26"/>
      <c r="V60" s="26"/>
      <c r="W60" s="26"/>
      <c r="X60" s="26"/>
    </row>
    <row r="61" spans="1:24" ht="38.25" x14ac:dyDescent="0.25">
      <c r="A61" s="26">
        <v>59</v>
      </c>
      <c r="B61" s="14" t="s">
        <v>703</v>
      </c>
      <c r="C61" s="14" t="s">
        <v>20</v>
      </c>
      <c r="D61" s="107">
        <v>54658000</v>
      </c>
      <c r="E61" s="107">
        <v>748200</v>
      </c>
      <c r="F61" s="23" t="s">
        <v>711</v>
      </c>
      <c r="G61" s="23" t="s">
        <v>827</v>
      </c>
      <c r="H61" s="26"/>
      <c r="I61" s="26"/>
      <c r="J61" s="23" t="s">
        <v>708</v>
      </c>
      <c r="K61" s="26" t="s">
        <v>704</v>
      </c>
      <c r="L61" s="26" t="s">
        <v>612</v>
      </c>
      <c r="M61" s="23" t="s">
        <v>773</v>
      </c>
      <c r="N61" s="23" t="s">
        <v>746</v>
      </c>
      <c r="O61" s="26"/>
      <c r="P61" s="26"/>
      <c r="Q61" s="26"/>
      <c r="R61" s="26"/>
      <c r="S61" s="26" t="s">
        <v>625</v>
      </c>
      <c r="T61" s="26"/>
      <c r="U61" s="26"/>
      <c r="V61" s="26"/>
      <c r="W61" s="26"/>
      <c r="X61" s="26"/>
    </row>
    <row r="62" spans="1:24" ht="38.25" hidden="1" x14ac:dyDescent="0.25">
      <c r="A62" s="26">
        <v>60</v>
      </c>
      <c r="B62" s="14" t="s">
        <v>705</v>
      </c>
      <c r="C62" s="14" t="s">
        <v>119</v>
      </c>
      <c r="D62" s="25">
        <v>32000</v>
      </c>
      <c r="E62" s="25">
        <v>10000</v>
      </c>
      <c r="F62" s="23" t="s">
        <v>712</v>
      </c>
      <c r="G62" s="23"/>
      <c r="H62" s="26"/>
      <c r="I62" s="26"/>
      <c r="J62" s="23" t="s">
        <v>709</v>
      </c>
      <c r="K62" s="26" t="s">
        <v>706</v>
      </c>
      <c r="L62" s="26" t="s">
        <v>724</v>
      </c>
      <c r="M62" s="26"/>
      <c r="N62" s="23" t="s">
        <v>787</v>
      </c>
      <c r="O62" s="26"/>
      <c r="P62" s="26"/>
      <c r="Q62" s="26"/>
      <c r="R62" s="26"/>
      <c r="S62" s="26">
        <v>391317</v>
      </c>
      <c r="T62" s="61"/>
      <c r="U62" s="61"/>
      <c r="V62" s="61"/>
      <c r="W62" s="61"/>
      <c r="X62" s="61"/>
    </row>
    <row r="63" spans="1:24" ht="38.25" x14ac:dyDescent="0.25">
      <c r="A63" s="26">
        <v>61</v>
      </c>
      <c r="B63" s="14" t="s">
        <v>198</v>
      </c>
      <c r="C63" s="14" t="s">
        <v>20</v>
      </c>
      <c r="D63" s="25">
        <v>4688000</v>
      </c>
      <c r="E63" s="25">
        <v>165640</v>
      </c>
      <c r="F63" s="23" t="s">
        <v>713</v>
      </c>
      <c r="G63" s="23" t="s">
        <v>828</v>
      </c>
      <c r="H63" s="26"/>
      <c r="I63" s="26"/>
      <c r="J63" s="23" t="s">
        <v>714</v>
      </c>
      <c r="K63" s="26" t="s">
        <v>715</v>
      </c>
      <c r="L63" s="26" t="s">
        <v>612</v>
      </c>
      <c r="M63" s="23" t="s">
        <v>775</v>
      </c>
      <c r="N63" s="23" t="s">
        <v>746</v>
      </c>
      <c r="O63" s="26"/>
      <c r="P63" s="26"/>
      <c r="Q63" s="26"/>
      <c r="R63" s="26"/>
      <c r="S63" s="61"/>
      <c r="T63" s="61"/>
      <c r="U63" s="61"/>
      <c r="V63" s="61"/>
      <c r="W63" s="61"/>
      <c r="X63" s="61"/>
    </row>
    <row r="64" spans="1:24" ht="51" x14ac:dyDescent="0.25">
      <c r="A64" s="26">
        <v>62</v>
      </c>
      <c r="B64" s="14" t="s">
        <v>716</v>
      </c>
      <c r="C64" s="14" t="s">
        <v>717</v>
      </c>
      <c r="D64" s="25">
        <v>56000</v>
      </c>
      <c r="E64" s="25">
        <v>10000</v>
      </c>
      <c r="F64" s="23" t="s">
        <v>718</v>
      </c>
      <c r="G64" s="23" t="s">
        <v>829</v>
      </c>
      <c r="H64" s="26"/>
      <c r="I64" s="26"/>
      <c r="J64" s="23" t="s">
        <v>719</v>
      </c>
      <c r="K64" s="26" t="s">
        <v>723</v>
      </c>
      <c r="L64" s="26" t="s">
        <v>724</v>
      </c>
      <c r="M64" s="26"/>
      <c r="N64" s="23" t="s">
        <v>818</v>
      </c>
      <c r="O64" s="26"/>
      <c r="P64" s="26"/>
      <c r="Q64" s="25"/>
      <c r="R64" s="26"/>
      <c r="S64" s="26"/>
      <c r="T64" s="26"/>
      <c r="U64" s="26"/>
      <c r="V64" s="26"/>
      <c r="W64" s="26"/>
      <c r="X64" s="26"/>
    </row>
    <row r="65" spans="1:24" ht="38.25" x14ac:dyDescent="0.25">
      <c r="A65" s="26">
        <v>63</v>
      </c>
      <c r="B65" s="14" t="s">
        <v>734</v>
      </c>
      <c r="C65" s="14" t="s">
        <v>56</v>
      </c>
      <c r="D65" s="25">
        <v>110000</v>
      </c>
      <c r="E65" s="25">
        <v>10500</v>
      </c>
      <c r="F65" s="23" t="s">
        <v>735</v>
      </c>
      <c r="G65" s="23" t="s">
        <v>830</v>
      </c>
      <c r="H65" s="24"/>
      <c r="I65" s="24"/>
      <c r="J65" s="23" t="s">
        <v>736</v>
      </c>
      <c r="K65" s="131" t="s">
        <v>789</v>
      </c>
      <c r="L65" s="26" t="s">
        <v>780</v>
      </c>
      <c r="M65" s="24"/>
      <c r="N65" s="23" t="s">
        <v>819</v>
      </c>
      <c r="O65" s="24"/>
      <c r="P65" s="122"/>
      <c r="Q65" s="24"/>
      <c r="R65" s="24"/>
      <c r="S65" s="24"/>
      <c r="T65" s="24"/>
      <c r="U65" s="24"/>
      <c r="V65" s="24"/>
      <c r="W65" s="24"/>
      <c r="X65" s="24"/>
    </row>
    <row r="66" spans="1:24" ht="38.25" x14ac:dyDescent="0.25">
      <c r="A66" s="26">
        <v>64</v>
      </c>
      <c r="B66" s="14" t="s">
        <v>737</v>
      </c>
      <c r="C66" s="14" t="s">
        <v>20</v>
      </c>
      <c r="D66" s="25">
        <v>1136000</v>
      </c>
      <c r="E66" s="25">
        <v>59080</v>
      </c>
      <c r="F66" s="23" t="s">
        <v>738</v>
      </c>
      <c r="G66" s="23" t="s">
        <v>831</v>
      </c>
      <c r="H66" s="24"/>
      <c r="I66" s="24"/>
      <c r="J66" s="23" t="s">
        <v>739</v>
      </c>
      <c r="K66" s="46" t="s">
        <v>785</v>
      </c>
      <c r="L66" s="26" t="s">
        <v>780</v>
      </c>
      <c r="N66" s="23" t="s">
        <v>805</v>
      </c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spans="1:24" ht="76.5" x14ac:dyDescent="0.25">
      <c r="A67" s="26">
        <v>65</v>
      </c>
      <c r="B67" s="14" t="s">
        <v>740</v>
      </c>
      <c r="C67" s="14" t="s">
        <v>20</v>
      </c>
      <c r="D67" s="25">
        <v>1564000</v>
      </c>
      <c r="E67" s="25">
        <v>71920</v>
      </c>
      <c r="F67" s="23" t="s">
        <v>741</v>
      </c>
      <c r="G67" s="23" t="s">
        <v>832</v>
      </c>
      <c r="H67" s="24"/>
      <c r="I67" s="24"/>
      <c r="J67" s="23" t="s">
        <v>742</v>
      </c>
      <c r="K67" s="46" t="s">
        <v>786</v>
      </c>
      <c r="L67" s="26" t="s">
        <v>612</v>
      </c>
      <c r="M67" s="23" t="s">
        <v>803</v>
      </c>
      <c r="N67" s="23" t="s">
        <v>804</v>
      </c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spans="1:24" ht="38.25" x14ac:dyDescent="0.25">
      <c r="A68" s="26">
        <v>66</v>
      </c>
      <c r="B68" s="14" t="s">
        <v>743</v>
      </c>
      <c r="C68" s="14" t="s">
        <v>339</v>
      </c>
      <c r="D68" s="25">
        <v>268000</v>
      </c>
      <c r="E68" s="25">
        <v>18400</v>
      </c>
      <c r="F68" s="23" t="s">
        <v>744</v>
      </c>
      <c r="G68" s="23" t="s">
        <v>833</v>
      </c>
      <c r="H68" s="24"/>
      <c r="I68" s="24"/>
      <c r="J68" s="23" t="s">
        <v>745</v>
      </c>
      <c r="K68" s="46" t="s">
        <v>784</v>
      </c>
      <c r="L68" s="26" t="s">
        <v>724</v>
      </c>
      <c r="M68" s="24"/>
      <c r="N68" s="23" t="s">
        <v>790</v>
      </c>
      <c r="O68" s="24"/>
      <c r="P68" s="24"/>
      <c r="Q68" s="24"/>
      <c r="R68" s="24"/>
      <c r="S68" s="24"/>
      <c r="T68" s="24"/>
      <c r="U68" s="24"/>
      <c r="V68" s="24"/>
      <c r="W68" s="24"/>
      <c r="X68" s="24"/>
    </row>
  </sheetData>
  <autoFilter ref="A2:X68" xr:uid="{00000000-0009-0000-0000-000002000000}"/>
  <mergeCells count="1">
    <mergeCell ref="A1:X1"/>
  </mergeCells>
  <pageMargins left="0.25" right="0.25" top="0.75" bottom="0.75" header="0.3" footer="0.3"/>
  <pageSetup paperSize="9" scale="3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  <pageSetUpPr fitToPage="1"/>
  </sheetPr>
  <dimension ref="A1:U9"/>
  <sheetViews>
    <sheetView tabSelected="1" topLeftCell="B1" zoomScale="85" zoomScaleNormal="85" workbookViewId="0">
      <selection activeCell="I5" sqref="I5"/>
    </sheetView>
  </sheetViews>
  <sheetFormatPr defaultRowHeight="15" x14ac:dyDescent="0.25"/>
  <cols>
    <col min="1" max="1" width="7.140625" customWidth="1"/>
    <col min="2" max="2" width="17.28515625" customWidth="1"/>
    <col min="3" max="3" width="14.28515625" customWidth="1"/>
    <col min="4" max="4" width="12.85546875" customWidth="1"/>
    <col min="5" max="5" width="11.140625" customWidth="1"/>
    <col min="6" max="6" width="14.5703125" customWidth="1"/>
    <col min="7" max="7" width="14.85546875" customWidth="1"/>
    <col min="8" max="8" width="10.28515625" customWidth="1"/>
    <col min="9" max="9" width="13.7109375" customWidth="1"/>
    <col min="10" max="10" width="19" customWidth="1"/>
    <col min="11" max="11" width="14.85546875" customWidth="1"/>
    <col min="12" max="12" width="14" customWidth="1"/>
    <col min="13" max="13" width="18.5703125" customWidth="1"/>
    <col min="14" max="14" width="14.7109375" customWidth="1"/>
    <col min="15" max="15" width="16.28515625" customWidth="1"/>
    <col min="16" max="16" width="12.28515625" customWidth="1"/>
    <col min="19" max="20" width="10.85546875" customWidth="1"/>
  </cols>
  <sheetData>
    <row r="1" spans="1:21" x14ac:dyDescent="0.25">
      <c r="A1" s="148" t="s">
        <v>383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</row>
    <row r="2" spans="1:21" ht="63.75" x14ac:dyDescent="0.25">
      <c r="A2" s="10" t="s">
        <v>0</v>
      </c>
      <c r="B2" s="10" t="s">
        <v>1</v>
      </c>
      <c r="C2" s="10" t="s">
        <v>18</v>
      </c>
      <c r="D2" s="11" t="s">
        <v>124</v>
      </c>
      <c r="E2" s="11" t="s">
        <v>125</v>
      </c>
      <c r="F2" s="11" t="s">
        <v>496</v>
      </c>
      <c r="G2" s="11" t="s">
        <v>16</v>
      </c>
      <c r="H2" s="11" t="s">
        <v>7</v>
      </c>
      <c r="I2" s="10" t="s">
        <v>269</v>
      </c>
      <c r="J2" s="11" t="s">
        <v>11</v>
      </c>
      <c r="K2" s="11" t="s">
        <v>343</v>
      </c>
      <c r="L2" s="11" t="s">
        <v>316</v>
      </c>
      <c r="M2" s="11" t="s">
        <v>364</v>
      </c>
      <c r="N2" s="10" t="s">
        <v>782</v>
      </c>
      <c r="O2" s="10" t="s">
        <v>376</v>
      </c>
      <c r="P2" s="10" t="s">
        <v>377</v>
      </c>
      <c r="Q2" s="10" t="s">
        <v>375</v>
      </c>
      <c r="R2" s="10" t="s">
        <v>318</v>
      </c>
      <c r="S2" s="11" t="s">
        <v>821</v>
      </c>
      <c r="T2" s="11" t="s">
        <v>312</v>
      </c>
      <c r="U2" s="11" t="s">
        <v>274</v>
      </c>
    </row>
    <row r="3" spans="1:21" ht="110.25" customHeight="1" x14ac:dyDescent="0.25">
      <c r="A3" s="52">
        <v>1</v>
      </c>
      <c r="B3" s="52" t="s">
        <v>630</v>
      </c>
      <c r="C3" s="60" t="s">
        <v>410</v>
      </c>
      <c r="D3" s="57">
        <v>11830500</v>
      </c>
      <c r="E3" s="57">
        <v>82153</v>
      </c>
      <c r="F3" s="153" t="s">
        <v>346</v>
      </c>
      <c r="G3" s="53" t="s">
        <v>347</v>
      </c>
      <c r="H3" s="60" t="s">
        <v>348</v>
      </c>
      <c r="I3" s="52" t="s">
        <v>349</v>
      </c>
      <c r="J3" s="53" t="s">
        <v>494</v>
      </c>
      <c r="K3" s="99" t="s">
        <v>671</v>
      </c>
      <c r="L3" s="93" t="s">
        <v>778</v>
      </c>
      <c r="M3" s="79"/>
      <c r="N3" s="52" t="s">
        <v>668</v>
      </c>
      <c r="O3" s="57">
        <v>8985000</v>
      </c>
      <c r="P3" s="57">
        <v>293753.98</v>
      </c>
      <c r="Q3" s="14"/>
      <c r="R3" s="14"/>
      <c r="S3" s="24"/>
      <c r="T3" s="27"/>
      <c r="U3" s="14"/>
    </row>
    <row r="4" spans="1:21" ht="97.5" hidden="1" customHeight="1" x14ac:dyDescent="0.25">
      <c r="A4" s="61">
        <v>2</v>
      </c>
      <c r="B4" s="60" t="s">
        <v>631</v>
      </c>
      <c r="C4" s="60" t="s">
        <v>441</v>
      </c>
      <c r="D4" s="74">
        <v>11241200</v>
      </c>
      <c r="E4" s="83">
        <v>337412</v>
      </c>
      <c r="F4" s="154" t="s">
        <v>444</v>
      </c>
      <c r="G4" s="60" t="s">
        <v>443</v>
      </c>
      <c r="H4" s="61">
        <v>2024</v>
      </c>
      <c r="I4" s="60" t="s">
        <v>442</v>
      </c>
      <c r="J4" s="53" t="s">
        <v>547</v>
      </c>
      <c r="K4" s="60" t="s">
        <v>641</v>
      </c>
      <c r="L4" s="44"/>
      <c r="M4" s="41"/>
      <c r="N4" s="32" t="s">
        <v>629</v>
      </c>
      <c r="O4" s="24"/>
      <c r="P4" s="24"/>
      <c r="Q4" s="24"/>
      <c r="R4" s="24"/>
      <c r="S4" s="28"/>
      <c r="T4" s="28"/>
      <c r="U4" s="28"/>
    </row>
    <row r="5" spans="1:21" ht="99.75" customHeight="1" x14ac:dyDescent="0.25">
      <c r="A5" s="61">
        <v>3</v>
      </c>
      <c r="B5" s="60" t="s">
        <v>670</v>
      </c>
      <c r="C5" s="60" t="s">
        <v>20</v>
      </c>
      <c r="D5" s="74">
        <v>7007351</v>
      </c>
      <c r="E5" s="64"/>
      <c r="F5" s="155" t="s">
        <v>538</v>
      </c>
      <c r="G5" s="64"/>
      <c r="H5" s="61" t="s">
        <v>297</v>
      </c>
      <c r="I5" s="64"/>
      <c r="J5" s="53" t="s">
        <v>539</v>
      </c>
      <c r="K5" s="99" t="s">
        <v>522</v>
      </c>
      <c r="L5" s="93" t="s">
        <v>800</v>
      </c>
      <c r="M5" s="41"/>
      <c r="N5" s="60" t="s">
        <v>779</v>
      </c>
      <c r="O5" s="24"/>
      <c r="P5" s="24"/>
      <c r="Q5" s="24"/>
      <c r="R5" s="24"/>
      <c r="S5" s="28"/>
      <c r="T5" s="28"/>
      <c r="U5" s="28"/>
    </row>
    <row r="6" spans="1:21" ht="63.75" customHeight="1" x14ac:dyDescent="0.25">
      <c r="A6" s="26">
        <v>4</v>
      </c>
      <c r="B6" s="23" t="s">
        <v>546</v>
      </c>
      <c r="C6" s="23" t="s">
        <v>20</v>
      </c>
      <c r="D6" s="25">
        <v>18359828.699999999</v>
      </c>
      <c r="E6" s="45">
        <v>410398</v>
      </c>
      <c r="F6" s="155" t="s">
        <v>538</v>
      </c>
      <c r="G6" s="124"/>
      <c r="H6" s="26" t="s">
        <v>297</v>
      </c>
      <c r="I6" s="23" t="s">
        <v>560</v>
      </c>
      <c r="J6" s="17" t="s">
        <v>562</v>
      </c>
      <c r="K6" s="26" t="s">
        <v>332</v>
      </c>
      <c r="L6" s="93" t="s">
        <v>781</v>
      </c>
      <c r="M6" s="34"/>
      <c r="N6" s="125"/>
      <c r="O6" s="24"/>
      <c r="P6" s="24"/>
      <c r="Q6" s="24"/>
      <c r="R6" s="24"/>
      <c r="S6" s="28"/>
      <c r="T6" s="28"/>
      <c r="U6" s="28"/>
    </row>
    <row r="7" spans="1:21" ht="102" x14ac:dyDescent="0.25">
      <c r="A7" s="150">
        <v>5</v>
      </c>
      <c r="B7" s="149" t="s">
        <v>546</v>
      </c>
      <c r="C7" s="149" t="s">
        <v>20</v>
      </c>
      <c r="D7" s="126">
        <v>10342725</v>
      </c>
      <c r="E7" s="126">
        <v>328427</v>
      </c>
      <c r="F7" s="155" t="s">
        <v>538</v>
      </c>
      <c r="G7" s="23"/>
      <c r="H7" s="23" t="s">
        <v>660</v>
      </c>
      <c r="I7" s="23" t="s">
        <v>654</v>
      </c>
      <c r="J7" s="23" t="s">
        <v>665</v>
      </c>
      <c r="K7" s="23" t="s">
        <v>332</v>
      </c>
      <c r="L7" s="125"/>
      <c r="M7" s="23"/>
      <c r="N7" s="125"/>
      <c r="O7" s="23" t="s">
        <v>809</v>
      </c>
      <c r="P7" s="26"/>
      <c r="Q7" s="26"/>
      <c r="R7" s="26"/>
      <c r="S7" s="46"/>
      <c r="T7" s="46"/>
      <c r="U7" s="46"/>
    </row>
    <row r="8" spans="1:21" ht="25.5" customHeight="1" x14ac:dyDescent="0.25">
      <c r="A8" s="151"/>
      <c r="B8" s="149"/>
      <c r="C8" s="149"/>
      <c r="D8" s="98">
        <v>10254975</v>
      </c>
      <c r="E8" s="98">
        <v>327550</v>
      </c>
      <c r="F8" s="155" t="s">
        <v>538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8"/>
      <c r="T8" s="28"/>
      <c r="U8" s="28"/>
    </row>
    <row r="9" spans="1:21" ht="63.75" x14ac:dyDescent="0.25">
      <c r="A9" s="26">
        <v>6</v>
      </c>
      <c r="B9" s="15" t="s">
        <v>682</v>
      </c>
      <c r="C9" s="23" t="s">
        <v>410</v>
      </c>
      <c r="D9" s="25">
        <v>270000</v>
      </c>
      <c r="E9" s="26"/>
      <c r="F9" s="155" t="s">
        <v>834</v>
      </c>
      <c r="G9" s="26"/>
      <c r="H9" s="26"/>
      <c r="I9" s="26"/>
      <c r="J9" s="26" t="s">
        <v>681</v>
      </c>
      <c r="K9" s="26" t="s">
        <v>780</v>
      </c>
      <c r="L9" s="93" t="s">
        <v>810</v>
      </c>
      <c r="M9" s="26"/>
      <c r="N9" s="26"/>
      <c r="O9" s="26"/>
      <c r="P9" s="26"/>
      <c r="Q9" s="26"/>
      <c r="R9" s="26"/>
      <c r="S9" s="46"/>
      <c r="T9" s="46"/>
      <c r="U9" s="46"/>
    </row>
  </sheetData>
  <autoFilter ref="A2:U8" xr:uid="{00000000-0001-0000-0300-000000000000}">
    <filterColumn colId="10">
      <filters blank="1">
        <filter val="АЖ, КЖ"/>
        <filter val="Общий"/>
        <filter val="Рассмотрено, АЖ"/>
      </filters>
    </filterColumn>
  </autoFilter>
  <mergeCells count="4">
    <mergeCell ref="A1:U1"/>
    <mergeCell ref="B7:B8"/>
    <mergeCell ref="C7:C8"/>
    <mergeCell ref="A7:A8"/>
  </mergeCells>
  <pageMargins left="0.7" right="0.7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N21"/>
  <sheetViews>
    <sheetView zoomScale="85" zoomScaleNormal="85" workbookViewId="0">
      <pane ySplit="2" topLeftCell="A3" activePane="bottomLeft" state="frozen"/>
      <selection pane="bottomLeft" activeCell="A21" sqref="A21"/>
    </sheetView>
  </sheetViews>
  <sheetFormatPr defaultRowHeight="15" x14ac:dyDescent="0.25"/>
  <cols>
    <col min="2" max="2" width="53.28515625" customWidth="1"/>
    <col min="3" max="3" width="16.7109375" customWidth="1"/>
    <col min="4" max="4" width="15.85546875" customWidth="1"/>
    <col min="5" max="5" width="13.28515625" customWidth="1"/>
    <col min="6" max="6" width="15.42578125" customWidth="1"/>
    <col min="7" max="8" width="17.5703125" customWidth="1"/>
    <col min="9" max="9" width="14.7109375" customWidth="1"/>
    <col min="10" max="10" width="16.7109375" customWidth="1"/>
    <col min="11" max="11" width="13.28515625" customWidth="1"/>
    <col min="12" max="12" width="12.85546875" customWidth="1"/>
    <col min="13" max="13" width="11.42578125" customWidth="1"/>
    <col min="14" max="14" width="12.140625" customWidth="1"/>
  </cols>
  <sheetData>
    <row r="1" spans="1:14" x14ac:dyDescent="0.25">
      <c r="A1" s="148" t="s">
        <v>384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</row>
    <row r="2" spans="1:14" ht="63.75" x14ac:dyDescent="0.25">
      <c r="A2" s="10" t="s">
        <v>0</v>
      </c>
      <c r="B2" s="10" t="s">
        <v>1</v>
      </c>
      <c r="C2" s="10" t="s">
        <v>18</v>
      </c>
      <c r="D2" s="11" t="s">
        <v>124</v>
      </c>
      <c r="E2" s="11" t="s">
        <v>125</v>
      </c>
      <c r="F2" s="11" t="s">
        <v>11</v>
      </c>
      <c r="G2" s="11" t="s">
        <v>343</v>
      </c>
      <c r="H2" s="11" t="s">
        <v>316</v>
      </c>
      <c r="I2" s="11" t="s">
        <v>364</v>
      </c>
      <c r="J2" s="10" t="s">
        <v>366</v>
      </c>
      <c r="K2" s="10" t="s">
        <v>376</v>
      </c>
      <c r="L2" s="10" t="s">
        <v>377</v>
      </c>
      <c r="M2" s="10" t="s">
        <v>344</v>
      </c>
      <c r="N2" s="10" t="s">
        <v>318</v>
      </c>
    </row>
    <row r="3" spans="1:14" ht="54" customHeight="1" x14ac:dyDescent="0.25">
      <c r="A3" s="52">
        <v>1</v>
      </c>
      <c r="B3" s="52" t="s">
        <v>320</v>
      </c>
      <c r="C3" s="60" t="s">
        <v>321</v>
      </c>
      <c r="D3" s="57">
        <v>3210000</v>
      </c>
      <c r="E3" s="57">
        <v>39050</v>
      </c>
      <c r="F3" s="61" t="s">
        <v>319</v>
      </c>
      <c r="G3" s="53" t="s">
        <v>332</v>
      </c>
      <c r="H3" s="105"/>
      <c r="I3" s="79" t="s">
        <v>620</v>
      </c>
      <c r="J3" s="52" t="s">
        <v>584</v>
      </c>
      <c r="K3" s="111"/>
      <c r="L3" s="14"/>
      <c r="M3" s="14" t="s">
        <v>367</v>
      </c>
      <c r="N3" s="14">
        <v>823490</v>
      </c>
    </row>
    <row r="4" spans="1:14" ht="45.75" customHeight="1" x14ac:dyDescent="0.25">
      <c r="A4" s="52">
        <v>2</v>
      </c>
      <c r="B4" s="52" t="s">
        <v>337</v>
      </c>
      <c r="C4" s="60" t="s">
        <v>321</v>
      </c>
      <c r="D4" s="57">
        <v>489500</v>
      </c>
      <c r="E4" s="57" t="s">
        <v>268</v>
      </c>
      <c r="F4" s="61" t="s">
        <v>336</v>
      </c>
      <c r="G4" s="53" t="s">
        <v>332</v>
      </c>
      <c r="H4" s="62"/>
      <c r="I4" s="79" t="s">
        <v>620</v>
      </c>
      <c r="J4" s="52" t="s">
        <v>419</v>
      </c>
      <c r="K4" s="14"/>
      <c r="L4" s="14"/>
      <c r="M4" s="14" t="s">
        <v>367</v>
      </c>
      <c r="N4" s="14"/>
    </row>
    <row r="5" spans="1:14" ht="68.25" customHeight="1" x14ac:dyDescent="0.25">
      <c r="A5" s="52">
        <v>3</v>
      </c>
      <c r="B5" s="52" t="s">
        <v>422</v>
      </c>
      <c r="C5" s="60" t="s">
        <v>423</v>
      </c>
      <c r="D5" s="57">
        <v>6339233</v>
      </c>
      <c r="E5" s="57"/>
      <c r="F5" s="61" t="s">
        <v>424</v>
      </c>
      <c r="G5" s="53" t="s">
        <v>332</v>
      </c>
      <c r="H5" s="62"/>
      <c r="I5" s="79" t="s">
        <v>620</v>
      </c>
      <c r="J5" s="52" t="s">
        <v>468</v>
      </c>
      <c r="K5" s="14"/>
      <c r="L5" s="14"/>
      <c r="M5" s="14" t="s">
        <v>367</v>
      </c>
      <c r="N5" s="14"/>
    </row>
    <row r="6" spans="1:14" ht="53.25" customHeight="1" x14ac:dyDescent="0.25">
      <c r="A6" s="52">
        <v>4</v>
      </c>
      <c r="B6" s="52" t="s">
        <v>338</v>
      </c>
      <c r="C6" s="60" t="s">
        <v>339</v>
      </c>
      <c r="D6" s="57">
        <v>6006000</v>
      </c>
      <c r="E6" s="57" t="s">
        <v>268</v>
      </c>
      <c r="F6" s="61" t="s">
        <v>342</v>
      </c>
      <c r="G6" s="53" t="s">
        <v>332</v>
      </c>
      <c r="H6" s="62"/>
      <c r="I6" s="79" t="s">
        <v>620</v>
      </c>
      <c r="J6" s="52" t="s">
        <v>421</v>
      </c>
      <c r="K6" s="14"/>
      <c r="L6" s="14"/>
      <c r="M6" s="14" t="s">
        <v>367</v>
      </c>
      <c r="N6" s="14"/>
    </row>
    <row r="7" spans="1:14" ht="75" customHeight="1" x14ac:dyDescent="0.25">
      <c r="A7" s="52">
        <v>5</v>
      </c>
      <c r="B7" s="52" t="s">
        <v>488</v>
      </c>
      <c r="C7" s="60" t="s">
        <v>489</v>
      </c>
      <c r="D7" s="57">
        <v>431000</v>
      </c>
      <c r="E7" s="64"/>
      <c r="F7" s="61" t="s">
        <v>490</v>
      </c>
      <c r="G7" s="53" t="s">
        <v>332</v>
      </c>
      <c r="H7" s="64"/>
      <c r="I7" s="79" t="s">
        <v>687</v>
      </c>
      <c r="J7" s="79" t="s">
        <v>797</v>
      </c>
      <c r="K7" s="24"/>
      <c r="L7" s="24"/>
      <c r="M7" s="24"/>
      <c r="N7" s="24"/>
    </row>
    <row r="8" spans="1:14" ht="73.5" customHeight="1" x14ac:dyDescent="0.25">
      <c r="A8" s="52">
        <v>6</v>
      </c>
      <c r="B8" s="52" t="s">
        <v>491</v>
      </c>
      <c r="C8" s="60" t="s">
        <v>489</v>
      </c>
      <c r="D8" s="57">
        <v>274000</v>
      </c>
      <c r="E8" s="64"/>
      <c r="F8" s="61" t="s">
        <v>492</v>
      </c>
      <c r="G8" s="53" t="s">
        <v>332</v>
      </c>
      <c r="H8" s="64"/>
      <c r="I8" s="79" t="s">
        <v>687</v>
      </c>
      <c r="J8" s="79" t="s">
        <v>797</v>
      </c>
      <c r="K8" s="24"/>
      <c r="L8" s="24"/>
      <c r="M8" s="24"/>
      <c r="N8" s="24"/>
    </row>
    <row r="9" spans="1:14" ht="61.5" customHeight="1" x14ac:dyDescent="0.25">
      <c r="A9" s="52">
        <v>7</v>
      </c>
      <c r="B9" s="52" t="s">
        <v>497</v>
      </c>
      <c r="C9" s="60" t="s">
        <v>27</v>
      </c>
      <c r="D9" s="57" t="s">
        <v>498</v>
      </c>
      <c r="E9" s="64"/>
      <c r="F9" s="61" t="s">
        <v>499</v>
      </c>
      <c r="G9" s="53" t="s">
        <v>332</v>
      </c>
      <c r="H9" s="64"/>
      <c r="I9" s="79"/>
      <c r="J9" s="52" t="s">
        <v>688</v>
      </c>
      <c r="K9" s="24"/>
      <c r="L9" s="24"/>
      <c r="M9" s="24"/>
      <c r="N9" s="24"/>
    </row>
    <row r="10" spans="1:14" ht="50.25" customHeight="1" x14ac:dyDescent="0.25">
      <c r="A10" s="52">
        <v>8</v>
      </c>
      <c r="B10" s="52" t="s">
        <v>504</v>
      </c>
      <c r="C10" s="60" t="s">
        <v>27</v>
      </c>
      <c r="D10" s="57">
        <v>4151012.88</v>
      </c>
      <c r="E10" s="64"/>
      <c r="F10" s="61" t="s">
        <v>503</v>
      </c>
      <c r="G10" s="53" t="s">
        <v>332</v>
      </c>
      <c r="H10" s="64"/>
      <c r="I10" s="64"/>
      <c r="J10" s="52" t="s">
        <v>689</v>
      </c>
      <c r="K10" s="24"/>
      <c r="L10" s="24"/>
      <c r="M10" s="24"/>
      <c r="N10" s="24"/>
    </row>
    <row r="11" spans="1:14" ht="37.5" customHeight="1" x14ac:dyDescent="0.25">
      <c r="A11" s="52">
        <v>9</v>
      </c>
      <c r="B11" s="52" t="s">
        <v>521</v>
      </c>
      <c r="C11" s="60" t="s">
        <v>697</v>
      </c>
      <c r="D11" s="57">
        <v>166000</v>
      </c>
      <c r="E11" s="64"/>
      <c r="F11" s="75" t="s">
        <v>690</v>
      </c>
      <c r="G11" s="53" t="s">
        <v>511</v>
      </c>
      <c r="H11" s="64"/>
      <c r="I11" s="79"/>
      <c r="J11" s="79" t="s">
        <v>691</v>
      </c>
      <c r="K11" s="24"/>
      <c r="L11" s="24"/>
      <c r="M11" s="24"/>
      <c r="N11" s="24"/>
    </row>
    <row r="12" spans="1:14" ht="38.25" x14ac:dyDescent="0.25">
      <c r="A12" s="14">
        <v>10</v>
      </c>
      <c r="B12" s="15" t="s">
        <v>563</v>
      </c>
      <c r="C12" s="23" t="s">
        <v>321</v>
      </c>
      <c r="D12" s="23"/>
      <c r="E12" s="24"/>
      <c r="F12" s="78" t="s">
        <v>564</v>
      </c>
      <c r="G12" s="17" t="s">
        <v>332</v>
      </c>
      <c r="H12" s="34">
        <v>46155</v>
      </c>
      <c r="I12" s="34" t="s">
        <v>620</v>
      </c>
      <c r="J12" s="34"/>
      <c r="K12" s="24"/>
      <c r="L12" s="24"/>
      <c r="M12" s="24"/>
      <c r="N12" s="24"/>
    </row>
    <row r="13" spans="1:14" ht="38.25" x14ac:dyDescent="0.25">
      <c r="A13" s="52">
        <v>11</v>
      </c>
      <c r="B13" s="52" t="s">
        <v>585</v>
      </c>
      <c r="C13" s="60" t="s">
        <v>61</v>
      </c>
      <c r="D13" s="57">
        <v>431500</v>
      </c>
      <c r="E13" s="57">
        <v>28875</v>
      </c>
      <c r="F13" s="61" t="s">
        <v>586</v>
      </c>
      <c r="G13" s="53" t="s">
        <v>332</v>
      </c>
      <c r="H13" s="64"/>
      <c r="I13" s="79" t="s">
        <v>620</v>
      </c>
      <c r="J13" s="79" t="s">
        <v>692</v>
      </c>
      <c r="K13" s="24"/>
      <c r="L13" s="24"/>
      <c r="M13" s="24"/>
      <c r="N13" s="24"/>
    </row>
    <row r="14" spans="1:14" ht="63.75" x14ac:dyDescent="0.25">
      <c r="A14" s="52">
        <v>12</v>
      </c>
      <c r="B14" s="52" t="s">
        <v>618</v>
      </c>
      <c r="C14" s="60" t="s">
        <v>321</v>
      </c>
      <c r="D14" s="57">
        <v>15676000</v>
      </c>
      <c r="E14" s="74">
        <v>381760</v>
      </c>
      <c r="F14" s="61" t="s">
        <v>619</v>
      </c>
      <c r="G14" s="53" t="s">
        <v>332</v>
      </c>
      <c r="H14" s="64"/>
      <c r="I14" s="79" t="s">
        <v>620</v>
      </c>
      <c r="J14" s="79" t="s">
        <v>747</v>
      </c>
      <c r="K14" s="24"/>
      <c r="L14" s="24"/>
      <c r="M14" s="24"/>
      <c r="N14" s="24"/>
    </row>
    <row r="15" spans="1:14" ht="39" customHeight="1" x14ac:dyDescent="0.25">
      <c r="A15" s="14">
        <v>13</v>
      </c>
      <c r="B15" s="15" t="s">
        <v>636</v>
      </c>
      <c r="C15" s="23" t="s">
        <v>27</v>
      </c>
      <c r="D15" s="22">
        <v>36000</v>
      </c>
      <c r="E15" s="24"/>
      <c r="F15" s="26" t="s">
        <v>637</v>
      </c>
      <c r="G15" s="17" t="s">
        <v>332</v>
      </c>
      <c r="H15" s="34" t="s">
        <v>799</v>
      </c>
      <c r="I15" s="34" t="s">
        <v>693</v>
      </c>
      <c r="J15" s="34" t="s">
        <v>798</v>
      </c>
      <c r="K15" s="24"/>
      <c r="L15" s="24"/>
      <c r="M15" s="24"/>
      <c r="N15" s="24"/>
    </row>
    <row r="16" spans="1:14" ht="76.5" x14ac:dyDescent="0.25">
      <c r="A16" s="52">
        <v>14</v>
      </c>
      <c r="B16" s="52" t="s">
        <v>648</v>
      </c>
      <c r="C16" s="60" t="s">
        <v>423</v>
      </c>
      <c r="D16" s="57">
        <v>9498895</v>
      </c>
      <c r="E16" s="127"/>
      <c r="F16" s="53" t="s">
        <v>649</v>
      </c>
      <c r="G16" s="53" t="s">
        <v>332</v>
      </c>
      <c r="H16" s="127"/>
      <c r="I16" s="79" t="s">
        <v>693</v>
      </c>
      <c r="J16" s="79" t="s">
        <v>694</v>
      </c>
      <c r="K16" s="128"/>
      <c r="L16" s="128"/>
      <c r="M16" s="128"/>
      <c r="N16" s="128"/>
    </row>
    <row r="17" spans="1:14" ht="45" customHeight="1" x14ac:dyDescent="0.25">
      <c r="A17" s="52">
        <v>15</v>
      </c>
      <c r="B17" s="52" t="s">
        <v>663</v>
      </c>
      <c r="C17" s="60" t="s">
        <v>32</v>
      </c>
      <c r="D17" s="57">
        <v>436000</v>
      </c>
      <c r="E17" s="64"/>
      <c r="F17" s="53" t="s">
        <v>664</v>
      </c>
      <c r="G17" s="53" t="s">
        <v>332</v>
      </c>
      <c r="H17" s="64"/>
      <c r="I17" s="79" t="s">
        <v>693</v>
      </c>
      <c r="J17" s="79" t="s">
        <v>695</v>
      </c>
      <c r="K17" s="24"/>
      <c r="L17" s="24"/>
      <c r="M17" s="24"/>
      <c r="N17" s="24"/>
    </row>
    <row r="18" spans="1:14" ht="76.5" x14ac:dyDescent="0.25">
      <c r="A18" s="52">
        <v>16</v>
      </c>
      <c r="B18" s="52" t="s">
        <v>683</v>
      </c>
      <c r="C18" s="60" t="s">
        <v>696</v>
      </c>
      <c r="D18" s="57">
        <v>3622000</v>
      </c>
      <c r="E18" s="137"/>
      <c r="F18" s="53" t="s">
        <v>685</v>
      </c>
      <c r="G18" s="53" t="s">
        <v>332</v>
      </c>
      <c r="H18" s="79">
        <v>46079</v>
      </c>
      <c r="I18" s="79" t="s">
        <v>693</v>
      </c>
      <c r="J18" s="79" t="s">
        <v>748</v>
      </c>
      <c r="K18" s="24"/>
      <c r="L18" s="24"/>
      <c r="M18" s="24"/>
      <c r="N18" s="24"/>
    </row>
    <row r="19" spans="1:14" ht="39" customHeight="1" x14ac:dyDescent="0.25">
      <c r="A19" s="14">
        <v>17</v>
      </c>
      <c r="B19" s="15" t="s">
        <v>684</v>
      </c>
      <c r="C19" s="23" t="s">
        <v>339</v>
      </c>
      <c r="D19" s="22">
        <v>1029600</v>
      </c>
      <c r="E19" s="129"/>
      <c r="F19" s="17" t="s">
        <v>686</v>
      </c>
      <c r="G19" s="17" t="s">
        <v>332</v>
      </c>
      <c r="H19" s="34">
        <v>46126</v>
      </c>
      <c r="I19" s="34" t="s">
        <v>693</v>
      </c>
      <c r="J19" s="34" t="s">
        <v>808</v>
      </c>
      <c r="K19" s="24"/>
      <c r="L19" s="24"/>
      <c r="M19" s="24"/>
      <c r="N19" s="24"/>
    </row>
    <row r="20" spans="1:14" ht="38.25" x14ac:dyDescent="0.25">
      <c r="A20" s="23">
        <v>18</v>
      </c>
      <c r="B20" s="15" t="s">
        <v>698</v>
      </c>
      <c r="C20" s="23" t="s">
        <v>696</v>
      </c>
      <c r="D20" s="22">
        <v>394000</v>
      </c>
      <c r="E20" s="26"/>
      <c r="F20" s="17" t="s">
        <v>699</v>
      </c>
      <c r="G20" s="17" t="s">
        <v>332</v>
      </c>
      <c r="H20" s="136">
        <v>46125</v>
      </c>
      <c r="I20" s="34" t="s">
        <v>620</v>
      </c>
      <c r="J20" s="136"/>
      <c r="K20" s="26"/>
      <c r="L20" s="26"/>
      <c r="M20" s="26"/>
      <c r="N20" s="26"/>
    </row>
    <row r="21" spans="1:14" ht="63.75" x14ac:dyDescent="0.25">
      <c r="A21" s="61">
        <v>19</v>
      </c>
      <c r="B21" s="52" t="s">
        <v>720</v>
      </c>
      <c r="C21" s="60" t="s">
        <v>721</v>
      </c>
      <c r="D21" s="57">
        <v>337757856.07999998</v>
      </c>
      <c r="E21" s="74">
        <v>2163789</v>
      </c>
      <c r="F21" s="53" t="s">
        <v>722</v>
      </c>
      <c r="G21" s="53" t="s">
        <v>332</v>
      </c>
      <c r="H21" s="135"/>
      <c r="I21" s="79" t="s">
        <v>749</v>
      </c>
      <c r="J21" s="60" t="s">
        <v>783</v>
      </c>
      <c r="K21" s="26"/>
      <c r="L21" s="26"/>
      <c r="M21" s="26"/>
      <c r="N21" s="26"/>
    </row>
  </sheetData>
  <autoFilter ref="A2:N21" xr:uid="{00000000-0001-0000-0400-000000000000}"/>
  <mergeCells count="1">
    <mergeCell ref="A1:N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W21"/>
  <sheetViews>
    <sheetView topLeftCell="A14" zoomScale="85" zoomScaleNormal="85" workbookViewId="0">
      <selection activeCell="F11" sqref="F11"/>
    </sheetView>
  </sheetViews>
  <sheetFormatPr defaultRowHeight="15" outlineLevelRow="1" outlineLevelCol="1" x14ac:dyDescent="0.25"/>
  <cols>
    <col min="1" max="1" width="7.140625" customWidth="1"/>
    <col min="2" max="2" width="21.42578125" customWidth="1"/>
    <col min="3" max="3" width="20" customWidth="1"/>
    <col min="4" max="5" width="21" customWidth="1"/>
    <col min="6" max="6" width="16.7109375" customWidth="1"/>
    <col min="7" max="7" width="15.7109375" customWidth="1"/>
    <col min="8" max="8" width="15.28515625" customWidth="1"/>
    <col min="9" max="9" width="18" customWidth="1"/>
    <col min="10" max="10" width="17.140625" hidden="1" customWidth="1" outlineLevel="1"/>
    <col min="11" max="11" width="25.42578125" hidden="1" customWidth="1" outlineLevel="1"/>
    <col min="12" max="12" width="16.140625" hidden="1" customWidth="1" outlineLevel="1"/>
    <col min="13" max="13" width="14.28515625" hidden="1" customWidth="1" outlineLevel="1"/>
    <col min="14" max="14" width="12.7109375" hidden="1" customWidth="1" outlineLevel="1"/>
    <col min="15" max="15" width="15.7109375" hidden="1" customWidth="1" outlineLevel="1"/>
    <col min="16" max="16" width="27.140625" customWidth="1" collapsed="1"/>
    <col min="17" max="17" width="14.7109375" customWidth="1"/>
    <col min="18" max="18" width="17.7109375" customWidth="1"/>
    <col min="19" max="19" width="28.140625" customWidth="1"/>
    <col min="20" max="20" width="15.28515625" customWidth="1"/>
    <col min="21" max="21" width="14.28515625" customWidth="1"/>
    <col min="22" max="22" width="11.7109375" customWidth="1"/>
    <col min="23" max="23" width="21" customWidth="1"/>
  </cols>
  <sheetData>
    <row r="1" spans="1:23" ht="15.75" x14ac:dyDescent="0.25">
      <c r="A1" s="146" t="s">
        <v>272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</row>
    <row r="2" spans="1:23" ht="66.75" customHeight="1" x14ac:dyDescent="0.25">
      <c r="A2" s="8" t="s">
        <v>0</v>
      </c>
      <c r="B2" s="8" t="s">
        <v>265</v>
      </c>
      <c r="C2" s="8" t="s">
        <v>266</v>
      </c>
      <c r="D2" s="8" t="s">
        <v>285</v>
      </c>
      <c r="E2" s="8" t="s">
        <v>822</v>
      </c>
      <c r="F2" s="8" t="s">
        <v>11</v>
      </c>
      <c r="G2" s="8" t="s">
        <v>18</v>
      </c>
      <c r="H2" s="9" t="s">
        <v>124</v>
      </c>
      <c r="I2" s="9" t="s">
        <v>295</v>
      </c>
      <c r="J2" s="9" t="s">
        <v>296</v>
      </c>
      <c r="K2" s="8" t="s">
        <v>269</v>
      </c>
      <c r="L2" s="8" t="s">
        <v>292</v>
      </c>
      <c r="M2" s="8" t="s">
        <v>300</v>
      </c>
      <c r="N2" s="8" t="s">
        <v>301</v>
      </c>
      <c r="O2" s="9" t="s">
        <v>310</v>
      </c>
      <c r="P2" s="8" t="s">
        <v>373</v>
      </c>
      <c r="Q2" s="8" t="s">
        <v>611</v>
      </c>
      <c r="R2" s="8" t="s">
        <v>417</v>
      </c>
      <c r="S2" s="8" t="s">
        <v>589</v>
      </c>
      <c r="T2" s="8" t="s">
        <v>591</v>
      </c>
      <c r="U2" s="8" t="s">
        <v>480</v>
      </c>
      <c r="V2" s="8" t="s">
        <v>313</v>
      </c>
      <c r="W2" s="8" t="s">
        <v>4</v>
      </c>
    </row>
    <row r="3" spans="1:23" ht="44.25" hidden="1" customHeight="1" outlineLevel="1" x14ac:dyDescent="0.25">
      <c r="A3" s="70">
        <v>1</v>
      </c>
      <c r="B3" s="70" t="s">
        <v>5</v>
      </c>
      <c r="C3" s="70" t="s">
        <v>267</v>
      </c>
      <c r="D3" s="70" t="s">
        <v>291</v>
      </c>
      <c r="E3" s="70"/>
      <c r="F3" s="87" t="s">
        <v>268</v>
      </c>
      <c r="G3" s="87" t="s">
        <v>268</v>
      </c>
      <c r="H3" s="71">
        <v>350000</v>
      </c>
      <c r="I3" s="71" t="s">
        <v>268</v>
      </c>
      <c r="J3" s="71" t="s">
        <v>268</v>
      </c>
      <c r="K3" s="87" t="s">
        <v>303</v>
      </c>
      <c r="L3" s="87" t="s">
        <v>268</v>
      </c>
      <c r="M3" s="87" t="s">
        <v>268</v>
      </c>
      <c r="N3" s="87" t="s">
        <v>302</v>
      </c>
      <c r="O3" s="85">
        <v>350000</v>
      </c>
      <c r="P3" s="87" t="s">
        <v>3</v>
      </c>
      <c r="Q3" s="87"/>
      <c r="R3" s="87"/>
      <c r="S3" s="87" t="s">
        <v>467</v>
      </c>
      <c r="T3" s="87"/>
      <c r="U3" s="87" t="s">
        <v>467</v>
      </c>
      <c r="V3" s="87"/>
      <c r="W3" s="87" t="s">
        <v>6</v>
      </c>
    </row>
    <row r="4" spans="1:23" ht="48" hidden="1" customHeight="1" collapsed="1" x14ac:dyDescent="0.25">
      <c r="A4" s="70">
        <v>2</v>
      </c>
      <c r="B4" s="70" t="s">
        <v>264</v>
      </c>
      <c r="C4" s="70" t="s">
        <v>267</v>
      </c>
      <c r="D4" s="70" t="s">
        <v>268</v>
      </c>
      <c r="E4" s="70"/>
      <c r="F4" s="70" t="s">
        <v>403</v>
      </c>
      <c r="G4" s="70" t="s">
        <v>225</v>
      </c>
      <c r="H4" s="71">
        <v>23276600</v>
      </c>
      <c r="I4" s="71" t="s">
        <v>297</v>
      </c>
      <c r="J4" s="71"/>
      <c r="K4" s="70"/>
      <c r="L4" s="70"/>
      <c r="M4" s="71"/>
      <c r="N4" s="70"/>
      <c r="O4" s="70"/>
      <c r="P4" s="70" t="s">
        <v>479</v>
      </c>
      <c r="Q4" s="70"/>
      <c r="R4" s="73"/>
      <c r="S4" s="70"/>
      <c r="T4" s="70"/>
      <c r="U4" s="70" t="s">
        <v>467</v>
      </c>
      <c r="V4" s="70"/>
      <c r="W4" s="70"/>
    </row>
    <row r="5" spans="1:23" ht="48.75" hidden="1" customHeight="1" x14ac:dyDescent="0.25">
      <c r="A5" s="70">
        <v>3</v>
      </c>
      <c r="B5" s="70" t="s">
        <v>271</v>
      </c>
      <c r="C5" s="70" t="s">
        <v>267</v>
      </c>
      <c r="D5" s="70" t="s">
        <v>268</v>
      </c>
      <c r="E5" s="70"/>
      <c r="F5" s="70" t="s">
        <v>270</v>
      </c>
      <c r="G5" s="70" t="s">
        <v>20</v>
      </c>
      <c r="H5" s="71">
        <v>3690380.91</v>
      </c>
      <c r="I5" s="71" t="s">
        <v>298</v>
      </c>
      <c r="J5" s="71"/>
      <c r="K5" s="70"/>
      <c r="L5" s="70"/>
      <c r="M5" s="71"/>
      <c r="N5" s="70"/>
      <c r="O5" s="70"/>
      <c r="P5" s="70"/>
      <c r="Q5" s="70"/>
      <c r="R5" s="143"/>
      <c r="S5" s="70" t="s">
        <v>467</v>
      </c>
      <c r="T5" s="70"/>
      <c r="U5" s="87" t="s">
        <v>467</v>
      </c>
      <c r="V5" s="70"/>
      <c r="W5" s="70"/>
    </row>
    <row r="6" spans="1:23" ht="51.75" customHeight="1" x14ac:dyDescent="0.25">
      <c r="A6" s="4">
        <v>4</v>
      </c>
      <c r="B6" s="4" t="s">
        <v>267</v>
      </c>
      <c r="C6" s="4" t="s">
        <v>138</v>
      </c>
      <c r="D6" s="4" t="s">
        <v>286</v>
      </c>
      <c r="E6" s="4" t="s">
        <v>823</v>
      </c>
      <c r="F6" s="4" t="s">
        <v>401</v>
      </c>
      <c r="G6" s="4" t="s">
        <v>20</v>
      </c>
      <c r="H6" s="5">
        <v>9987700</v>
      </c>
      <c r="I6" s="5" t="s">
        <v>307</v>
      </c>
      <c r="J6" s="5" t="s">
        <v>306</v>
      </c>
      <c r="K6" s="4" t="s">
        <v>293</v>
      </c>
      <c r="L6" s="4" t="s">
        <v>305</v>
      </c>
      <c r="M6" s="5">
        <v>72939</v>
      </c>
      <c r="N6" s="4"/>
      <c r="O6" s="4"/>
      <c r="P6" s="4" t="s">
        <v>572</v>
      </c>
      <c r="Q6" s="95" t="s">
        <v>612</v>
      </c>
      <c r="R6" s="97" t="s">
        <v>776</v>
      </c>
      <c r="S6" s="4" t="s">
        <v>623</v>
      </c>
      <c r="T6" s="4"/>
      <c r="U6" s="4"/>
      <c r="V6" s="4"/>
      <c r="W6" s="4" t="s">
        <v>289</v>
      </c>
    </row>
    <row r="7" spans="1:23" ht="51.75" hidden="1" customHeight="1" x14ac:dyDescent="0.25">
      <c r="A7" s="70">
        <v>5</v>
      </c>
      <c r="B7" s="70" t="s">
        <v>267</v>
      </c>
      <c r="C7" s="70" t="s">
        <v>294</v>
      </c>
      <c r="D7" s="70" t="s">
        <v>286</v>
      </c>
      <c r="E7" s="70" t="s">
        <v>824</v>
      </c>
      <c r="F7" s="70" t="s">
        <v>287</v>
      </c>
      <c r="G7" s="70" t="s">
        <v>20</v>
      </c>
      <c r="H7" s="71">
        <v>922900</v>
      </c>
      <c r="I7" s="71" t="s">
        <v>309</v>
      </c>
      <c r="J7" s="71" t="s">
        <v>308</v>
      </c>
      <c r="K7" s="70" t="s">
        <v>299</v>
      </c>
      <c r="L7" s="70" t="s">
        <v>304</v>
      </c>
      <c r="M7" s="71">
        <v>21458</v>
      </c>
      <c r="N7" s="70"/>
      <c r="O7" s="92"/>
      <c r="P7" s="70" t="s">
        <v>463</v>
      </c>
      <c r="Q7" s="70"/>
      <c r="R7" s="143"/>
      <c r="S7" s="70" t="s">
        <v>324</v>
      </c>
      <c r="T7" s="70"/>
      <c r="U7" s="87" t="s">
        <v>467</v>
      </c>
      <c r="V7" s="70" t="s">
        <v>314</v>
      </c>
      <c r="W7" s="92" t="s">
        <v>288</v>
      </c>
    </row>
    <row r="8" spans="1:23" ht="48" hidden="1" customHeight="1" x14ac:dyDescent="0.25">
      <c r="A8" s="70">
        <v>6</v>
      </c>
      <c r="B8" s="70" t="s">
        <v>267</v>
      </c>
      <c r="C8" s="70" t="s">
        <v>264</v>
      </c>
      <c r="D8" s="70" t="s">
        <v>268</v>
      </c>
      <c r="E8" s="70"/>
      <c r="F8" s="70" t="s">
        <v>402</v>
      </c>
      <c r="G8" s="70" t="s">
        <v>225</v>
      </c>
      <c r="H8" s="71">
        <v>481404.72</v>
      </c>
      <c r="I8" s="71" t="s">
        <v>330</v>
      </c>
      <c r="J8" s="84"/>
      <c r="K8" s="84"/>
      <c r="L8" s="84"/>
      <c r="M8" s="84"/>
      <c r="N8" s="84"/>
      <c r="O8" s="84"/>
      <c r="P8" s="70" t="s">
        <v>420</v>
      </c>
      <c r="Q8" s="70"/>
      <c r="R8" s="143"/>
      <c r="S8" s="70" t="s">
        <v>466</v>
      </c>
      <c r="T8" s="70"/>
      <c r="U8" s="87" t="s">
        <v>467</v>
      </c>
      <c r="V8" s="70"/>
      <c r="W8" s="70" t="s">
        <v>331</v>
      </c>
    </row>
    <row r="9" spans="1:23" ht="71.25" hidden="1" customHeight="1" x14ac:dyDescent="0.25">
      <c r="A9" s="70">
        <v>7</v>
      </c>
      <c r="B9" s="70" t="s">
        <v>267</v>
      </c>
      <c r="C9" s="70" t="s">
        <v>138</v>
      </c>
      <c r="D9" s="70" t="s">
        <v>286</v>
      </c>
      <c r="E9" s="70"/>
      <c r="F9" s="70" t="s">
        <v>614</v>
      </c>
      <c r="G9" s="70" t="s">
        <v>527</v>
      </c>
      <c r="H9" s="71">
        <v>893700</v>
      </c>
      <c r="I9" s="71" t="s">
        <v>408</v>
      </c>
      <c r="J9" s="84"/>
      <c r="K9" s="84"/>
      <c r="L9" s="84"/>
      <c r="M9" s="84"/>
      <c r="N9" s="84"/>
      <c r="O9" s="84"/>
      <c r="P9" s="71" t="s">
        <v>551</v>
      </c>
      <c r="Q9" s="71" t="s">
        <v>600</v>
      </c>
      <c r="R9" s="72" t="s">
        <v>418</v>
      </c>
      <c r="S9" s="70" t="s">
        <v>645</v>
      </c>
      <c r="T9" s="70"/>
      <c r="U9" s="70" t="s">
        <v>467</v>
      </c>
      <c r="V9" s="144"/>
      <c r="W9" s="70" t="s">
        <v>409</v>
      </c>
    </row>
    <row r="10" spans="1:23" ht="84.75" customHeight="1" x14ac:dyDescent="0.25">
      <c r="A10" s="70">
        <v>8</v>
      </c>
      <c r="B10" s="70" t="s">
        <v>286</v>
      </c>
      <c r="C10" s="70" t="s">
        <v>267</v>
      </c>
      <c r="D10" s="70" t="s">
        <v>268</v>
      </c>
      <c r="E10" s="70" t="s">
        <v>824</v>
      </c>
      <c r="F10" s="70" t="s">
        <v>486</v>
      </c>
      <c r="G10" s="70" t="s">
        <v>20</v>
      </c>
      <c r="H10" s="71">
        <v>14589850</v>
      </c>
      <c r="I10" s="71" t="s">
        <v>425</v>
      </c>
      <c r="J10" s="84"/>
      <c r="K10" s="84"/>
      <c r="L10" s="84"/>
      <c r="M10" s="84"/>
      <c r="N10" s="84"/>
      <c r="O10" s="84"/>
      <c r="P10" s="71"/>
      <c r="Q10" s="70" t="s">
        <v>467</v>
      </c>
      <c r="R10" s="100"/>
      <c r="S10" s="70" t="s">
        <v>644</v>
      </c>
      <c r="T10" s="71">
        <v>11700000</v>
      </c>
      <c r="U10" s="70"/>
      <c r="V10" s="84"/>
      <c r="W10" s="84"/>
    </row>
    <row r="11" spans="1:23" ht="134.25" customHeight="1" x14ac:dyDescent="0.25">
      <c r="A11" s="70">
        <v>9</v>
      </c>
      <c r="B11" s="70" t="s">
        <v>286</v>
      </c>
      <c r="C11" s="70" t="s">
        <v>267</v>
      </c>
      <c r="D11" s="70" t="s">
        <v>268</v>
      </c>
      <c r="E11" s="70" t="s">
        <v>824</v>
      </c>
      <c r="F11" s="70" t="s">
        <v>487</v>
      </c>
      <c r="G11" s="70" t="s">
        <v>20</v>
      </c>
      <c r="H11" s="71">
        <v>13007250</v>
      </c>
      <c r="I11" s="71" t="s">
        <v>478</v>
      </c>
      <c r="P11" s="49" t="s">
        <v>602</v>
      </c>
      <c r="Q11" s="70" t="s">
        <v>467</v>
      </c>
      <c r="R11" s="73"/>
      <c r="S11" s="71" t="s">
        <v>590</v>
      </c>
      <c r="T11" s="71">
        <v>7000000</v>
      </c>
      <c r="U11" s="70" t="s">
        <v>621</v>
      </c>
      <c r="V11" s="84"/>
      <c r="W11" s="84"/>
    </row>
    <row r="12" spans="1:23" ht="99.75" customHeight="1" x14ac:dyDescent="0.25">
      <c r="A12" s="70">
        <v>10</v>
      </c>
      <c r="B12" s="70" t="s">
        <v>286</v>
      </c>
      <c r="C12" s="70" t="s">
        <v>267</v>
      </c>
      <c r="D12" s="70" t="s">
        <v>268</v>
      </c>
      <c r="E12" s="70" t="s">
        <v>824</v>
      </c>
      <c r="F12" s="70" t="s">
        <v>501</v>
      </c>
      <c r="G12" s="70" t="s">
        <v>20</v>
      </c>
      <c r="H12" s="71">
        <v>19359900</v>
      </c>
      <c r="I12" s="71" t="s">
        <v>500</v>
      </c>
      <c r="J12" s="145"/>
      <c r="K12" s="145"/>
      <c r="L12" s="145"/>
      <c r="M12" s="145"/>
      <c r="N12" s="145"/>
      <c r="O12" s="145"/>
      <c r="P12" s="71"/>
      <c r="Q12" s="70" t="s">
        <v>467</v>
      </c>
      <c r="R12" s="73" t="s">
        <v>615</v>
      </c>
      <c r="S12" s="70" t="s">
        <v>624</v>
      </c>
      <c r="T12" s="71">
        <v>13000000</v>
      </c>
      <c r="U12" s="84"/>
      <c r="V12" s="84"/>
      <c r="W12" s="84"/>
    </row>
    <row r="13" spans="1:23" ht="69" hidden="1" customHeight="1" x14ac:dyDescent="0.25">
      <c r="A13" s="70">
        <v>11</v>
      </c>
      <c r="B13" s="70" t="s">
        <v>555</v>
      </c>
      <c r="C13" s="70" t="s">
        <v>267</v>
      </c>
      <c r="D13" s="70" t="s">
        <v>2</v>
      </c>
      <c r="E13" s="70"/>
      <c r="F13" s="70" t="s">
        <v>561</v>
      </c>
      <c r="G13" s="70" t="s">
        <v>20</v>
      </c>
      <c r="H13" s="71">
        <v>752500</v>
      </c>
      <c r="I13" s="71" t="s">
        <v>556</v>
      </c>
      <c r="J13" s="145"/>
      <c r="K13" s="145"/>
      <c r="L13" s="145"/>
      <c r="M13" s="145"/>
      <c r="N13" s="145"/>
      <c r="O13" s="145"/>
      <c r="P13" s="71" t="s">
        <v>638</v>
      </c>
      <c r="Q13" s="71" t="s">
        <v>659</v>
      </c>
      <c r="R13" s="92"/>
      <c r="S13" s="70" t="s">
        <v>652</v>
      </c>
      <c r="T13" s="70"/>
      <c r="U13" s="84"/>
      <c r="V13" s="84"/>
      <c r="W13" s="84"/>
    </row>
    <row r="14" spans="1:23" ht="50.25" customHeight="1" x14ac:dyDescent="0.25">
      <c r="A14" s="4">
        <v>12</v>
      </c>
      <c r="B14" s="4" t="s">
        <v>286</v>
      </c>
      <c r="C14" s="4" t="s">
        <v>267</v>
      </c>
      <c r="D14" s="46" t="s">
        <v>2</v>
      </c>
      <c r="E14" s="70" t="s">
        <v>824</v>
      </c>
      <c r="F14" s="4" t="s">
        <v>588</v>
      </c>
      <c r="G14" s="4" t="s">
        <v>20</v>
      </c>
      <c r="H14" s="5">
        <v>15420116.4</v>
      </c>
      <c r="I14" s="5" t="s">
        <v>587</v>
      </c>
      <c r="P14" s="123" t="s">
        <v>729</v>
      </c>
      <c r="Q14" s="95" t="s">
        <v>612</v>
      </c>
      <c r="R14" s="97"/>
      <c r="S14" s="47" t="s">
        <v>728</v>
      </c>
      <c r="T14" s="5">
        <v>12336000</v>
      </c>
      <c r="U14" s="28"/>
      <c r="V14" s="28"/>
      <c r="W14" s="28"/>
    </row>
    <row r="15" spans="1:23" ht="81.75" hidden="1" customHeight="1" x14ac:dyDescent="0.25">
      <c r="A15" s="70">
        <v>13</v>
      </c>
      <c r="B15" s="70" t="s">
        <v>264</v>
      </c>
      <c r="C15" s="70" t="s">
        <v>593</v>
      </c>
      <c r="D15" s="70" t="s">
        <v>267</v>
      </c>
      <c r="E15" s="70"/>
      <c r="F15" s="70" t="s">
        <v>646</v>
      </c>
      <c r="G15" s="70" t="s">
        <v>594</v>
      </c>
      <c r="H15" s="71">
        <v>23376000</v>
      </c>
      <c r="I15" s="71" t="s">
        <v>595</v>
      </c>
      <c r="J15" s="145"/>
      <c r="K15" s="145"/>
      <c r="L15" s="145"/>
      <c r="M15" s="145"/>
      <c r="N15" s="145"/>
      <c r="O15" s="145"/>
      <c r="P15" s="70"/>
      <c r="Q15" s="70" t="s">
        <v>656</v>
      </c>
      <c r="R15" s="73"/>
      <c r="S15" s="70" t="s">
        <v>657</v>
      </c>
      <c r="T15" s="84"/>
      <c r="U15" s="84"/>
      <c r="V15" s="84"/>
      <c r="W15" s="84"/>
    </row>
    <row r="16" spans="1:23" ht="72" hidden="1" customHeight="1" x14ac:dyDescent="0.25">
      <c r="A16" s="70">
        <v>14</v>
      </c>
      <c r="B16" s="70" t="s">
        <v>264</v>
      </c>
      <c r="C16" s="70" t="s">
        <v>549</v>
      </c>
      <c r="D16" s="70" t="s">
        <v>267</v>
      </c>
      <c r="E16" s="70"/>
      <c r="F16" s="85" t="s">
        <v>547</v>
      </c>
      <c r="G16" s="70" t="s">
        <v>20</v>
      </c>
      <c r="H16" s="86">
        <v>11241200</v>
      </c>
      <c r="I16" s="84"/>
      <c r="J16" s="145"/>
      <c r="K16" s="145"/>
      <c r="L16" s="145"/>
      <c r="M16" s="145"/>
      <c r="N16" s="145"/>
      <c r="O16" s="145"/>
      <c r="P16" s="70" t="s">
        <v>596</v>
      </c>
      <c r="Q16" s="70" t="s">
        <v>655</v>
      </c>
      <c r="R16" s="87"/>
      <c r="S16" s="70" t="s">
        <v>632</v>
      </c>
      <c r="T16" s="86">
        <v>0</v>
      </c>
      <c r="U16" s="84"/>
      <c r="V16" s="84"/>
      <c r="W16" s="84"/>
    </row>
    <row r="17" spans="1:23" ht="78.75" hidden="1" customHeight="1" x14ac:dyDescent="0.25">
      <c r="A17" s="70">
        <v>15</v>
      </c>
      <c r="B17" s="70" t="s">
        <v>264</v>
      </c>
      <c r="C17" s="70" t="s">
        <v>598</v>
      </c>
      <c r="D17" s="70" t="s">
        <v>267</v>
      </c>
      <c r="E17" s="70"/>
      <c r="F17" s="85" t="s">
        <v>613</v>
      </c>
      <c r="G17" s="70" t="s">
        <v>527</v>
      </c>
      <c r="H17" s="86">
        <v>614000</v>
      </c>
      <c r="I17" s="84"/>
      <c r="J17" s="145"/>
      <c r="K17" s="145"/>
      <c r="L17" s="145"/>
      <c r="M17" s="145"/>
      <c r="N17" s="145"/>
      <c r="O17" s="145"/>
      <c r="P17" s="70"/>
      <c r="Q17" s="70" t="s">
        <v>655</v>
      </c>
      <c r="R17" s="70"/>
      <c r="S17" s="70" t="s">
        <v>653</v>
      </c>
      <c r="T17" s="84"/>
      <c r="U17" s="84"/>
      <c r="V17" s="84"/>
      <c r="W17" s="84"/>
    </row>
    <row r="18" spans="1:23" ht="44.25" hidden="1" customHeight="1" x14ac:dyDescent="0.25">
      <c r="A18" s="4">
        <v>16</v>
      </c>
      <c r="B18" s="4" t="s">
        <v>643</v>
      </c>
      <c r="C18" s="4" t="s">
        <v>187</v>
      </c>
      <c r="D18" s="4" t="s">
        <v>267</v>
      </c>
      <c r="E18" s="4"/>
      <c r="F18" s="3" t="s">
        <v>642</v>
      </c>
      <c r="G18" s="4" t="s">
        <v>61</v>
      </c>
      <c r="H18" s="77">
        <v>3065000</v>
      </c>
      <c r="I18" s="28"/>
      <c r="P18" s="4" t="s">
        <v>658</v>
      </c>
      <c r="Q18" s="96" t="s">
        <v>612</v>
      </c>
      <c r="R18" s="103">
        <v>46127</v>
      </c>
      <c r="S18" s="28"/>
      <c r="T18" s="28"/>
      <c r="U18" s="28"/>
      <c r="V18" s="28"/>
      <c r="W18" s="28"/>
    </row>
    <row r="19" spans="1:23" ht="63" customHeight="1" x14ac:dyDescent="0.25">
      <c r="A19" s="4">
        <v>17</v>
      </c>
      <c r="B19" s="4" t="s">
        <v>286</v>
      </c>
      <c r="C19" s="4" t="s">
        <v>267</v>
      </c>
      <c r="D19" s="46" t="s">
        <v>268</v>
      </c>
      <c r="E19" s="70" t="s">
        <v>824</v>
      </c>
      <c r="F19" s="4" t="s">
        <v>676</v>
      </c>
      <c r="G19" s="4" t="s">
        <v>20</v>
      </c>
      <c r="H19" s="77">
        <v>3067948</v>
      </c>
      <c r="I19" s="46" t="s">
        <v>667</v>
      </c>
      <c r="P19" s="5" t="s">
        <v>679</v>
      </c>
      <c r="Q19" s="96" t="s">
        <v>612</v>
      </c>
      <c r="R19" s="104" t="s">
        <v>777</v>
      </c>
      <c r="S19" s="46"/>
      <c r="T19" s="46"/>
      <c r="U19" s="46"/>
      <c r="V19" s="46"/>
      <c r="W19" s="46"/>
    </row>
    <row r="20" spans="1:23" ht="59.25" hidden="1" customHeight="1" x14ac:dyDescent="0.25">
      <c r="A20" s="4">
        <v>18</v>
      </c>
      <c r="B20" s="4" t="s">
        <v>677</v>
      </c>
      <c r="C20" s="4" t="s">
        <v>267</v>
      </c>
      <c r="D20" s="28"/>
      <c r="E20" s="28"/>
      <c r="F20" s="28"/>
      <c r="G20" s="4" t="s">
        <v>20</v>
      </c>
      <c r="H20" s="77">
        <v>1137119.28</v>
      </c>
      <c r="I20" s="5" t="s">
        <v>678</v>
      </c>
      <c r="P20" s="28"/>
      <c r="Q20" s="28"/>
      <c r="R20" s="28"/>
      <c r="S20" s="28"/>
      <c r="T20" s="28"/>
      <c r="U20" s="28"/>
      <c r="V20" s="28"/>
      <c r="W20" s="28"/>
    </row>
    <row r="21" spans="1:23" ht="41.25" customHeight="1" x14ac:dyDescent="0.25">
      <c r="A21" s="4">
        <v>19</v>
      </c>
      <c r="B21" s="4" t="s">
        <v>725</v>
      </c>
      <c r="C21" s="4" t="s">
        <v>267</v>
      </c>
      <c r="D21" s="46" t="s">
        <v>2</v>
      </c>
      <c r="E21" s="4" t="s">
        <v>825</v>
      </c>
      <c r="F21" s="46" t="s">
        <v>726</v>
      </c>
      <c r="G21" s="4" t="s">
        <v>515</v>
      </c>
      <c r="H21" s="77">
        <v>41941710.009999998</v>
      </c>
      <c r="I21" s="46" t="s">
        <v>727</v>
      </c>
      <c r="P21" s="4" t="s">
        <v>732</v>
      </c>
      <c r="Q21" s="96" t="s">
        <v>612</v>
      </c>
      <c r="R21" s="46"/>
      <c r="S21" s="46" t="s">
        <v>733</v>
      </c>
      <c r="T21" s="46"/>
      <c r="U21" s="46"/>
      <c r="V21" s="46"/>
      <c r="W21" s="46"/>
    </row>
  </sheetData>
  <autoFilter ref="A2:W21" xr:uid="{00000000-0009-0000-0000-000005000000}"/>
  <mergeCells count="1">
    <mergeCell ref="A1:W1"/>
  </mergeCells>
  <pageMargins left="0.25" right="0.25" top="0.75" bottom="0.75" header="0.3" footer="0.3"/>
  <pageSetup paperSize="9" scale="4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СУДЫ исх. РИ-ИНВЕСТ</vt:lpstr>
      <vt:lpstr>СУДЫ вх. РИ-ИНВЕСТ</vt:lpstr>
      <vt:lpstr>РИ-ИНВЕСТ 3-е лицо</vt:lpstr>
      <vt:lpstr>СУДЫ РИ-ТРАНС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Красильникова Наталья Константиновна</dc:creator>
  <cp:lastModifiedBy>Гетмоненко Полина Дмитриевна</cp:lastModifiedBy>
  <cp:lastPrinted>2026-01-22T07:21:53Z</cp:lastPrinted>
  <dcterms:created xsi:type="dcterms:W3CDTF">2015-06-05T18:19:34Z</dcterms:created>
  <dcterms:modified xsi:type="dcterms:W3CDTF">2026-06-08T11:13:04Z</dcterms:modified>
</cp:coreProperties>
</file>